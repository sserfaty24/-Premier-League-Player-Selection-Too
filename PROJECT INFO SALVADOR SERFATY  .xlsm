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67d191d39086d1b/Documents/SALVADOR/Yeshiva University/Class notes/classes Fall 2023/info systems/"/>
    </mc:Choice>
  </mc:AlternateContent>
  <xr:revisionPtr revIDLastSave="1443" documentId="8_{6B60409F-EDCE-4986-9205-119BCC0083F7}" xr6:coauthVersionLast="47" xr6:coauthVersionMax="47" xr10:uidLastSave="{B861512A-150E-4D6C-81C3-1859D69FCC1F}"/>
  <bookViews>
    <workbookView xWindow="-110" yWindow="-110" windowWidth="22780" windowHeight="14540" activeTab="1" xr2:uid="{F7D9BDAA-2584-4A0A-ABBB-5C2DE305ED71}"/>
  </bookViews>
  <sheets>
    <sheet name="Final Premier League Data" sheetId="2" r:id="rId1"/>
    <sheet name="DT worksheet" sheetId="1" r:id="rId2"/>
    <sheet name="Top players" sheetId="3" r:id="rId3"/>
  </sheet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" l="1"/>
  <c r="D5" i="3"/>
  <c r="D6" i="3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AQ2" i="2"/>
  <c r="D8" i="3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C31" i="1"/>
  <c r="AQ1470" i="2"/>
  <c r="AQ1469" i="2"/>
  <c r="AQ1468" i="2"/>
  <c r="AQ1467" i="2"/>
  <c r="AQ1466" i="2"/>
  <c r="AQ1465" i="2"/>
  <c r="AQ1464" i="2"/>
  <c r="AQ1463" i="2"/>
  <c r="AQ1462" i="2"/>
  <c r="AQ1461" i="2"/>
  <c r="AQ1460" i="2"/>
  <c r="AQ1459" i="2"/>
  <c r="AQ1458" i="2"/>
  <c r="AQ1457" i="2"/>
  <c r="AQ1456" i="2"/>
  <c r="AQ1455" i="2"/>
  <c r="AQ1454" i="2"/>
  <c r="AQ1453" i="2"/>
  <c r="AQ1452" i="2"/>
  <c r="AQ1451" i="2"/>
  <c r="AQ1450" i="2"/>
  <c r="AQ1449" i="2"/>
  <c r="AQ1448" i="2"/>
  <c r="AQ1447" i="2"/>
  <c r="AQ1446" i="2"/>
  <c r="AQ1445" i="2"/>
  <c r="AQ1444" i="2"/>
  <c r="AQ1443" i="2"/>
  <c r="AQ1442" i="2"/>
  <c r="AQ1441" i="2"/>
  <c r="AQ1440" i="2"/>
  <c r="AQ1439" i="2"/>
  <c r="AQ1438" i="2"/>
  <c r="AQ1437" i="2"/>
  <c r="AQ1436" i="2"/>
  <c r="AQ1435" i="2"/>
  <c r="AQ1434" i="2"/>
  <c r="AQ1433" i="2"/>
  <c r="AQ1432" i="2"/>
  <c r="AQ1431" i="2"/>
  <c r="AQ1430" i="2"/>
  <c r="AQ1429" i="2"/>
  <c r="AQ1428" i="2"/>
  <c r="AQ1427" i="2"/>
  <c r="AQ1426" i="2"/>
  <c r="AQ1425" i="2"/>
  <c r="AQ1424" i="2"/>
  <c r="AQ1423" i="2"/>
  <c r="AQ1422" i="2"/>
  <c r="AQ1421" i="2"/>
  <c r="AQ1420" i="2"/>
  <c r="AQ1419" i="2"/>
  <c r="AQ1418" i="2"/>
  <c r="AQ1417" i="2"/>
  <c r="AQ1416" i="2"/>
  <c r="AQ1415" i="2"/>
  <c r="AQ1414" i="2"/>
  <c r="AQ1413" i="2"/>
  <c r="AQ1412" i="2"/>
  <c r="AQ1411" i="2"/>
  <c r="AQ1410" i="2"/>
  <c r="AQ1409" i="2"/>
  <c r="AQ1408" i="2"/>
  <c r="AQ1407" i="2"/>
  <c r="AQ1406" i="2"/>
  <c r="AQ1405" i="2"/>
  <c r="AQ1404" i="2"/>
  <c r="AQ1403" i="2"/>
  <c r="AQ1402" i="2"/>
  <c r="AQ1401" i="2"/>
  <c r="AQ1400" i="2"/>
  <c r="AQ1399" i="2"/>
  <c r="AQ1398" i="2"/>
  <c r="AQ1397" i="2"/>
  <c r="AQ1396" i="2"/>
  <c r="AQ1395" i="2"/>
  <c r="AQ1394" i="2"/>
  <c r="AQ1393" i="2"/>
  <c r="AQ1392" i="2"/>
  <c r="AQ1391" i="2"/>
  <c r="AQ1390" i="2"/>
  <c r="AQ1389" i="2"/>
  <c r="AQ1388" i="2"/>
  <c r="AQ1387" i="2"/>
  <c r="AQ1386" i="2"/>
  <c r="AQ1385" i="2"/>
  <c r="AQ1384" i="2"/>
  <c r="AQ1383" i="2"/>
  <c r="AQ1382" i="2"/>
  <c r="AQ1381" i="2"/>
  <c r="AQ1380" i="2"/>
  <c r="AQ1379" i="2"/>
  <c r="AQ1378" i="2"/>
  <c r="AQ1377" i="2"/>
  <c r="AQ1376" i="2"/>
  <c r="AQ1375" i="2"/>
  <c r="AQ1374" i="2"/>
  <c r="AQ1373" i="2"/>
  <c r="AQ1372" i="2"/>
  <c r="AQ1371" i="2"/>
  <c r="AQ1370" i="2"/>
  <c r="AQ1369" i="2"/>
  <c r="AQ1368" i="2"/>
  <c r="AQ1367" i="2"/>
  <c r="AQ1366" i="2"/>
  <c r="AQ1365" i="2"/>
  <c r="AQ1364" i="2"/>
  <c r="AQ1363" i="2"/>
  <c r="AQ1362" i="2"/>
  <c r="AQ1361" i="2"/>
  <c r="AQ1360" i="2"/>
  <c r="AQ1359" i="2"/>
  <c r="AQ1358" i="2"/>
  <c r="AQ1357" i="2"/>
  <c r="AQ1356" i="2"/>
  <c r="AQ1355" i="2"/>
  <c r="AQ1354" i="2"/>
  <c r="AQ1353" i="2"/>
  <c r="AQ1352" i="2"/>
  <c r="AQ1351" i="2"/>
  <c r="AQ1350" i="2"/>
  <c r="AQ1349" i="2"/>
  <c r="AQ1348" i="2"/>
  <c r="AQ1347" i="2"/>
  <c r="AQ1346" i="2"/>
  <c r="AQ1345" i="2"/>
  <c r="AQ1344" i="2"/>
  <c r="AQ1343" i="2"/>
  <c r="AQ1342" i="2"/>
  <c r="AQ1341" i="2"/>
  <c r="AQ1340" i="2"/>
  <c r="AQ1339" i="2"/>
  <c r="AQ1338" i="2"/>
  <c r="AQ1337" i="2"/>
  <c r="AQ1336" i="2"/>
  <c r="AQ1335" i="2"/>
  <c r="AQ1334" i="2"/>
  <c r="AQ1333" i="2"/>
  <c r="AQ1332" i="2"/>
  <c r="AQ1331" i="2"/>
  <c r="AQ1330" i="2"/>
  <c r="AQ1329" i="2"/>
  <c r="AQ1328" i="2"/>
  <c r="AQ1327" i="2"/>
  <c r="AQ1326" i="2"/>
  <c r="AQ1325" i="2"/>
  <c r="AQ1324" i="2"/>
  <c r="AQ1323" i="2"/>
  <c r="AQ1322" i="2"/>
  <c r="AQ1321" i="2"/>
  <c r="AQ1320" i="2"/>
  <c r="AQ1319" i="2"/>
  <c r="AQ1318" i="2"/>
  <c r="AQ1317" i="2"/>
  <c r="AQ1316" i="2"/>
  <c r="AQ1315" i="2"/>
  <c r="AQ1314" i="2"/>
  <c r="AQ1313" i="2"/>
  <c r="AQ1312" i="2"/>
  <c r="AQ1311" i="2"/>
  <c r="AQ1310" i="2"/>
  <c r="AQ1309" i="2"/>
  <c r="AQ1308" i="2"/>
  <c r="AQ1307" i="2"/>
  <c r="AQ1306" i="2"/>
  <c r="AQ1305" i="2"/>
  <c r="AQ1304" i="2"/>
  <c r="AQ1303" i="2"/>
  <c r="AQ1302" i="2"/>
  <c r="AQ1301" i="2"/>
  <c r="AQ1300" i="2"/>
  <c r="AQ1299" i="2"/>
  <c r="AQ1298" i="2"/>
  <c r="AQ1297" i="2"/>
  <c r="AQ1296" i="2"/>
  <c r="AQ1295" i="2"/>
  <c r="AQ1294" i="2"/>
  <c r="AQ1293" i="2"/>
  <c r="AQ1292" i="2"/>
  <c r="AQ1291" i="2"/>
  <c r="AQ1290" i="2"/>
  <c r="AQ1289" i="2"/>
  <c r="AQ1288" i="2"/>
  <c r="AQ1287" i="2"/>
  <c r="AQ1286" i="2"/>
  <c r="AQ1285" i="2"/>
  <c r="AQ1284" i="2"/>
  <c r="AQ1283" i="2"/>
  <c r="AQ1282" i="2"/>
  <c r="AQ1281" i="2"/>
  <c r="AQ1280" i="2"/>
  <c r="AQ1279" i="2"/>
  <c r="AQ1278" i="2"/>
  <c r="AQ1277" i="2"/>
  <c r="AQ1276" i="2"/>
  <c r="AQ1275" i="2"/>
  <c r="AQ1274" i="2"/>
  <c r="AQ1273" i="2"/>
  <c r="AQ1272" i="2"/>
  <c r="AQ1271" i="2"/>
  <c r="AQ1270" i="2"/>
  <c r="AQ1269" i="2"/>
  <c r="AQ1268" i="2"/>
  <c r="AQ1267" i="2"/>
  <c r="AQ1266" i="2"/>
  <c r="AQ1265" i="2"/>
  <c r="AQ1264" i="2"/>
  <c r="AQ1263" i="2"/>
  <c r="AQ1262" i="2"/>
  <c r="AQ1261" i="2"/>
  <c r="AQ1260" i="2"/>
  <c r="AQ1259" i="2"/>
  <c r="AQ1258" i="2"/>
  <c r="AQ1257" i="2"/>
  <c r="AQ1256" i="2"/>
  <c r="AQ1255" i="2"/>
  <c r="AQ1254" i="2"/>
  <c r="AQ1253" i="2"/>
  <c r="AQ1252" i="2"/>
  <c r="AQ1251" i="2"/>
  <c r="AQ1250" i="2"/>
  <c r="AQ1249" i="2"/>
  <c r="AQ1248" i="2"/>
  <c r="AQ1247" i="2"/>
  <c r="AQ1246" i="2"/>
  <c r="AQ1245" i="2"/>
  <c r="AQ1244" i="2"/>
  <c r="AQ1243" i="2"/>
  <c r="AQ1242" i="2"/>
  <c r="AQ1241" i="2"/>
  <c r="AQ1240" i="2"/>
  <c r="AQ1239" i="2"/>
  <c r="AQ1238" i="2"/>
  <c r="AQ1237" i="2"/>
  <c r="AQ1236" i="2"/>
  <c r="AQ1235" i="2"/>
  <c r="AQ1234" i="2"/>
  <c r="AQ1233" i="2"/>
  <c r="AQ1232" i="2"/>
  <c r="AQ1231" i="2"/>
  <c r="AQ1230" i="2"/>
  <c r="AQ1229" i="2"/>
  <c r="AQ1228" i="2"/>
  <c r="AQ1227" i="2"/>
  <c r="AQ1226" i="2"/>
  <c r="AQ1225" i="2"/>
  <c r="AQ1224" i="2"/>
  <c r="AQ1223" i="2"/>
  <c r="AQ1222" i="2"/>
  <c r="AQ1221" i="2"/>
  <c r="AQ1220" i="2"/>
  <c r="AQ1219" i="2"/>
  <c r="AQ1218" i="2"/>
  <c r="AQ1217" i="2"/>
  <c r="AQ1216" i="2"/>
  <c r="AQ1215" i="2"/>
  <c r="AQ1214" i="2"/>
  <c r="AQ1213" i="2"/>
  <c r="AQ1212" i="2"/>
  <c r="AQ1211" i="2"/>
  <c r="AQ1210" i="2"/>
  <c r="AQ1209" i="2"/>
  <c r="AQ1208" i="2"/>
  <c r="AQ1207" i="2"/>
  <c r="AQ1206" i="2"/>
  <c r="AQ1205" i="2"/>
  <c r="AQ1204" i="2"/>
  <c r="AQ1203" i="2"/>
  <c r="AQ1202" i="2"/>
  <c r="AQ1201" i="2"/>
  <c r="AQ1200" i="2"/>
  <c r="AQ1199" i="2"/>
  <c r="AQ1198" i="2"/>
  <c r="AQ1197" i="2"/>
  <c r="AQ1196" i="2"/>
  <c r="AQ1195" i="2"/>
  <c r="AQ1194" i="2"/>
  <c r="AQ1193" i="2"/>
  <c r="AQ1192" i="2"/>
  <c r="AQ1191" i="2"/>
  <c r="AQ1190" i="2"/>
  <c r="AQ1189" i="2"/>
  <c r="AQ1188" i="2"/>
  <c r="AQ1187" i="2"/>
  <c r="AQ1186" i="2"/>
  <c r="AQ1185" i="2"/>
  <c r="AQ1184" i="2"/>
  <c r="AQ1183" i="2"/>
  <c r="AQ1182" i="2"/>
  <c r="AQ1181" i="2"/>
  <c r="AQ1180" i="2"/>
  <c r="AQ1179" i="2"/>
  <c r="AQ1178" i="2"/>
  <c r="AQ1177" i="2"/>
  <c r="AQ1176" i="2"/>
  <c r="AQ1175" i="2"/>
  <c r="AQ1174" i="2"/>
  <c r="AQ1173" i="2"/>
  <c r="AQ1172" i="2"/>
  <c r="AQ1171" i="2"/>
  <c r="AQ1170" i="2"/>
  <c r="AQ1169" i="2"/>
  <c r="AQ1168" i="2"/>
  <c r="AQ1167" i="2"/>
  <c r="AQ1166" i="2"/>
  <c r="AQ1165" i="2"/>
  <c r="AQ1164" i="2"/>
  <c r="AQ1163" i="2"/>
  <c r="AQ1162" i="2"/>
  <c r="AQ1161" i="2"/>
  <c r="AQ1160" i="2"/>
  <c r="AQ1159" i="2"/>
  <c r="AQ1158" i="2"/>
  <c r="AQ1157" i="2"/>
  <c r="AQ1156" i="2"/>
  <c r="AQ1155" i="2"/>
  <c r="AQ1154" i="2"/>
  <c r="AQ1153" i="2"/>
  <c r="AQ1152" i="2"/>
  <c r="AQ1151" i="2"/>
  <c r="AQ1150" i="2"/>
  <c r="AQ1149" i="2"/>
  <c r="AQ1148" i="2"/>
  <c r="AQ1147" i="2"/>
  <c r="AQ1146" i="2"/>
  <c r="AQ1145" i="2"/>
  <c r="AQ1144" i="2"/>
  <c r="AQ1143" i="2"/>
  <c r="AQ1142" i="2"/>
  <c r="AQ1141" i="2"/>
  <c r="AQ1140" i="2"/>
  <c r="AQ1139" i="2"/>
  <c r="AQ1138" i="2"/>
  <c r="AQ1137" i="2"/>
  <c r="AQ1136" i="2"/>
  <c r="AQ1135" i="2"/>
  <c r="AQ1134" i="2"/>
  <c r="AQ1133" i="2"/>
  <c r="AQ1132" i="2"/>
  <c r="AQ1131" i="2"/>
  <c r="AQ1130" i="2"/>
  <c r="AQ1129" i="2"/>
  <c r="AQ1128" i="2"/>
  <c r="AQ1127" i="2"/>
  <c r="AQ1126" i="2"/>
  <c r="AQ1125" i="2"/>
  <c r="AQ1124" i="2"/>
  <c r="AQ1123" i="2"/>
  <c r="AQ1122" i="2"/>
  <c r="AQ1121" i="2"/>
  <c r="AQ1120" i="2"/>
  <c r="AQ1119" i="2"/>
  <c r="AQ1118" i="2"/>
  <c r="AQ1117" i="2"/>
  <c r="AQ1116" i="2"/>
  <c r="AQ1115" i="2"/>
  <c r="AQ1114" i="2"/>
  <c r="AQ1113" i="2"/>
  <c r="AQ1112" i="2"/>
  <c r="AQ1111" i="2"/>
  <c r="AQ1110" i="2"/>
  <c r="AQ1109" i="2"/>
  <c r="AQ1108" i="2"/>
  <c r="AQ1107" i="2"/>
  <c r="AQ1106" i="2"/>
  <c r="AQ1105" i="2"/>
  <c r="AQ1104" i="2"/>
  <c r="AQ1103" i="2"/>
  <c r="AQ1102" i="2"/>
  <c r="AQ1101" i="2"/>
  <c r="AQ1100" i="2"/>
  <c r="AQ1099" i="2"/>
  <c r="AQ1098" i="2"/>
  <c r="AQ1097" i="2"/>
  <c r="AQ1096" i="2"/>
  <c r="AQ1095" i="2"/>
  <c r="AQ1094" i="2"/>
  <c r="AQ1093" i="2"/>
  <c r="AQ1092" i="2"/>
  <c r="AQ1091" i="2"/>
  <c r="AQ1090" i="2"/>
  <c r="AQ1089" i="2"/>
  <c r="AQ1088" i="2"/>
  <c r="AQ1087" i="2"/>
  <c r="AQ1086" i="2"/>
  <c r="AQ1085" i="2"/>
  <c r="AQ1084" i="2"/>
  <c r="AQ1083" i="2"/>
  <c r="AQ1082" i="2"/>
  <c r="AQ1081" i="2"/>
  <c r="AQ1080" i="2"/>
  <c r="AQ1079" i="2"/>
  <c r="AQ1078" i="2"/>
  <c r="AQ1077" i="2"/>
  <c r="AQ1076" i="2"/>
  <c r="AQ1075" i="2"/>
  <c r="AQ1074" i="2"/>
  <c r="AQ1073" i="2"/>
  <c r="AQ1072" i="2"/>
  <c r="AQ1071" i="2"/>
  <c r="AQ1070" i="2"/>
  <c r="AQ1069" i="2"/>
  <c r="AQ1068" i="2"/>
  <c r="AQ1067" i="2"/>
  <c r="AQ1066" i="2"/>
  <c r="AQ1065" i="2"/>
  <c r="AQ1064" i="2"/>
  <c r="AQ1063" i="2"/>
  <c r="AQ1062" i="2"/>
  <c r="AQ1061" i="2"/>
  <c r="AQ1060" i="2"/>
  <c r="AQ1059" i="2"/>
  <c r="AQ1058" i="2"/>
  <c r="AQ1057" i="2"/>
  <c r="AQ1056" i="2"/>
  <c r="AQ1055" i="2"/>
  <c r="AQ1054" i="2"/>
  <c r="AQ1053" i="2"/>
  <c r="AQ1052" i="2"/>
  <c r="AQ1051" i="2"/>
  <c r="AQ1050" i="2"/>
  <c r="AQ1049" i="2"/>
  <c r="AQ1048" i="2"/>
  <c r="AQ1047" i="2"/>
  <c r="AQ1046" i="2"/>
  <c r="AQ1045" i="2"/>
  <c r="AQ1044" i="2"/>
  <c r="AQ1043" i="2"/>
  <c r="AQ1042" i="2"/>
  <c r="AQ1041" i="2"/>
  <c r="AQ1040" i="2"/>
  <c r="AQ1039" i="2"/>
  <c r="AQ1038" i="2"/>
  <c r="AQ1037" i="2"/>
  <c r="AQ1036" i="2"/>
  <c r="AQ1035" i="2"/>
  <c r="AQ1034" i="2"/>
  <c r="AQ1033" i="2"/>
  <c r="AQ1032" i="2"/>
  <c r="AQ1031" i="2"/>
  <c r="AQ1030" i="2"/>
  <c r="AQ1029" i="2"/>
  <c r="AQ1028" i="2"/>
  <c r="AQ1027" i="2"/>
  <c r="AQ1026" i="2"/>
  <c r="AQ1025" i="2"/>
  <c r="AQ1024" i="2"/>
  <c r="AQ1023" i="2"/>
  <c r="AQ1022" i="2"/>
  <c r="AQ1021" i="2"/>
  <c r="AQ1020" i="2"/>
  <c r="AQ1019" i="2"/>
  <c r="AQ1018" i="2"/>
  <c r="AQ1017" i="2"/>
  <c r="AQ1016" i="2"/>
  <c r="AQ1015" i="2"/>
  <c r="AQ1014" i="2"/>
  <c r="AQ1013" i="2"/>
  <c r="AQ1012" i="2"/>
  <c r="AQ1011" i="2"/>
  <c r="AQ1010" i="2"/>
  <c r="AQ1009" i="2"/>
  <c r="AQ1008" i="2"/>
  <c r="AQ1007" i="2"/>
  <c r="AQ1006" i="2"/>
  <c r="AQ1005" i="2"/>
  <c r="AQ1004" i="2"/>
  <c r="AQ1003" i="2"/>
  <c r="AQ1002" i="2"/>
  <c r="AQ1001" i="2"/>
  <c r="AQ1000" i="2"/>
  <c r="AQ999" i="2"/>
  <c r="AQ998" i="2"/>
  <c r="AQ997" i="2"/>
  <c r="AQ996" i="2"/>
  <c r="AQ995" i="2"/>
  <c r="AQ994" i="2"/>
  <c r="AQ993" i="2"/>
  <c r="AQ992" i="2"/>
  <c r="AQ991" i="2"/>
  <c r="AQ990" i="2"/>
  <c r="AQ989" i="2"/>
  <c r="AQ988" i="2"/>
  <c r="AQ987" i="2"/>
  <c r="AQ986" i="2"/>
  <c r="AQ985" i="2"/>
  <c r="AQ984" i="2"/>
  <c r="AQ983" i="2"/>
  <c r="AQ982" i="2"/>
  <c r="AQ981" i="2"/>
  <c r="AQ980" i="2"/>
  <c r="AQ979" i="2"/>
  <c r="AQ978" i="2"/>
  <c r="AQ977" i="2"/>
  <c r="AQ976" i="2"/>
  <c r="AQ975" i="2"/>
  <c r="AQ974" i="2"/>
  <c r="AQ973" i="2"/>
  <c r="AQ972" i="2"/>
  <c r="AQ971" i="2"/>
  <c r="AQ970" i="2"/>
  <c r="AQ969" i="2"/>
  <c r="AQ968" i="2"/>
  <c r="AQ967" i="2"/>
  <c r="AQ966" i="2"/>
  <c r="AQ965" i="2"/>
  <c r="AQ964" i="2"/>
  <c r="AQ963" i="2"/>
  <c r="AQ962" i="2"/>
  <c r="AQ961" i="2"/>
  <c r="AQ960" i="2"/>
  <c r="AQ959" i="2"/>
  <c r="AQ958" i="2"/>
  <c r="AQ957" i="2"/>
  <c r="AQ956" i="2"/>
  <c r="AQ955" i="2"/>
  <c r="AQ954" i="2"/>
  <c r="AQ953" i="2"/>
  <c r="AQ952" i="2"/>
  <c r="AQ951" i="2"/>
  <c r="AQ950" i="2"/>
  <c r="AQ949" i="2"/>
  <c r="AQ948" i="2"/>
  <c r="AQ947" i="2"/>
  <c r="AQ946" i="2"/>
  <c r="AQ945" i="2"/>
  <c r="AQ944" i="2"/>
  <c r="AQ943" i="2"/>
  <c r="AQ942" i="2"/>
  <c r="AQ941" i="2"/>
  <c r="AQ940" i="2"/>
  <c r="AQ939" i="2"/>
  <c r="AQ938" i="2"/>
  <c r="AQ937" i="2"/>
  <c r="AQ936" i="2"/>
  <c r="AQ935" i="2"/>
  <c r="AQ934" i="2"/>
  <c r="AQ933" i="2"/>
  <c r="AQ932" i="2"/>
  <c r="AQ931" i="2"/>
  <c r="AQ930" i="2"/>
  <c r="AQ929" i="2"/>
  <c r="AQ928" i="2"/>
  <c r="AQ927" i="2"/>
  <c r="AQ926" i="2"/>
  <c r="AQ925" i="2"/>
  <c r="AQ924" i="2"/>
  <c r="AQ923" i="2"/>
  <c r="AQ922" i="2"/>
  <c r="AQ921" i="2"/>
  <c r="AQ920" i="2"/>
  <c r="AQ919" i="2"/>
  <c r="AQ918" i="2"/>
  <c r="AQ917" i="2"/>
  <c r="AQ916" i="2"/>
  <c r="AQ915" i="2"/>
  <c r="AQ914" i="2"/>
  <c r="AQ913" i="2"/>
  <c r="AQ912" i="2"/>
  <c r="AQ911" i="2"/>
  <c r="AQ910" i="2"/>
  <c r="AQ909" i="2"/>
  <c r="AQ908" i="2"/>
  <c r="AQ907" i="2"/>
  <c r="AQ906" i="2"/>
  <c r="AQ905" i="2"/>
  <c r="AQ904" i="2"/>
  <c r="AQ903" i="2"/>
  <c r="AQ902" i="2"/>
  <c r="AQ901" i="2"/>
  <c r="AQ900" i="2"/>
  <c r="AQ899" i="2"/>
  <c r="AQ898" i="2"/>
  <c r="AQ897" i="2"/>
  <c r="AQ896" i="2"/>
  <c r="AQ895" i="2"/>
  <c r="AQ894" i="2"/>
  <c r="AQ893" i="2"/>
  <c r="AQ892" i="2"/>
  <c r="AQ891" i="2"/>
  <c r="AQ890" i="2"/>
  <c r="AQ889" i="2"/>
  <c r="AQ888" i="2"/>
  <c r="AQ887" i="2"/>
  <c r="AQ886" i="2"/>
  <c r="AQ885" i="2"/>
  <c r="AQ884" i="2"/>
  <c r="AQ883" i="2"/>
  <c r="AQ882" i="2"/>
  <c r="AQ881" i="2"/>
  <c r="AQ880" i="2"/>
  <c r="AQ879" i="2"/>
  <c r="AQ878" i="2"/>
  <c r="AQ877" i="2"/>
  <c r="AQ876" i="2"/>
  <c r="AQ875" i="2"/>
  <c r="AQ874" i="2"/>
  <c r="AQ873" i="2"/>
  <c r="AQ872" i="2"/>
  <c r="AQ871" i="2"/>
  <c r="AQ870" i="2"/>
  <c r="AQ869" i="2"/>
  <c r="AQ868" i="2"/>
  <c r="AQ867" i="2"/>
  <c r="AQ866" i="2"/>
  <c r="AQ865" i="2"/>
  <c r="AQ864" i="2"/>
  <c r="AQ863" i="2"/>
  <c r="AQ862" i="2"/>
  <c r="AQ861" i="2"/>
  <c r="AQ860" i="2"/>
  <c r="AQ859" i="2"/>
  <c r="AQ858" i="2"/>
  <c r="AQ857" i="2"/>
  <c r="AQ856" i="2"/>
  <c r="AQ855" i="2"/>
  <c r="AQ854" i="2"/>
  <c r="AQ853" i="2"/>
  <c r="AQ852" i="2"/>
  <c r="AQ851" i="2"/>
  <c r="AQ850" i="2"/>
  <c r="AQ849" i="2"/>
  <c r="AQ848" i="2"/>
  <c r="AQ847" i="2"/>
  <c r="AQ846" i="2"/>
  <c r="AQ845" i="2"/>
  <c r="AQ844" i="2"/>
  <c r="AQ843" i="2"/>
  <c r="AQ842" i="2"/>
  <c r="AQ841" i="2"/>
  <c r="AQ840" i="2"/>
  <c r="AQ839" i="2"/>
  <c r="AQ838" i="2"/>
  <c r="AQ837" i="2"/>
  <c r="AQ836" i="2"/>
  <c r="AQ835" i="2"/>
  <c r="AQ834" i="2"/>
  <c r="AQ833" i="2"/>
  <c r="AQ832" i="2"/>
  <c r="AQ831" i="2"/>
  <c r="AQ830" i="2"/>
  <c r="AQ829" i="2"/>
  <c r="AQ828" i="2"/>
  <c r="AQ827" i="2"/>
  <c r="AQ826" i="2"/>
  <c r="AQ825" i="2"/>
  <c r="AQ824" i="2"/>
  <c r="AQ823" i="2"/>
  <c r="AQ822" i="2"/>
  <c r="AQ821" i="2"/>
  <c r="AQ820" i="2"/>
  <c r="AQ819" i="2"/>
  <c r="AQ818" i="2"/>
  <c r="AQ817" i="2"/>
  <c r="AQ816" i="2"/>
  <c r="AQ815" i="2"/>
  <c r="AQ814" i="2"/>
  <c r="AQ813" i="2"/>
  <c r="AQ812" i="2"/>
  <c r="AQ811" i="2"/>
  <c r="AQ810" i="2"/>
  <c r="AQ809" i="2"/>
  <c r="AQ808" i="2"/>
  <c r="AQ807" i="2"/>
  <c r="AQ806" i="2"/>
  <c r="AQ805" i="2"/>
  <c r="AQ804" i="2"/>
  <c r="AQ803" i="2"/>
  <c r="AQ802" i="2"/>
  <c r="AQ801" i="2"/>
  <c r="AQ800" i="2"/>
  <c r="AQ799" i="2"/>
  <c r="AQ798" i="2"/>
  <c r="AQ797" i="2"/>
  <c r="AQ796" i="2"/>
  <c r="AQ795" i="2"/>
  <c r="AQ794" i="2"/>
  <c r="AQ793" i="2"/>
  <c r="AQ792" i="2"/>
  <c r="AQ791" i="2"/>
  <c r="AQ790" i="2"/>
  <c r="AQ789" i="2"/>
  <c r="AQ788" i="2"/>
  <c r="AQ787" i="2"/>
  <c r="AQ786" i="2"/>
  <c r="AQ785" i="2"/>
  <c r="AQ784" i="2"/>
  <c r="AQ783" i="2"/>
  <c r="AQ782" i="2"/>
  <c r="AQ781" i="2"/>
  <c r="AQ780" i="2"/>
  <c r="AQ779" i="2"/>
  <c r="AQ778" i="2"/>
  <c r="AQ777" i="2"/>
  <c r="AQ776" i="2"/>
  <c r="AQ775" i="2"/>
  <c r="AQ774" i="2"/>
  <c r="AQ773" i="2"/>
  <c r="AQ772" i="2"/>
  <c r="AQ771" i="2"/>
  <c r="AQ770" i="2"/>
  <c r="AQ769" i="2"/>
  <c r="AQ768" i="2"/>
  <c r="AQ767" i="2"/>
  <c r="AQ766" i="2"/>
  <c r="AQ765" i="2"/>
  <c r="AQ764" i="2"/>
  <c r="AQ763" i="2"/>
  <c r="AQ762" i="2"/>
  <c r="AQ761" i="2"/>
  <c r="AQ760" i="2"/>
  <c r="AQ759" i="2"/>
  <c r="AQ758" i="2"/>
  <c r="AQ757" i="2"/>
  <c r="AQ756" i="2"/>
  <c r="AQ755" i="2"/>
  <c r="AQ754" i="2"/>
  <c r="AQ753" i="2"/>
  <c r="AQ752" i="2"/>
  <c r="AQ751" i="2"/>
  <c r="AQ750" i="2"/>
  <c r="AQ749" i="2"/>
  <c r="AQ748" i="2"/>
  <c r="AQ747" i="2"/>
  <c r="AQ746" i="2"/>
  <c r="AQ745" i="2"/>
  <c r="AQ744" i="2"/>
  <c r="AQ743" i="2"/>
  <c r="AQ742" i="2"/>
  <c r="AQ741" i="2"/>
  <c r="AQ740" i="2"/>
  <c r="AQ739" i="2"/>
  <c r="AQ738" i="2"/>
  <c r="AQ737" i="2"/>
  <c r="AQ736" i="2"/>
  <c r="AQ735" i="2"/>
  <c r="AQ734" i="2"/>
  <c r="AQ733" i="2"/>
  <c r="AQ732" i="2"/>
  <c r="AQ731" i="2"/>
  <c r="AQ730" i="2"/>
  <c r="AQ729" i="2"/>
  <c r="AQ728" i="2"/>
  <c r="AQ727" i="2"/>
  <c r="AQ726" i="2"/>
  <c r="AQ725" i="2"/>
  <c r="AQ724" i="2"/>
  <c r="AQ723" i="2"/>
  <c r="AQ722" i="2"/>
  <c r="AQ721" i="2"/>
  <c r="AQ720" i="2"/>
  <c r="AQ719" i="2"/>
  <c r="AQ718" i="2"/>
  <c r="AQ717" i="2"/>
  <c r="AQ716" i="2"/>
  <c r="AQ715" i="2"/>
  <c r="AQ714" i="2"/>
  <c r="AQ713" i="2"/>
  <c r="AQ712" i="2"/>
  <c r="AQ711" i="2"/>
  <c r="AQ710" i="2"/>
  <c r="AQ709" i="2"/>
  <c r="AQ708" i="2"/>
  <c r="AQ707" i="2"/>
  <c r="AQ706" i="2"/>
  <c r="AQ705" i="2"/>
  <c r="AQ704" i="2"/>
  <c r="AQ703" i="2"/>
  <c r="AQ702" i="2"/>
  <c r="AQ701" i="2"/>
  <c r="AQ700" i="2"/>
  <c r="AQ699" i="2"/>
  <c r="AQ698" i="2"/>
  <c r="AQ697" i="2"/>
  <c r="AQ696" i="2"/>
  <c r="AQ695" i="2"/>
  <c r="AQ694" i="2"/>
  <c r="AQ693" i="2"/>
  <c r="AQ692" i="2"/>
  <c r="AQ691" i="2"/>
  <c r="AQ690" i="2"/>
  <c r="AQ689" i="2"/>
  <c r="AQ688" i="2"/>
  <c r="AQ687" i="2"/>
  <c r="AQ686" i="2"/>
  <c r="AQ685" i="2"/>
  <c r="AQ684" i="2"/>
  <c r="AQ683" i="2"/>
  <c r="AQ682" i="2"/>
  <c r="AQ681" i="2"/>
  <c r="AQ680" i="2"/>
  <c r="AQ679" i="2"/>
  <c r="AQ678" i="2"/>
  <c r="AQ677" i="2"/>
  <c r="AQ676" i="2"/>
  <c r="AQ675" i="2"/>
  <c r="AQ674" i="2"/>
  <c r="AQ673" i="2"/>
  <c r="AQ672" i="2"/>
  <c r="AQ671" i="2"/>
  <c r="AQ670" i="2"/>
  <c r="AQ669" i="2"/>
  <c r="AQ668" i="2"/>
  <c r="AQ667" i="2"/>
  <c r="AQ666" i="2"/>
  <c r="AQ665" i="2"/>
  <c r="AQ664" i="2"/>
  <c r="AQ663" i="2"/>
  <c r="AQ662" i="2"/>
  <c r="AQ661" i="2"/>
  <c r="AQ660" i="2"/>
  <c r="AQ659" i="2"/>
  <c r="AQ658" i="2"/>
  <c r="AQ657" i="2"/>
  <c r="AQ656" i="2"/>
  <c r="AQ655" i="2"/>
  <c r="AQ654" i="2"/>
  <c r="AQ653" i="2"/>
  <c r="AQ652" i="2"/>
  <c r="AQ651" i="2"/>
  <c r="AQ650" i="2"/>
  <c r="AQ649" i="2"/>
  <c r="AQ648" i="2"/>
  <c r="AQ647" i="2"/>
  <c r="AQ646" i="2"/>
  <c r="AQ645" i="2"/>
  <c r="AQ644" i="2"/>
  <c r="AQ643" i="2"/>
  <c r="AQ642" i="2"/>
  <c r="AQ641" i="2"/>
  <c r="AQ640" i="2"/>
  <c r="AQ639" i="2"/>
  <c r="AQ638" i="2"/>
  <c r="AQ637" i="2"/>
  <c r="AQ636" i="2"/>
  <c r="AQ635" i="2"/>
  <c r="AQ634" i="2"/>
  <c r="AQ633" i="2"/>
  <c r="AQ632" i="2"/>
  <c r="AQ631" i="2"/>
  <c r="AQ630" i="2"/>
  <c r="AQ629" i="2"/>
  <c r="AQ628" i="2"/>
  <c r="AQ627" i="2"/>
  <c r="AQ626" i="2"/>
  <c r="AQ625" i="2"/>
  <c r="AQ624" i="2"/>
  <c r="AQ623" i="2"/>
  <c r="AQ622" i="2"/>
  <c r="AQ621" i="2"/>
  <c r="AQ620" i="2"/>
  <c r="AQ619" i="2"/>
  <c r="AQ618" i="2"/>
  <c r="AQ617" i="2"/>
  <c r="AQ616" i="2"/>
  <c r="AQ615" i="2"/>
  <c r="AQ614" i="2"/>
  <c r="AQ613" i="2"/>
  <c r="AQ612" i="2"/>
  <c r="AQ611" i="2"/>
  <c r="AQ610" i="2"/>
  <c r="AQ609" i="2"/>
  <c r="AQ608" i="2"/>
  <c r="AQ607" i="2"/>
  <c r="AQ606" i="2"/>
  <c r="AQ605" i="2"/>
  <c r="AQ604" i="2"/>
  <c r="AQ603" i="2"/>
  <c r="AQ602" i="2"/>
  <c r="AQ601" i="2"/>
  <c r="AQ600" i="2"/>
  <c r="AQ599" i="2"/>
  <c r="AQ598" i="2"/>
  <c r="AQ597" i="2"/>
  <c r="AQ596" i="2"/>
  <c r="AQ595" i="2"/>
  <c r="AQ594" i="2"/>
  <c r="AQ593" i="2"/>
  <c r="AQ592" i="2"/>
  <c r="AQ591" i="2"/>
  <c r="AQ590" i="2"/>
  <c r="AQ589" i="2"/>
  <c r="AQ588" i="2"/>
  <c r="AQ587" i="2"/>
  <c r="AQ586" i="2"/>
  <c r="AQ585" i="2"/>
  <c r="AQ584" i="2"/>
  <c r="AQ583" i="2"/>
  <c r="AQ582" i="2"/>
  <c r="AQ581" i="2"/>
  <c r="AQ580" i="2"/>
  <c r="AQ579" i="2"/>
  <c r="AQ578" i="2"/>
  <c r="AQ577" i="2"/>
  <c r="AQ576" i="2"/>
  <c r="AQ575" i="2"/>
  <c r="AQ574" i="2"/>
  <c r="AQ573" i="2"/>
  <c r="AQ572" i="2"/>
  <c r="AQ571" i="2"/>
  <c r="AQ570" i="2"/>
  <c r="AQ569" i="2"/>
  <c r="AQ568" i="2"/>
  <c r="AQ567" i="2"/>
  <c r="AQ566" i="2"/>
  <c r="AQ565" i="2"/>
  <c r="AQ564" i="2"/>
  <c r="AQ563" i="2"/>
  <c r="AQ562" i="2"/>
  <c r="AQ561" i="2"/>
  <c r="AQ560" i="2"/>
  <c r="AQ559" i="2"/>
  <c r="AQ558" i="2"/>
  <c r="AQ557" i="2"/>
  <c r="AQ556" i="2"/>
  <c r="AQ555" i="2"/>
  <c r="AQ554" i="2"/>
  <c r="AQ553" i="2"/>
  <c r="AQ552" i="2"/>
  <c r="AQ551" i="2"/>
  <c r="AQ550" i="2"/>
  <c r="AQ549" i="2"/>
  <c r="AQ548" i="2"/>
  <c r="AQ547" i="2"/>
  <c r="AQ546" i="2"/>
  <c r="AQ545" i="2"/>
  <c r="AQ544" i="2"/>
  <c r="AQ543" i="2"/>
  <c r="AQ542" i="2"/>
  <c r="AQ541" i="2"/>
  <c r="AQ540" i="2"/>
  <c r="AQ539" i="2"/>
  <c r="AQ538" i="2"/>
  <c r="AQ537" i="2"/>
  <c r="AQ536" i="2"/>
  <c r="AQ535" i="2"/>
  <c r="AQ534" i="2"/>
  <c r="AQ533" i="2"/>
  <c r="AQ532" i="2"/>
  <c r="AQ531" i="2"/>
  <c r="AQ530" i="2"/>
  <c r="AQ529" i="2"/>
  <c r="AQ528" i="2"/>
  <c r="AQ527" i="2"/>
  <c r="AQ526" i="2"/>
  <c r="AQ525" i="2"/>
  <c r="AQ524" i="2"/>
  <c r="AQ523" i="2"/>
  <c r="AQ522" i="2"/>
  <c r="AQ521" i="2"/>
  <c r="AQ520" i="2"/>
  <c r="AQ519" i="2"/>
  <c r="AQ518" i="2"/>
  <c r="AQ517" i="2"/>
  <c r="AQ516" i="2"/>
  <c r="AQ515" i="2"/>
  <c r="AQ514" i="2"/>
  <c r="AQ513" i="2"/>
  <c r="AQ512" i="2"/>
  <c r="AQ511" i="2"/>
  <c r="AQ510" i="2"/>
  <c r="AQ509" i="2"/>
  <c r="AQ508" i="2"/>
  <c r="AQ507" i="2"/>
  <c r="AQ506" i="2"/>
  <c r="AQ505" i="2"/>
  <c r="AQ504" i="2"/>
  <c r="AQ503" i="2"/>
  <c r="AQ502" i="2"/>
  <c r="AQ501" i="2"/>
  <c r="AQ500" i="2"/>
  <c r="AQ499" i="2"/>
  <c r="AQ498" i="2"/>
  <c r="AQ497" i="2"/>
  <c r="AQ496" i="2"/>
  <c r="AQ495" i="2"/>
  <c r="AQ494" i="2"/>
  <c r="AQ493" i="2"/>
  <c r="AQ492" i="2"/>
  <c r="AQ491" i="2"/>
  <c r="AQ490" i="2"/>
  <c r="AQ489" i="2"/>
  <c r="AQ488" i="2"/>
  <c r="AQ487" i="2"/>
  <c r="AQ486" i="2"/>
  <c r="AQ485" i="2"/>
  <c r="AQ484" i="2"/>
  <c r="AQ483" i="2"/>
  <c r="AQ482" i="2"/>
  <c r="AQ481" i="2"/>
  <c r="AQ480" i="2"/>
  <c r="AQ479" i="2"/>
  <c r="AQ478" i="2"/>
  <c r="AQ477" i="2"/>
  <c r="AQ476" i="2"/>
  <c r="AQ475" i="2"/>
  <c r="AQ474" i="2"/>
  <c r="AQ473" i="2"/>
  <c r="AQ472" i="2"/>
  <c r="AQ471" i="2"/>
  <c r="AQ470" i="2"/>
  <c r="AQ469" i="2"/>
  <c r="AQ468" i="2"/>
  <c r="AQ467" i="2"/>
  <c r="AQ466" i="2"/>
  <c r="AQ465" i="2"/>
  <c r="AQ464" i="2"/>
  <c r="AQ463" i="2"/>
  <c r="AQ462" i="2"/>
  <c r="AQ461" i="2"/>
  <c r="AQ460" i="2"/>
  <c r="AQ459" i="2"/>
  <c r="AQ458" i="2"/>
  <c r="AQ457" i="2"/>
  <c r="AQ456" i="2"/>
  <c r="AQ455" i="2"/>
  <c r="AQ454" i="2"/>
  <c r="AQ453" i="2"/>
  <c r="AQ452" i="2"/>
  <c r="AQ451" i="2"/>
  <c r="AQ450" i="2"/>
  <c r="AQ449" i="2"/>
  <c r="AQ448" i="2"/>
  <c r="AQ447" i="2"/>
  <c r="AQ446" i="2"/>
  <c r="AQ445" i="2"/>
  <c r="AQ444" i="2"/>
  <c r="AQ443" i="2"/>
  <c r="AQ442" i="2"/>
  <c r="AQ441" i="2"/>
  <c r="AQ440" i="2"/>
  <c r="AQ439" i="2"/>
  <c r="AQ438" i="2"/>
  <c r="AQ437" i="2"/>
  <c r="AQ436" i="2"/>
  <c r="AQ435" i="2"/>
  <c r="AQ434" i="2"/>
  <c r="AQ433" i="2"/>
  <c r="AQ432" i="2"/>
  <c r="AQ431" i="2"/>
  <c r="AQ430" i="2"/>
  <c r="AQ429" i="2"/>
  <c r="AQ428" i="2"/>
  <c r="AQ427" i="2"/>
  <c r="AQ426" i="2"/>
  <c r="AQ425" i="2"/>
  <c r="AQ424" i="2"/>
  <c r="AQ423" i="2"/>
  <c r="AQ422" i="2"/>
  <c r="AQ421" i="2"/>
  <c r="AQ420" i="2"/>
  <c r="AQ419" i="2"/>
  <c r="AQ418" i="2"/>
  <c r="AQ417" i="2"/>
  <c r="AQ416" i="2"/>
  <c r="AQ415" i="2"/>
  <c r="AQ414" i="2"/>
  <c r="AQ413" i="2"/>
  <c r="AQ412" i="2"/>
  <c r="AQ411" i="2"/>
  <c r="AQ410" i="2"/>
  <c r="AQ409" i="2"/>
  <c r="AQ408" i="2"/>
  <c r="AQ407" i="2"/>
  <c r="AQ406" i="2"/>
  <c r="AQ405" i="2"/>
  <c r="AQ404" i="2"/>
  <c r="AQ403" i="2"/>
  <c r="AQ402" i="2"/>
  <c r="AQ401" i="2"/>
  <c r="AQ400" i="2"/>
  <c r="AQ399" i="2"/>
  <c r="AQ398" i="2"/>
  <c r="AQ397" i="2"/>
  <c r="AQ396" i="2"/>
  <c r="AQ395" i="2"/>
  <c r="AQ394" i="2"/>
  <c r="AQ393" i="2"/>
  <c r="AQ392" i="2"/>
  <c r="AQ391" i="2"/>
  <c r="AQ390" i="2"/>
  <c r="AQ389" i="2"/>
  <c r="AQ388" i="2"/>
  <c r="AQ387" i="2"/>
  <c r="AQ386" i="2"/>
  <c r="AQ385" i="2"/>
  <c r="AQ384" i="2"/>
  <c r="AQ383" i="2"/>
  <c r="AQ382" i="2"/>
  <c r="AQ381" i="2"/>
  <c r="AQ380" i="2"/>
  <c r="AQ379" i="2"/>
  <c r="AQ378" i="2"/>
  <c r="AQ377" i="2"/>
  <c r="AQ376" i="2"/>
  <c r="AQ375" i="2"/>
  <c r="AQ374" i="2"/>
  <c r="AQ373" i="2"/>
  <c r="AQ372" i="2"/>
  <c r="AQ371" i="2"/>
  <c r="AQ370" i="2"/>
  <c r="AQ369" i="2"/>
  <c r="AQ368" i="2"/>
  <c r="AQ367" i="2"/>
  <c r="AQ366" i="2"/>
  <c r="AQ365" i="2"/>
  <c r="AQ364" i="2"/>
  <c r="AQ363" i="2"/>
  <c r="AQ362" i="2"/>
  <c r="AQ361" i="2"/>
  <c r="AQ360" i="2"/>
  <c r="AQ359" i="2"/>
  <c r="AQ358" i="2"/>
  <c r="AQ357" i="2"/>
  <c r="AQ356" i="2"/>
  <c r="AQ355" i="2"/>
  <c r="AQ354" i="2"/>
  <c r="AQ353" i="2"/>
  <c r="AQ352" i="2"/>
  <c r="AQ351" i="2"/>
  <c r="AQ350" i="2"/>
  <c r="AQ349" i="2"/>
  <c r="AQ348" i="2"/>
  <c r="AQ347" i="2"/>
  <c r="AQ346" i="2"/>
  <c r="AQ345" i="2"/>
  <c r="AQ344" i="2"/>
  <c r="AQ343" i="2"/>
  <c r="AQ342" i="2"/>
  <c r="AQ341" i="2"/>
  <c r="AQ340" i="2"/>
  <c r="AQ339" i="2"/>
  <c r="AQ338" i="2"/>
  <c r="AQ337" i="2"/>
  <c r="AQ336" i="2"/>
  <c r="AQ335" i="2"/>
  <c r="AQ334" i="2"/>
  <c r="AQ333" i="2"/>
  <c r="AQ332" i="2"/>
  <c r="AQ331" i="2"/>
  <c r="AQ330" i="2"/>
  <c r="AQ329" i="2"/>
  <c r="AQ328" i="2"/>
  <c r="AQ327" i="2"/>
  <c r="AQ326" i="2"/>
  <c r="AQ325" i="2"/>
  <c r="AQ324" i="2"/>
  <c r="AQ323" i="2"/>
  <c r="AQ322" i="2"/>
  <c r="AQ321" i="2"/>
  <c r="AQ320" i="2"/>
  <c r="AQ319" i="2"/>
  <c r="AQ318" i="2"/>
  <c r="AQ317" i="2"/>
  <c r="AQ316" i="2"/>
  <c r="AQ315" i="2"/>
  <c r="AQ314" i="2"/>
  <c r="AQ313" i="2"/>
  <c r="AQ312" i="2"/>
  <c r="AQ311" i="2"/>
  <c r="AQ310" i="2"/>
  <c r="AQ309" i="2"/>
  <c r="AQ308" i="2"/>
  <c r="AQ307" i="2"/>
  <c r="AQ306" i="2"/>
  <c r="AQ305" i="2"/>
  <c r="AQ304" i="2"/>
  <c r="AQ303" i="2"/>
  <c r="AQ302" i="2"/>
  <c r="AQ301" i="2"/>
  <c r="AQ300" i="2"/>
  <c r="AQ299" i="2"/>
  <c r="AQ298" i="2"/>
  <c r="AQ297" i="2"/>
  <c r="AQ296" i="2"/>
  <c r="AQ295" i="2"/>
  <c r="AQ294" i="2"/>
  <c r="AQ293" i="2"/>
  <c r="AQ292" i="2"/>
  <c r="AQ291" i="2"/>
  <c r="AQ290" i="2"/>
  <c r="AQ289" i="2"/>
  <c r="AQ288" i="2"/>
  <c r="AQ287" i="2"/>
  <c r="AQ286" i="2"/>
  <c r="AQ285" i="2"/>
  <c r="AQ284" i="2"/>
  <c r="AQ283" i="2"/>
  <c r="AQ282" i="2"/>
  <c r="AQ281" i="2"/>
  <c r="AQ280" i="2"/>
  <c r="AQ279" i="2"/>
  <c r="AQ278" i="2"/>
  <c r="AQ277" i="2"/>
  <c r="AQ276" i="2"/>
  <c r="AQ275" i="2"/>
  <c r="AQ274" i="2"/>
  <c r="AQ273" i="2"/>
  <c r="AQ272" i="2"/>
  <c r="AQ271" i="2"/>
  <c r="AQ270" i="2"/>
  <c r="AQ269" i="2"/>
  <c r="AQ268" i="2"/>
  <c r="AQ267" i="2"/>
  <c r="AQ266" i="2"/>
  <c r="AQ265" i="2"/>
  <c r="AQ264" i="2"/>
  <c r="AQ263" i="2"/>
  <c r="AQ262" i="2"/>
  <c r="AQ261" i="2"/>
  <c r="AQ260" i="2"/>
  <c r="AQ259" i="2"/>
  <c r="AQ258" i="2"/>
  <c r="AQ257" i="2"/>
  <c r="AQ256" i="2"/>
  <c r="AQ255" i="2"/>
  <c r="AQ254" i="2"/>
  <c r="AQ253" i="2"/>
  <c r="AQ252" i="2"/>
  <c r="AQ251" i="2"/>
  <c r="AQ250" i="2"/>
  <c r="AQ249" i="2"/>
  <c r="AQ248" i="2"/>
  <c r="AQ247" i="2"/>
  <c r="AQ246" i="2"/>
  <c r="AQ245" i="2"/>
  <c r="AQ244" i="2"/>
  <c r="AQ243" i="2"/>
  <c r="AQ242" i="2"/>
  <c r="AQ241" i="2"/>
  <c r="AQ240" i="2"/>
  <c r="AQ239" i="2"/>
  <c r="AQ238" i="2"/>
  <c r="AQ237" i="2"/>
  <c r="AQ236" i="2"/>
  <c r="AQ235" i="2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81" i="2"/>
  <c r="AQ180" i="2"/>
  <c r="AQ179" i="2"/>
  <c r="AQ178" i="2"/>
  <c r="AQ177" i="2"/>
  <c r="AQ176" i="2"/>
  <c r="AQ175" i="2"/>
  <c r="AQ174" i="2"/>
  <c r="AQ173" i="2"/>
  <c r="AQ172" i="2"/>
  <c r="AQ171" i="2"/>
  <c r="AQ170" i="2"/>
  <c r="AQ169" i="2"/>
  <c r="AQ168" i="2"/>
  <c r="AQ167" i="2"/>
  <c r="AQ166" i="2"/>
  <c r="AQ165" i="2"/>
  <c r="AQ164" i="2"/>
  <c r="AQ163" i="2"/>
  <c r="AQ162" i="2"/>
  <c r="AQ161" i="2"/>
  <c r="AQ160" i="2"/>
  <c r="AQ159" i="2"/>
  <c r="AQ158" i="2"/>
  <c r="AQ157" i="2"/>
  <c r="AQ156" i="2"/>
  <c r="AQ155" i="2"/>
  <c r="AQ154" i="2"/>
  <c r="AQ153" i="2"/>
  <c r="AQ152" i="2"/>
  <c r="AQ151" i="2"/>
  <c r="AQ150" i="2"/>
  <c r="AQ149" i="2"/>
  <c r="AQ148" i="2"/>
  <c r="AQ147" i="2"/>
  <c r="AQ146" i="2"/>
  <c r="AQ145" i="2"/>
  <c r="AQ144" i="2"/>
  <c r="AQ143" i="2"/>
  <c r="AQ142" i="2"/>
  <c r="AQ141" i="2"/>
  <c r="AQ140" i="2"/>
  <c r="AQ139" i="2"/>
  <c r="AQ138" i="2"/>
  <c r="AQ137" i="2"/>
  <c r="AQ136" i="2"/>
  <c r="AQ135" i="2"/>
  <c r="AQ134" i="2"/>
  <c r="AQ133" i="2"/>
  <c r="AQ132" i="2"/>
  <c r="AQ131" i="2"/>
  <c r="AQ130" i="2"/>
  <c r="AQ129" i="2"/>
  <c r="AQ128" i="2"/>
  <c r="AQ127" i="2"/>
  <c r="AQ126" i="2"/>
  <c r="AQ125" i="2"/>
  <c r="AQ124" i="2"/>
  <c r="AQ123" i="2"/>
  <c r="AQ122" i="2"/>
  <c r="AQ121" i="2"/>
  <c r="AQ120" i="2"/>
  <c r="AQ119" i="2"/>
  <c r="AQ118" i="2"/>
  <c r="AQ117" i="2"/>
  <c r="AQ116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5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70" i="2"/>
  <c r="AQ69" i="2"/>
  <c r="AQ68" i="2"/>
  <c r="AQ67" i="2"/>
  <c r="AQ66" i="2"/>
  <c r="AQ65" i="2"/>
  <c r="AQ64" i="2"/>
  <c r="AQ63" i="2"/>
  <c r="AQ62" i="2"/>
  <c r="AQ61" i="2"/>
  <c r="AQ60" i="2"/>
  <c r="AQ59" i="2"/>
  <c r="AQ58" i="2"/>
  <c r="AQ57" i="2"/>
  <c r="AQ56" i="2"/>
  <c r="AQ55" i="2"/>
  <c r="AQ54" i="2"/>
  <c r="AQ53" i="2"/>
  <c r="AQ52" i="2"/>
  <c r="AQ51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6" i="2"/>
  <c r="AQ25" i="2"/>
  <c r="AQ24" i="2"/>
  <c r="AQ23" i="2"/>
  <c r="AQ22" i="2"/>
  <c r="AQ21" i="2"/>
  <c r="AQ20" i="2"/>
  <c r="AQ19" i="2"/>
  <c r="AQ18" i="2"/>
  <c r="AQ17" i="2"/>
  <c r="AQ16" i="2"/>
  <c r="AQ15" i="2"/>
  <c r="AQ14" i="2"/>
  <c r="AQ13" i="2"/>
  <c r="AQ12" i="2"/>
  <c r="AQ11" i="2"/>
  <c r="AQ10" i="2"/>
  <c r="AQ9" i="2"/>
  <c r="AQ8" i="2"/>
  <c r="AQ7" i="2"/>
  <c r="AQ6" i="2"/>
  <c r="AQ5" i="2"/>
  <c r="AQ4" i="2"/>
  <c r="AQ3" i="2"/>
  <c r="D19" i="1" l="1"/>
  <c r="D12" i="1"/>
  <c r="D26" i="1"/>
  <c r="D18" i="1"/>
  <c r="D25" i="1"/>
  <c r="D17" i="1"/>
  <c r="D24" i="1"/>
  <c r="D16" i="1"/>
  <c r="D23" i="1"/>
  <c r="D15" i="1"/>
  <c r="D22" i="1"/>
  <c r="D14" i="1"/>
  <c r="D21" i="1"/>
  <c r="D13" i="1"/>
  <c r="D20" i="1"/>
  <c r="F12" i="1"/>
  <c r="F17" i="1"/>
  <c r="F19" i="1"/>
  <c r="F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Salvador Serfaty</author>
  </authors>
  <commentList>
    <comment ref="D11" authorId="0" shapeId="0" xr:uid="{02489DF9-F7FB-4FB7-8CA5-0914C1FEEC17}">
      <text>
        <r>
          <rPr>
            <b/>
            <sz val="9"/>
            <color indexed="81"/>
            <rFont val="Tahoma"/>
            <family val="2"/>
          </rPr>
          <t>Salvador Serfaty:</t>
        </r>
        <r>
          <rPr>
            <sz val="9"/>
            <color indexed="81"/>
            <rFont val="Tahoma"/>
            <family val="2"/>
          </rPr>
          <t xml:space="preserve">
If you prefer, you can select the player by clicking here from the drop down list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2F4E23-C417-422E-B96F-A48B3CBBA87E}" keepAlive="1" name="Query - Final Premier League Data" description="Connection to the 'Final Premier League Data' query in the workbook." type="5" refreshedVersion="0" background="1">
    <dbPr connection="Provider=Microsoft.Mashup.OleDb.1;Data Source=$Workbook$;Location=&quot;Final Premier League Data&quot;;Extended Properties=&quot;&quot;" command="SELECT * FROM [Final Premier League Data]"/>
  </connection>
  <connection id="2" xr16:uid="{6AC40CBD-498E-48A0-AD5D-7B6BD0880838}" keepAlive="1" name="Query - Final Premier League Data (2)" description="Connection to the 'Final Premier League Data (2)' query in the workbook." type="5" refreshedVersion="0" background="1" saveData="1">
    <dbPr connection="Provider=Microsoft.Mashup.OleDb.1;Data Source=$Workbook$;Location=&quot;Final Premier League Data (2)&quot;;Extended Properties=&quot;&quot;" command="SELECT * FROM [Final Premier League Data (2)]"/>
  </connection>
</connections>
</file>

<file path=xl/sharedStrings.xml><?xml version="1.0" encoding="utf-8"?>
<sst xmlns="http://schemas.openxmlformats.org/spreadsheetml/2006/main" count="11108" uniqueCount="2366">
  <si>
    <t>Player</t>
  </si>
  <si>
    <t>Season</t>
  </si>
  <si>
    <t xml:space="preserve">Born </t>
  </si>
  <si>
    <t>Age</t>
  </si>
  <si>
    <t>Nation</t>
  </si>
  <si>
    <t>Previous Market Value</t>
  </si>
  <si>
    <t>Market Value</t>
  </si>
  <si>
    <t>Position</t>
  </si>
  <si>
    <t>App</t>
  </si>
  <si>
    <t>Minutes</t>
  </si>
  <si>
    <t>Goals</t>
  </si>
  <si>
    <t>Passes</t>
  </si>
  <si>
    <t>Assists</t>
  </si>
  <si>
    <t>Yellow</t>
  </si>
  <si>
    <t>Red</t>
  </si>
  <si>
    <t>SubOn</t>
  </si>
  <si>
    <t>SubOff</t>
  </si>
  <si>
    <t>Shots</t>
  </si>
  <si>
    <t>SOT</t>
  </si>
  <si>
    <t xml:space="preserve">HitPost </t>
  </si>
  <si>
    <t>HeadClear</t>
  </si>
  <si>
    <t>HeadGoal</t>
  </si>
  <si>
    <t>PKScored</t>
  </si>
  <si>
    <t>FKGoal</t>
  </si>
  <si>
    <t>Offsides</t>
  </si>
  <si>
    <t>ThrBall</t>
  </si>
  <si>
    <t>Misses</t>
  </si>
  <si>
    <t>Corners</t>
  </si>
  <si>
    <t>Crosses</t>
  </si>
  <si>
    <t>Blocks</t>
  </si>
  <si>
    <t>Interceptions</t>
  </si>
  <si>
    <t>Fouls</t>
  </si>
  <si>
    <t xml:space="preserve">Last man </t>
  </si>
  <si>
    <t>Tackles</t>
  </si>
  <si>
    <t>ELG</t>
  </si>
  <si>
    <t>OwnGoal</t>
  </si>
  <si>
    <t>Clears</t>
  </si>
  <si>
    <t>ABW</t>
  </si>
  <si>
    <t>ABL</t>
  </si>
  <si>
    <t>2015-2016</t>
  </si>
  <si>
    <t>Swansea City</t>
  </si>
  <si>
    <t>Portugal</t>
  </si>
  <si>
    <t>FW</t>
  </si>
  <si>
    <t>2017-2018</t>
  </si>
  <si>
    <t>Chelsea</t>
  </si>
  <si>
    <t>Spain</t>
  </si>
  <si>
    <t>2018-2019</t>
  </si>
  <si>
    <t>2016-2017</t>
  </si>
  <si>
    <t>Middlesbrough</t>
  </si>
  <si>
    <t>Aaron Cresswell</t>
  </si>
  <si>
    <t>West Ham United</t>
  </si>
  <si>
    <t>England</t>
  </si>
  <si>
    <t>DF</t>
  </si>
  <si>
    <t>Aaron Lennon</t>
  </si>
  <si>
    <t>Everton</t>
  </si>
  <si>
    <t>MF</t>
  </si>
  <si>
    <t>Burnley</t>
  </si>
  <si>
    <t>Aaron Mooy</t>
  </si>
  <si>
    <t>Huddersfield Town</t>
  </si>
  <si>
    <t>Australia</t>
  </si>
  <si>
    <t>Aaron Ramsey</t>
  </si>
  <si>
    <t>Arsenal</t>
  </si>
  <si>
    <t>Wales</t>
  </si>
  <si>
    <t>Aaron Wan-Bissaka</t>
  </si>
  <si>
    <t>Crystal Palace</t>
  </si>
  <si>
    <t>Abdoulaye Doucoure</t>
  </si>
  <si>
    <t>Watford</t>
  </si>
  <si>
    <t>France</t>
  </si>
  <si>
    <t>Abdul Rahman Baba</t>
  </si>
  <si>
    <t>Ghana</t>
  </si>
  <si>
    <t>Abel Hernández</t>
  </si>
  <si>
    <t>Hull City</t>
  </si>
  <si>
    <t>Uruguay</t>
  </si>
  <si>
    <t>Aboubakar Kamara</t>
  </si>
  <si>
    <t>Fulham</t>
  </si>
  <si>
    <t>Adam Clayton</t>
  </si>
  <si>
    <t>Adam Forshaw</t>
  </si>
  <si>
    <t>Adam Johnson</t>
  </si>
  <si>
    <t>Sunderland</t>
  </si>
  <si>
    <t>Adam Lallana</t>
  </si>
  <si>
    <t>Liverpool</t>
  </si>
  <si>
    <t>Adam Masina</t>
  </si>
  <si>
    <t>Italy</t>
  </si>
  <si>
    <t>Adam Smith</t>
  </si>
  <si>
    <t>AFC Bournemouth</t>
  </si>
  <si>
    <t>Adama Diakhaby</t>
  </si>
  <si>
    <t>Adama Diomande</t>
  </si>
  <si>
    <t>Norway</t>
  </si>
  <si>
    <t>Adama Traoré</t>
  </si>
  <si>
    <t>Aston Villa</t>
  </si>
  <si>
    <t>Wolves</t>
  </si>
  <si>
    <t>Ademola Lookman</t>
  </si>
  <si>
    <t>Adlene Guedioura</t>
  </si>
  <si>
    <t>Algeria</t>
  </si>
  <si>
    <t>Adnan Januzaj</t>
  </si>
  <si>
    <t>Belgium</t>
  </si>
  <si>
    <t>Adrian Mariappa</t>
  </si>
  <si>
    <t>Jamaica</t>
  </si>
  <si>
    <t>Adrien Silva</t>
  </si>
  <si>
    <t>Leicester City</t>
  </si>
  <si>
    <t>Ahmed El Mohamady</t>
  </si>
  <si>
    <t>Egypt</t>
  </si>
  <si>
    <t>Ahmed Hegazi</t>
  </si>
  <si>
    <t>West Bromwich Albion</t>
  </si>
  <si>
    <t>Ahmed Musa</t>
  </si>
  <si>
    <t>Nigeria</t>
  </si>
  <si>
    <t>Ainsley Maitland-Niles</t>
  </si>
  <si>
    <t>Alan Hutton</t>
  </si>
  <si>
    <t>Scotland</t>
  </si>
  <si>
    <t>Alberto Moreno</t>
  </si>
  <si>
    <t>Alberto Paloschi</t>
  </si>
  <si>
    <t>Aleksandar Dragovic</t>
  </si>
  <si>
    <t>Austria</t>
  </si>
  <si>
    <t>Aleksandar Kolarov</t>
  </si>
  <si>
    <t>Manchester City</t>
  </si>
  <si>
    <t>Serbia</t>
  </si>
  <si>
    <t>Aleksandar Mitrovic</t>
  </si>
  <si>
    <t>Newcastle United</t>
  </si>
  <si>
    <t>Alex Iwobi</t>
  </si>
  <si>
    <t>Alex Oxlade-Chamberlain</t>
  </si>
  <si>
    <t>Alex Pritchard</t>
  </si>
  <si>
    <t>Alexander Sørloth</t>
  </si>
  <si>
    <t>Alexander Tettey</t>
  </si>
  <si>
    <t>Norwich City</t>
  </si>
  <si>
    <t>Alexandre Lacazette</t>
  </si>
  <si>
    <t>Alexandre Song</t>
  </si>
  <si>
    <t>Cameroon</t>
  </si>
  <si>
    <t>Alexis Sanchez</t>
  </si>
  <si>
    <t>Chile</t>
  </si>
  <si>
    <t>Manchester United</t>
  </si>
  <si>
    <t>Alfie Mawson</t>
  </si>
  <si>
    <t>Alfred N'Diaye</t>
  </si>
  <si>
    <t>Senegal</t>
  </si>
  <si>
    <t>Alireza Jahanbakhsh</t>
  </si>
  <si>
    <t>Brighton and Hove Albion</t>
  </si>
  <si>
    <t>Iran</t>
  </si>
  <si>
    <t>Allan-Romeo Nyom</t>
  </si>
  <si>
    <t>Almen Abdi</t>
  </si>
  <si>
    <t>Switzerland</t>
  </si>
  <si>
    <t>Aly Cissokho</t>
  </si>
  <si>
    <t>Ander Herrera</t>
  </si>
  <si>
    <t>André Ayew</t>
  </si>
  <si>
    <t>André Carrillo</t>
  </si>
  <si>
    <t>Peru</t>
  </si>
  <si>
    <t>André Gomes</t>
  </si>
  <si>
    <t>André Schürrle</t>
  </si>
  <si>
    <t>Germany</t>
  </si>
  <si>
    <t>Andre Gray</t>
  </si>
  <si>
    <t>Andre Wisdom</t>
  </si>
  <si>
    <t>Andre-Frank Zambo Anguissa</t>
  </si>
  <si>
    <t>Andrea Ranocchia</t>
  </si>
  <si>
    <t>Andreas Christensen</t>
  </si>
  <si>
    <t>Denmark</t>
  </si>
  <si>
    <t>Andreas Pereira</t>
  </si>
  <si>
    <t>Brazil</t>
  </si>
  <si>
    <t>Andrew Robertson</t>
  </si>
  <si>
    <t>Andrew Surman</t>
  </si>
  <si>
    <t>Andros Townsend</t>
  </si>
  <si>
    <t>Andy Carroll</t>
  </si>
  <si>
    <t>Andy King</t>
  </si>
  <si>
    <t>Angel Rangel</t>
  </si>
  <si>
    <t>Angelo Ogbonna</t>
  </si>
  <si>
    <t>Anthony Knockaert</t>
  </si>
  <si>
    <t>Anthony Martial</t>
  </si>
  <si>
    <t>Antonio Barragán</t>
  </si>
  <si>
    <t>Antonio Rüdiger</t>
  </si>
  <si>
    <t>Antonio Valencia</t>
  </si>
  <si>
    <t>Ecuador</t>
  </si>
  <si>
    <t>Aron Gunnarsson</t>
  </si>
  <si>
    <t>Cardiff City</t>
  </si>
  <si>
    <t>Iceland</t>
  </si>
  <si>
    <t>Arouna Koné</t>
  </si>
  <si>
    <t>Cote D'Ivoire</t>
  </si>
  <si>
    <t>Arthur Masuaku</t>
  </si>
  <si>
    <t>The Democratic Republic Of Congo</t>
  </si>
  <si>
    <t>Ashley Barnes</t>
  </si>
  <si>
    <t>Ashley Fletcher</t>
  </si>
  <si>
    <t>Ashley Westwood</t>
  </si>
  <si>
    <t>Ashley Williams</t>
  </si>
  <si>
    <t>Ashley Young</t>
  </si>
  <si>
    <t>Aymeric Laporte</t>
  </si>
  <si>
    <t>Ayoze Pérez</t>
  </si>
  <si>
    <t>Bacary Sagna</t>
  </si>
  <si>
    <t>Badou Ndiaye</t>
  </si>
  <si>
    <t>Stoke City</t>
  </si>
  <si>
    <t>Bafétimbi Gomis</t>
  </si>
  <si>
    <t>Bakary Sako</t>
  </si>
  <si>
    <t>Mali</t>
  </si>
  <si>
    <t>Bastian Schweinsteiger</t>
  </si>
  <si>
    <t>Ben Chilwell</t>
  </si>
  <si>
    <t>Ben Davies</t>
  </si>
  <si>
    <t>Tottenham</t>
  </si>
  <si>
    <t>Ben Gibson</t>
  </si>
  <si>
    <t>Ben Mee</t>
  </si>
  <si>
    <t>Ben Watson</t>
  </si>
  <si>
    <t>Benik Afobe</t>
  </si>
  <si>
    <t>Benjamin Mendy</t>
  </si>
  <si>
    <t>Beram Kayal</t>
  </si>
  <si>
    <t>Israel</t>
  </si>
  <si>
    <t>Bernard</t>
  </si>
  <si>
    <t>Bernardo</t>
  </si>
  <si>
    <t>Bernardo Espinosa</t>
  </si>
  <si>
    <t>Colombia</t>
  </si>
  <si>
    <t>Bernardo Silva</t>
  </si>
  <si>
    <t>Bertrand Traoré</t>
  </si>
  <si>
    <t>Burkina Faso</t>
  </si>
  <si>
    <t>Billy Jones</t>
  </si>
  <si>
    <t>Bobby De Cordova-Reid</t>
  </si>
  <si>
    <t>Bojan</t>
  </si>
  <si>
    <t>Borja Bastón</t>
  </si>
  <si>
    <t>Branislav Ivanovic</t>
  </si>
  <si>
    <t>Brendan Galloway</t>
  </si>
  <si>
    <t>Bruno</t>
  </si>
  <si>
    <t>Bruno Ecuele Manga</t>
  </si>
  <si>
    <t>Gabon</t>
  </si>
  <si>
    <t>Bruno Martins Indi</t>
  </si>
  <si>
    <t>Netherlands</t>
  </si>
  <si>
    <t>Bryan Oviedo</t>
  </si>
  <si>
    <t>Costa Rica</t>
  </si>
  <si>
    <t>Cédric Soares</t>
  </si>
  <si>
    <t>Southampton</t>
  </si>
  <si>
    <t>Callum Hudson-Odoi</t>
  </si>
  <si>
    <t>Callum McManaman</t>
  </si>
  <si>
    <t>Callum Paterson</t>
  </si>
  <si>
    <t>Callum Wilson</t>
  </si>
  <si>
    <t>Calum Chambers</t>
  </si>
  <si>
    <t>Cameron Borthwick-Jackson</t>
  </si>
  <si>
    <t>Cameron Brannagan</t>
  </si>
  <si>
    <t>Cameron Jerome</t>
  </si>
  <si>
    <t>Carles Gil</t>
  </si>
  <si>
    <t>Carlos Sánchez</t>
  </si>
  <si>
    <t>Cenk Tosun</t>
  </si>
  <si>
    <t>Turkey</t>
  </si>
  <si>
    <t>Cesar Azpilicueta</t>
  </si>
  <si>
    <t>Cesc Fàbregas</t>
  </si>
  <si>
    <t>Chancel Mbemba</t>
  </si>
  <si>
    <t>Charlie Adam</t>
  </si>
  <si>
    <t>Charlie Austin</t>
  </si>
  <si>
    <t>Charlie Daniels</t>
  </si>
  <si>
    <t>Charlie Taylor</t>
  </si>
  <si>
    <t>Cheick Tioté</t>
  </si>
  <si>
    <t>Cheikhou Kouyaté</t>
  </si>
  <si>
    <t>Chicharito</t>
  </si>
  <si>
    <t>Mexico</t>
  </si>
  <si>
    <t>Chris Brunt</t>
  </si>
  <si>
    <t>Northern Ireland</t>
  </si>
  <si>
    <t>Chris Löwe</t>
  </si>
  <si>
    <t>Chris Mepham</t>
  </si>
  <si>
    <t>Chris Smalling</t>
  </si>
  <si>
    <t>Chris Wood</t>
  </si>
  <si>
    <t>New Zealand</t>
  </si>
  <si>
    <t>Christian Atsu</t>
  </si>
  <si>
    <t>Christian Benteke</t>
  </si>
  <si>
    <t>Christian Eriksen</t>
  </si>
  <si>
    <t>Christian Fuchs</t>
  </si>
  <si>
    <t>Christian Kabasele</t>
  </si>
  <si>
    <t>Christopher Schindler</t>
  </si>
  <si>
    <t>Chung-Yong Lee</t>
  </si>
  <si>
    <t>South Korea</t>
  </si>
  <si>
    <t>Ciaran Clark</t>
  </si>
  <si>
    <t>Ireland</t>
  </si>
  <si>
    <t>Claudio Yacob</t>
  </si>
  <si>
    <t>Argentina</t>
  </si>
  <si>
    <t>Collin Quaner</t>
  </si>
  <si>
    <t>Connor Wickham</t>
  </si>
  <si>
    <t>Conor Coady</t>
  </si>
  <si>
    <t>Craig Cathcart</t>
  </si>
  <si>
    <t>Craig Dawson</t>
  </si>
  <si>
    <t>Craig Gardner</t>
  </si>
  <si>
    <t>Cristhian Stuani</t>
  </si>
  <si>
    <t>Cuco Martina</t>
  </si>
  <si>
    <t>Curacao</t>
  </si>
  <si>
    <t>Curtis Davies</t>
  </si>
  <si>
    <t>Cyrus Christie</t>
  </si>
  <si>
    <t>Dale Stephens</t>
  </si>
  <si>
    <t>Daley Blind</t>
  </si>
  <si>
    <t>Dame N'Doye</t>
  </si>
  <si>
    <t>Damien Delaney</t>
  </si>
  <si>
    <t>Dan Gosling</t>
  </si>
  <si>
    <t>Daniel Amartey</t>
  </si>
  <si>
    <t>Daniel Ayala</t>
  </si>
  <si>
    <t>Daniel Drinkwater</t>
  </si>
  <si>
    <t>Daniel Sturridge</t>
  </si>
  <si>
    <t>Danilo</t>
  </si>
  <si>
    <t>Danny Graham</t>
  </si>
  <si>
    <t>Danny Ings</t>
  </si>
  <si>
    <t>Danny Rose</t>
  </si>
  <si>
    <t>Danny Simpson</t>
  </si>
  <si>
    <t>Danny Ward</t>
  </si>
  <si>
    <t>Danny Welbeck</t>
  </si>
  <si>
    <t>Danny Williams</t>
  </si>
  <si>
    <t>United States</t>
  </si>
  <si>
    <t>Darren Fletcher</t>
  </si>
  <si>
    <t>Darron Gibson</t>
  </si>
  <si>
    <t>Daryl Janmaat</t>
  </si>
  <si>
    <t>David Brooks</t>
  </si>
  <si>
    <t>David Junior Hoilett</t>
  </si>
  <si>
    <t>Canada</t>
  </si>
  <si>
    <t>David Luiz</t>
  </si>
  <si>
    <t>David Meyler</t>
  </si>
  <si>
    <t>David Silva</t>
  </si>
  <si>
    <t>Davide Zappacosta</t>
  </si>
  <si>
    <t>Davinson Sánchez</t>
  </si>
  <si>
    <t>Davy Pröpper</t>
  </si>
  <si>
    <t>Dean Marney</t>
  </si>
  <si>
    <t>DeAndre Yedlin</t>
  </si>
  <si>
    <t>Declan Rice</t>
  </si>
  <si>
    <t>Dejan Lovren</t>
  </si>
  <si>
    <t>Croatia</t>
  </si>
  <si>
    <t>Dele Alli</t>
  </si>
  <si>
    <t>Demarai Gray</t>
  </si>
  <si>
    <t>Denis Odoi</t>
  </si>
  <si>
    <t>Diafra Sakho</t>
  </si>
  <si>
    <t>Didier Ndong</t>
  </si>
  <si>
    <t>Diego Costa</t>
  </si>
  <si>
    <t>Diego Rico</t>
  </si>
  <si>
    <t>Dieudonne Mbokani Bezua</t>
  </si>
  <si>
    <t>Dimitri Payet</t>
  </si>
  <si>
    <t>Diogo Dalot</t>
  </si>
  <si>
    <t>Diogo Jota</t>
  </si>
  <si>
    <t>Divock Origi</t>
  </si>
  <si>
    <t>Dominic Calvert-Lewin</t>
  </si>
  <si>
    <t>Dominic Solanke</t>
  </si>
  <si>
    <t>Donald Love</t>
  </si>
  <si>
    <t>Duncan Watmore</t>
  </si>
  <si>
    <t>Dusan Tadic</t>
  </si>
  <si>
    <t>Dwight Gayle</t>
  </si>
  <si>
    <t>Dwight McNeil</t>
  </si>
  <si>
    <t>Eden Hazard</t>
  </si>
  <si>
    <t>Edimilson Fernandes</t>
  </si>
  <si>
    <t>Eliaquim Mangala</t>
  </si>
  <si>
    <t>Elias Kachunga</t>
  </si>
  <si>
    <t>Emerson</t>
  </si>
  <si>
    <t>Emmanuel Adebayor</t>
  </si>
  <si>
    <t>Togo</t>
  </si>
  <si>
    <t>Emmanuel Emenike</t>
  </si>
  <si>
    <t>Emre Can</t>
  </si>
  <si>
    <t>Enner Valencia</t>
  </si>
  <si>
    <t>Eric Bailly</t>
  </si>
  <si>
    <t>Eric Dier</t>
  </si>
  <si>
    <t>Eric Maxim Choupo-Moting</t>
  </si>
  <si>
    <t>Erik Durm</t>
  </si>
  <si>
    <t>Erik Lamela</t>
  </si>
  <si>
    <t>Erik Pieters</t>
  </si>
  <si>
    <t>Etienne Capoue</t>
  </si>
  <si>
    <t>Eunan O'Kane</t>
  </si>
  <si>
    <t>Evandro</t>
  </si>
  <si>
    <t>Ezequiel Schelotto</t>
  </si>
  <si>
    <t>Fabián Balbuena</t>
  </si>
  <si>
    <t>Paraguay</t>
  </si>
  <si>
    <t>Fabian Delph</t>
  </si>
  <si>
    <t>Fabian Schär</t>
  </si>
  <si>
    <t>Fabinho</t>
  </si>
  <si>
    <t>Fabio Borini</t>
  </si>
  <si>
    <t>Fabricio Coloccini</t>
  </si>
  <si>
    <t>Federico Fernández</t>
  </si>
  <si>
    <t>Felipe Anderson</t>
  </si>
  <si>
    <t>Fernandinho</t>
  </si>
  <si>
    <t>Fernando</t>
  </si>
  <si>
    <t>Fernando Llorente</t>
  </si>
  <si>
    <t>Florent Hadergjonaj</t>
  </si>
  <si>
    <t>Kosovo</t>
  </si>
  <si>
    <t>Florian Lejeune</t>
  </si>
  <si>
    <t>Florian Thauvin</t>
  </si>
  <si>
    <t>Florin Andone</t>
  </si>
  <si>
    <t>Romania</t>
  </si>
  <si>
    <t>Floyd Ayité</t>
  </si>
  <si>
    <t>Fousseni Diabaté</t>
  </si>
  <si>
    <t>Fraizer Campbell</t>
  </si>
  <si>
    <t>Francis Coquelin</t>
  </si>
  <si>
    <t>Fred</t>
  </si>
  <si>
    <t>Gaël Clichy</t>
  </si>
  <si>
    <t>Gaëtan Bong</t>
  </si>
  <si>
    <t>Gabriel Agbonlahor</t>
  </si>
  <si>
    <t>Gabriel Jesus</t>
  </si>
  <si>
    <t>Gabriel Paulista</t>
  </si>
  <si>
    <t>Gareth Barry</t>
  </si>
  <si>
    <t>Gareth McAuley</t>
  </si>
  <si>
    <t>Gary Cahill</t>
  </si>
  <si>
    <t>Gary O'Neil</t>
  </si>
  <si>
    <t>Gastón Ramírez</t>
  </si>
  <si>
    <t>Geoff Cameron</t>
  </si>
  <si>
    <t>George Boyd</t>
  </si>
  <si>
    <t>George Friend</t>
  </si>
  <si>
    <t>Georginio Wijnaldum</t>
  </si>
  <si>
    <t>Gerard Deulofeu</t>
  </si>
  <si>
    <t>Giannelli Imbula</t>
  </si>
  <si>
    <t>Glen Johnson</t>
  </si>
  <si>
    <t>Glenn Murray</t>
  </si>
  <si>
    <t>Glenn Whelan</t>
  </si>
  <si>
    <t>Gonzalo Higuaín</t>
  </si>
  <si>
    <t>Grady Diangana</t>
  </si>
  <si>
    <t>Graham Dorrans</t>
  </si>
  <si>
    <t>Granit Xhaka</t>
  </si>
  <si>
    <t>Grant Leadbitter</t>
  </si>
  <si>
    <t>Graziano Pellè</t>
  </si>
  <si>
    <t>Grzegorz Krychowiak</t>
  </si>
  <si>
    <t>Poland</t>
  </si>
  <si>
    <t>Gylfi Sigurdsson</t>
  </si>
  <si>
    <t>Håvard Nordtveit</t>
  </si>
  <si>
    <t>Hélder Costa</t>
  </si>
  <si>
    <t>Hal Robson-Kanu</t>
  </si>
  <si>
    <t>Harry Arter</t>
  </si>
  <si>
    <t>Harry Kane</t>
  </si>
  <si>
    <t>Harry Maguire</t>
  </si>
  <si>
    <t>Harry Winks</t>
  </si>
  <si>
    <t>Harvey Barnes</t>
  </si>
  <si>
    <t>Hector Bellerin</t>
  </si>
  <si>
    <t>Henrikh Mkhitaryan</t>
  </si>
  <si>
    <t>Armenia</t>
  </si>
  <si>
    <t>Ibrahim Afellay</t>
  </si>
  <si>
    <t>Idrissa Gueye</t>
  </si>
  <si>
    <t>Ikechi Anya</t>
  </si>
  <si>
    <t>Ilkay Gündogan</t>
  </si>
  <si>
    <t>Isaac Hayden</t>
  </si>
  <si>
    <t>Isaac Mbenza</t>
  </si>
  <si>
    <t>Isaac Success</t>
  </si>
  <si>
    <t>Isaiah Brown</t>
  </si>
  <si>
    <t>Islam Slimani</t>
  </si>
  <si>
    <t>Issa Diop</t>
  </si>
  <si>
    <t>Ivan Cavaleiro</t>
  </si>
  <si>
    <t>Ivo Pinto</t>
  </si>
  <si>
    <t>Jürgen Locadia</t>
  </si>
  <si>
    <t>Jack Colback</t>
  </si>
  <si>
    <t>Jack Cork</t>
  </si>
  <si>
    <t>Jack Grealish</t>
  </si>
  <si>
    <t>Jack Rodwell</t>
  </si>
  <si>
    <t>Jack Stephens</t>
  </si>
  <si>
    <t>Jack Wilshere</t>
  </si>
  <si>
    <t>Jacob Murphy</t>
  </si>
  <si>
    <t>Jairo Riedewald</t>
  </si>
  <si>
    <t>Jake Livermore</t>
  </si>
  <si>
    <t>Jamaal Lascelles</t>
  </si>
  <si>
    <t>James Chester</t>
  </si>
  <si>
    <t>James Collins</t>
  </si>
  <si>
    <t>James Maddison</t>
  </si>
  <si>
    <t>James McArthur</t>
  </si>
  <si>
    <t>James McCarthy</t>
  </si>
  <si>
    <t>James McClean</t>
  </si>
  <si>
    <t>James Milner</t>
  </si>
  <si>
    <t>James Morrison</t>
  </si>
  <si>
    <t>James Tarkowski</t>
  </si>
  <si>
    <t>James Tomkins</t>
  </si>
  <si>
    <t>James Ward-Prowse</t>
  </si>
  <si>
    <t>Jamie Vardy</t>
  </si>
  <si>
    <t>Jan Bednarek</t>
  </si>
  <si>
    <t>Jan Kirchhoff</t>
  </si>
  <si>
    <t>Jan Vertonghen</t>
  </si>
  <si>
    <t>Jannik Vestergaard</t>
  </si>
  <si>
    <t>Jason Denayer</t>
  </si>
  <si>
    <t>Jason Puncheon</t>
  </si>
  <si>
    <t>Javier Manquillo</t>
  </si>
  <si>
    <t>Jay Fulton</t>
  </si>
  <si>
    <t>Jay Rodriguez</t>
  </si>
  <si>
    <t>Jean Michael Seri</t>
  </si>
  <si>
    <t>Jeff Hendrick</t>
  </si>
  <si>
    <t>Jefferson Lerma</t>
  </si>
  <si>
    <t>Jefferson Montero</t>
  </si>
  <si>
    <t>Jeffrey Schlupp</t>
  </si>
  <si>
    <t>Jeremain Lens</t>
  </si>
  <si>
    <t>Jermain Defoe</t>
  </si>
  <si>
    <t>Jesé</t>
  </si>
  <si>
    <t>Jesús Navas</t>
  </si>
  <si>
    <t>Jesse Lingard</t>
  </si>
  <si>
    <t>João Mário</t>
  </si>
  <si>
    <t>João Moutinho</t>
  </si>
  <si>
    <t>Joe Allen</t>
  </si>
  <si>
    <t>Joe Bennett</t>
  </si>
  <si>
    <t>Joe Bryan</t>
  </si>
  <si>
    <t>Joe Ledley</t>
  </si>
  <si>
    <t>Joe Ralls</t>
  </si>
  <si>
    <t>Joel Campbell</t>
  </si>
  <si>
    <t>Joel Matip</t>
  </si>
  <si>
    <t>Joel Ward</t>
  </si>
  <si>
    <t>Joey Barton</t>
  </si>
  <si>
    <t>Johann Gudmundsson</t>
  </si>
  <si>
    <t>John O'Shea</t>
  </si>
  <si>
    <t>John Obi Mikel</t>
  </si>
  <si>
    <t>John Stones</t>
  </si>
  <si>
    <t>John Terry</t>
  </si>
  <si>
    <t>Joleon Lescott</t>
  </si>
  <si>
    <t>Jon Gorenc Stankovic</t>
  </si>
  <si>
    <t>Slovenia</t>
  </si>
  <si>
    <t>Jonas Olsson</t>
  </si>
  <si>
    <t>Sweden</t>
  </si>
  <si>
    <t>Jonathan Calleri</t>
  </si>
  <si>
    <t>Jonathan Hogg</t>
  </si>
  <si>
    <t>Jonathan Walters</t>
  </si>
  <si>
    <t>Jonjo Shelvey</t>
  </si>
  <si>
    <t>Jonjoe Kenny</t>
  </si>
  <si>
    <t>Jonny</t>
  </si>
  <si>
    <t>Jonny Evans</t>
  </si>
  <si>
    <t>Jonny Howson</t>
  </si>
  <si>
    <t>Jordan Amavi</t>
  </si>
  <si>
    <t>Jordan Ayew</t>
  </si>
  <si>
    <t>Jordan Henderson</t>
  </si>
  <si>
    <t>Jordan Veretout</t>
  </si>
  <si>
    <t>Jordi Amat</t>
  </si>
  <si>
    <t>Jordon Ibe</t>
  </si>
  <si>
    <t>Jordon Mutch</t>
  </si>
  <si>
    <t>Jordy Clasie</t>
  </si>
  <si>
    <t>Jores Okore</t>
  </si>
  <si>
    <t>Jorginho</t>
  </si>
  <si>
    <t>José Fonte</t>
  </si>
  <si>
    <t>José Holebas</t>
  </si>
  <si>
    <t>Greece</t>
  </si>
  <si>
    <t>José Izquierdo</t>
  </si>
  <si>
    <t>José Manuel Jurado</t>
  </si>
  <si>
    <t>Joselu</t>
  </si>
  <si>
    <t>Joseph Gomez</t>
  </si>
  <si>
    <t>Josh Murphy</t>
  </si>
  <si>
    <t>Joshua King</t>
  </si>
  <si>
    <t>Juan Camilo Zúñiga</t>
  </si>
  <si>
    <t>Juan Carlos Paredes</t>
  </si>
  <si>
    <t>Juan Foyth</t>
  </si>
  <si>
    <t>Juan Mata</t>
  </si>
  <si>
    <t>Juanmi</t>
  </si>
  <si>
    <t>Juninho Bacuna</t>
  </si>
  <si>
    <t>Junior Stanislas</t>
  </si>
  <si>
    <t>Kadeem Harris</t>
  </si>
  <si>
    <t>Kamil Grosicki</t>
  </si>
  <si>
    <t>Karlan Grant</t>
  </si>
  <si>
    <t>Kelechi Iheanacho</t>
  </si>
  <si>
    <t>Ken Sema</t>
  </si>
  <si>
    <t>Kenedy</t>
  </si>
  <si>
    <t>Kenneth Zohore</t>
  </si>
  <si>
    <t>Kevin De Bruyne</t>
  </si>
  <si>
    <t>Kevin Long</t>
  </si>
  <si>
    <t>Kevin McDonald</t>
  </si>
  <si>
    <t>Kevin Mirallas</t>
  </si>
  <si>
    <t>Kevin Wimmer</t>
  </si>
  <si>
    <t>Ki Sung-yueng</t>
  </si>
  <si>
    <t>Kieran Gibbs</t>
  </si>
  <si>
    <t>Kieran Richardson</t>
  </si>
  <si>
    <t>Kieran Trippier</t>
  </si>
  <si>
    <t>Kiko Femenía</t>
  </si>
  <si>
    <t>Kolo Touré</t>
  </si>
  <si>
    <t>Kurt Zouma</t>
  </si>
  <si>
    <t>Kyle Naughton</t>
  </si>
  <si>
    <t>Kyle Walker</t>
  </si>
  <si>
    <t>Lamine Koné</t>
  </si>
  <si>
    <t>Laurent Depoitre</t>
  </si>
  <si>
    <t>Laurent Koscielny</t>
  </si>
  <si>
    <t>Lazar Markovic</t>
  </si>
  <si>
    <t>Leander Dendoncker</t>
  </si>
  <si>
    <t>Leandro Bacuna</t>
  </si>
  <si>
    <t>Lee Cattermole</t>
  </si>
  <si>
    <t>Lee Peltier</t>
  </si>
  <si>
    <t>Leighton Baines</t>
  </si>
  <si>
    <t>Leon Britton</t>
  </si>
  <si>
    <t>Leonardo Ulloa</t>
  </si>
  <si>
    <t>Leroy Fer</t>
  </si>
  <si>
    <t>Leroy Sané</t>
  </si>
  <si>
    <t>Lewis Cook</t>
  </si>
  <si>
    <t>Lewis Dunk</t>
  </si>
  <si>
    <t>Lewis Grabban</t>
  </si>
  <si>
    <t>Loïc Rémy</t>
  </si>
  <si>
    <t>Lucas Digne</t>
  </si>
  <si>
    <t>Lucas Leiva</t>
  </si>
  <si>
    <t>Lucas Moura</t>
  </si>
  <si>
    <t>Lucas Pérez</t>
  </si>
  <si>
    <t>Lucas Torreira</t>
  </si>
  <si>
    <t>Luciano Narsingh</t>
  </si>
  <si>
    <t>Luciano Vietto</t>
  </si>
  <si>
    <t>Luka Milivojevic</t>
  </si>
  <si>
    <t>Luke Shaw</t>
  </si>
  <si>
    <t>Lynden Gooch</t>
  </si>
  <si>
    <t>Lys Mousset</t>
  </si>
  <si>
    <t>M'Baye Niang</t>
  </si>
  <si>
    <t>Mamadou Sakho</t>
  </si>
  <si>
    <t>Mame Biram Diouf</t>
  </si>
  <si>
    <t>Manolo Gabbiadini</t>
  </si>
  <si>
    <t>Manuel Lanzini</t>
  </si>
  <si>
    <t>Marc Albrighton</t>
  </si>
  <si>
    <t>Marc AlBrighton</t>
  </si>
  <si>
    <t>Marc Muniesa</t>
  </si>
  <si>
    <t>Marc Pugh</t>
  </si>
  <si>
    <t>Marco van Ginkel</t>
  </si>
  <si>
    <t>Marcos Alonso</t>
  </si>
  <si>
    <t>Marcos Rojo</t>
  </si>
  <si>
    <t>Marcus Rashford</t>
  </si>
  <si>
    <t>Mario Lemina</t>
  </si>
  <si>
    <t>Mario Suárez</t>
  </si>
  <si>
    <t>Mark Noble</t>
  </si>
  <si>
    <t>Marko Arnautovic</t>
  </si>
  <si>
    <t>Markus Henriksen</t>
  </si>
  <si>
    <t>Markus Suttner</t>
  </si>
  <si>
    <t>Marouane Chamakh</t>
  </si>
  <si>
    <t>Morocco</t>
  </si>
  <si>
    <t>Marouane Fellaini</t>
  </si>
  <si>
    <t>Martín Demichelis</t>
  </si>
  <si>
    <t>Martín Montoya</t>
  </si>
  <si>
    <t>Marten de Roon</t>
  </si>
  <si>
    <t>Martin Kelly</t>
  </si>
  <si>
    <t>Martin Olsson</t>
  </si>
  <si>
    <t>Martin Skrtel</t>
  </si>
  <si>
    <t>Slovakia</t>
  </si>
  <si>
    <t>Marvin Zeegelaar</t>
  </si>
  <si>
    <t>Mason Holgate</t>
  </si>
  <si>
    <t>Matej Vydra</t>
  </si>
  <si>
    <t>Czech Republic</t>
  </si>
  <si>
    <t>Mateo Kovacic</t>
  </si>
  <si>
    <t>Mathieu Flamini</t>
  </si>
  <si>
    <t>Matt Doherty</t>
  </si>
  <si>
    <t>Matt Phillips</t>
  </si>
  <si>
    <t>Matt Ritchie</t>
  </si>
  <si>
    <t>Matt Targett</t>
  </si>
  <si>
    <t>Matteo Darmian</t>
  </si>
  <si>
    <t>Matteo Guendouzi</t>
  </si>
  <si>
    <t>Matthew Jarvis</t>
  </si>
  <si>
    <t>Matthew Lowton</t>
  </si>
  <si>
    <t>Matty James</t>
  </si>
  <si>
    <t>Mauro Zárate</t>
  </si>
  <si>
    <t>Max Meyer</t>
  </si>
  <si>
    <t>Max-Alain Gradel</t>
  </si>
  <si>
    <t>Maxime Le Marchand</t>
  </si>
  <si>
    <t>Maya Yoshida</t>
  </si>
  <si>
    <t>Japan</t>
  </si>
  <si>
    <t>Memphis Depay</t>
  </si>
  <si>
    <t>Mesut Özil</t>
  </si>
  <si>
    <t>Micah Richards</t>
  </si>
  <si>
    <t>Michael Carrick</t>
  </si>
  <si>
    <t>Michael Dawson</t>
  </si>
  <si>
    <t>Michael Keane</t>
  </si>
  <si>
    <t>Michail Antonio</t>
  </si>
  <si>
    <t>Michy Batshuayi</t>
  </si>
  <si>
    <t>Miguel Almirón</t>
  </si>
  <si>
    <t>Miguel Britos</t>
  </si>
  <si>
    <t>Mike van der Hoorn</t>
  </si>
  <si>
    <t>Mikel Merino</t>
  </si>
  <si>
    <t>Mile Jedinak</t>
  </si>
  <si>
    <t>Modou Barrow</t>
  </si>
  <si>
    <t>Gambia</t>
  </si>
  <si>
    <t>Mohamed Diamé</t>
  </si>
  <si>
    <t>Mohamed Elneny</t>
  </si>
  <si>
    <t>Mohamed Elyounoussi</t>
  </si>
  <si>
    <t>Mohamed Salah</t>
  </si>
  <si>
    <t>Morgan Gibbs-White</t>
  </si>
  <si>
    <t>Morgan Schneiderlin</t>
  </si>
  <si>
    <t>Moritz Bauer</t>
  </si>
  <si>
    <t>Mousa Dembele</t>
  </si>
  <si>
    <t>Moussa Sissoko</t>
  </si>
  <si>
    <t>Muhamed Besic</t>
  </si>
  <si>
    <t>Bosnia And Herzegovina</t>
  </si>
  <si>
    <t>N'Golo Kanté</t>
  </si>
  <si>
    <t>Naby Keita</t>
  </si>
  <si>
    <t>Guinea</t>
  </si>
  <si>
    <t>Nacer Chadli</t>
  </si>
  <si>
    <t>Nacho Monreal</t>
  </si>
  <si>
    <t>Nampalys Mendy</t>
  </si>
  <si>
    <t>Nathan Ake</t>
  </si>
  <si>
    <t>Nathan Dyer</t>
  </si>
  <si>
    <t>Nathan Redmond</t>
  </si>
  <si>
    <t>Nathaniel Chalobah</t>
  </si>
  <si>
    <t>Nathaniel Clyne</t>
  </si>
  <si>
    <t>Nathaniel Mendez-Laing</t>
  </si>
  <si>
    <t>Neil Taylor</t>
  </si>
  <si>
    <t>Nemanja Matic</t>
  </si>
  <si>
    <t>Nicolás Otamendi</t>
  </si>
  <si>
    <t>Nikica Jelavic</t>
  </si>
  <si>
    <t>Nikola Vlasic</t>
  </si>
  <si>
    <t>Nolito</t>
  </si>
  <si>
    <t>Nordin Amrabat</t>
  </si>
  <si>
    <t>Odion Ighalo</t>
  </si>
  <si>
    <t>Ola Toivonen</t>
  </si>
  <si>
    <t>Oleksandr Zinchenko</t>
  </si>
  <si>
    <t>Ukraine</t>
  </si>
  <si>
    <t>Oliver Burke</t>
  </si>
  <si>
    <t>Oliver McBurnie</t>
  </si>
  <si>
    <t>Olivier Giroud</t>
  </si>
  <si>
    <t>Oriol Romeu</t>
  </si>
  <si>
    <t>Oscar</t>
  </si>
  <si>
    <t>Oumar Niasse</t>
  </si>
  <si>
    <t>Pablo Zabaleta</t>
  </si>
  <si>
    <t>Pape Souaré</t>
  </si>
  <si>
    <t>Papiss Cissé</t>
  </si>
  <si>
    <t>Papy Djilobodji</t>
  </si>
  <si>
    <t>Pascal Groß</t>
  </si>
  <si>
    <t>Patrick Bamford</t>
  </si>
  <si>
    <t>Patrick van Aanholt</t>
  </si>
  <si>
    <t>Paul Dummett</t>
  </si>
  <si>
    <t>Paul Pogba</t>
  </si>
  <si>
    <t>Pedro</t>
  </si>
  <si>
    <t>Pedro Obiang</t>
  </si>
  <si>
    <t>Equatorial Guinea</t>
  </si>
  <si>
    <t>Per Mertesacker</t>
  </si>
  <si>
    <t>Peter Crouch</t>
  </si>
  <si>
    <t>Phil Bardsley</t>
  </si>
  <si>
    <t>Phil Foden</t>
  </si>
  <si>
    <t>Phil Jagielka</t>
  </si>
  <si>
    <t>Phil Jones</t>
  </si>
  <si>
    <t>Philip Billing</t>
  </si>
  <si>
    <t>Philipp Wollscheid</t>
  </si>
  <si>
    <t>Philippe Coutinho</t>
  </si>
  <si>
    <t>Pierre-Emerick Aubameyang</t>
  </si>
  <si>
    <t>Pierre-Emile Højbjerg</t>
  </si>
  <si>
    <t>Rúben Neves</t>
  </si>
  <si>
    <t>Rúben Vinagre</t>
  </si>
  <si>
    <t>Raúl Jiménez</t>
  </si>
  <si>
    <t>Rachid Ghezzal</t>
  </si>
  <si>
    <t>Radamel Falcao</t>
  </si>
  <si>
    <t>Ragnar Klavan</t>
  </si>
  <si>
    <t>Estonia</t>
  </si>
  <si>
    <t>Raheem Sterling</t>
  </si>
  <si>
    <t>Rajiv van La Parra</t>
  </si>
  <si>
    <t>Ramadan Sobhi</t>
  </si>
  <si>
    <t>Ramires</t>
  </si>
  <si>
    <t>Ramiro Funes Mori</t>
  </si>
  <si>
    <t>Renato Sanches</t>
  </si>
  <si>
    <t>Ricardo Pereira</t>
  </si>
  <si>
    <t>Richarlison</t>
  </si>
  <si>
    <t>Rickie Lambert</t>
  </si>
  <si>
    <t>Ritchie de Laet</t>
  </si>
  <si>
    <t>Riyad Mahrez</t>
  </si>
  <si>
    <t>Rob Holding</t>
  </si>
  <si>
    <t>Robbie Brady</t>
  </si>
  <si>
    <t>Robert Huth</t>
  </si>
  <si>
    <t>Robert Snodgrass</t>
  </si>
  <si>
    <t>Roberto Firmino</t>
  </si>
  <si>
    <t>Roberto Pereyra</t>
  </si>
  <si>
    <t>Rolando Aarons</t>
  </si>
  <si>
    <t>Romain Saïss</t>
  </si>
  <si>
    <t>Romelu Lukaku</t>
  </si>
  <si>
    <t>Roque Mesa</t>
  </si>
  <si>
    <t>Ross Barkley</t>
  </si>
  <si>
    <t>Ruben Loftus-Cheek</t>
  </si>
  <si>
    <t>Rudy Gestede</t>
  </si>
  <si>
    <t>Benin</t>
  </si>
  <si>
    <t>Russell Martin</t>
  </si>
  <si>
    <t>Ryan Babel</t>
  </si>
  <si>
    <t>Ryan Bennett</t>
  </si>
  <si>
    <t>Ryan Bertrand</t>
  </si>
  <si>
    <t>Ryan Fraser</t>
  </si>
  <si>
    <t>Ryan Fredericks</t>
  </si>
  <si>
    <t>Ryan Mason</t>
  </si>
  <si>
    <t>Ryan Sessegnon</t>
  </si>
  <si>
    <t>Ryan Shawcross</t>
  </si>
  <si>
    <t>Sébastien Pocognoli</t>
  </si>
  <si>
    <t>Sadio Mané</t>
  </si>
  <si>
    <t>Saido Berahino</t>
  </si>
  <si>
    <t>Burundi</t>
  </si>
  <si>
    <t>Salomón Rondón</t>
  </si>
  <si>
    <t>Venezuela</t>
  </si>
  <si>
    <t>Sam Byram</t>
  </si>
  <si>
    <t>Sam Clucas</t>
  </si>
  <si>
    <t>Sam Field</t>
  </si>
  <si>
    <t>Sam McQueen</t>
  </si>
  <si>
    <t>Sam Vokes</t>
  </si>
  <si>
    <t>Samir Nasri</t>
  </si>
  <si>
    <t>Santi Cazorla</t>
  </si>
  <si>
    <t>Scott Arfield</t>
  </si>
  <si>
    <t>Scott Dann</t>
  </si>
  <si>
    <t>Scott Malone</t>
  </si>
  <si>
    <t>Scott McTominay</t>
  </si>
  <si>
    <t>Scott Sinclair</t>
  </si>
  <si>
    <t>Sead Kolasinac</t>
  </si>
  <si>
    <t>Seamus Coleman</t>
  </si>
  <si>
    <t>Sean Morrison</t>
  </si>
  <si>
    <t>Sebastián Coates</t>
  </si>
  <si>
    <t>Sebastian Larsson</t>
  </si>
  <si>
    <t>Sebastian Prödl</t>
  </si>
  <si>
    <t>Sebastien Bassong</t>
  </si>
  <si>
    <t>Serge Aurier</t>
  </si>
  <si>
    <t>Sergio Agüero</t>
  </si>
  <si>
    <t>Shane Duffy</t>
  </si>
  <si>
    <t>Shane Long</t>
  </si>
  <si>
    <t>Shinji Okazaki</t>
  </si>
  <si>
    <t>Shkodran Mustafi</t>
  </si>
  <si>
    <t>Siem de Jong</t>
  </si>
  <si>
    <t>Simon Francis</t>
  </si>
  <si>
    <t>Sofiane Boufal</t>
  </si>
  <si>
    <t>Sofiane Feghouli</t>
  </si>
  <si>
    <t>Sokratis</t>
  </si>
  <si>
    <t>Sol Bamba</t>
  </si>
  <si>
    <t>Solly March</t>
  </si>
  <si>
    <t>Son Heung-Min</t>
  </si>
  <si>
    <t>Stéphane Sessègnon</t>
  </si>
  <si>
    <t>Stefan Johansen</t>
  </si>
  <si>
    <t>Stefano Okaka</t>
  </si>
  <si>
    <t>Stephan Lichtsteiner</t>
  </si>
  <si>
    <t>Stephen Ireland</t>
  </si>
  <si>
    <t>Stephen Kingsley</t>
  </si>
  <si>
    <t>Stephen Ward</t>
  </si>
  <si>
    <t>Steve Cook</t>
  </si>
  <si>
    <t>Steve Mounie</t>
  </si>
  <si>
    <t>Steven Davis</t>
  </si>
  <si>
    <t>Steven Defour</t>
  </si>
  <si>
    <t>Steven Fletcher</t>
  </si>
  <si>
    <t>Steven Naismith</t>
  </si>
  <si>
    <t>Steven Pienaar</t>
  </si>
  <si>
    <t>South Africa</t>
  </si>
  <si>
    <t>Steven Taylor</t>
  </si>
  <si>
    <t>Stewart Downing</t>
  </si>
  <si>
    <t>Stuart Armstrong</t>
  </si>
  <si>
    <t>Sylvain Distin</t>
  </si>
  <si>
    <t>Tammy Abraham</t>
  </si>
  <si>
    <t>Terence Kongolo</t>
  </si>
  <si>
    <t>Theo Walcott</t>
  </si>
  <si>
    <t>Tiemoué Bakayoko</t>
  </si>
  <si>
    <t>Tim Ream</t>
  </si>
  <si>
    <t>Timm Klose</t>
  </si>
  <si>
    <t>Timothy Fosu-Mensah</t>
  </si>
  <si>
    <t>Toby Alderweireld</t>
  </si>
  <si>
    <t>Tom Cairney</t>
  </si>
  <si>
    <t>Tom Carroll</t>
  </si>
  <si>
    <t>Tom Cleverley</t>
  </si>
  <si>
    <t>Tom Davies</t>
  </si>
  <si>
    <t>Tom Huddlestone</t>
  </si>
  <si>
    <t>Tom Ince</t>
  </si>
  <si>
    <t>Tomer Hemed</t>
  </si>
  <si>
    <t>Tommy Elphick</t>
  </si>
  <si>
    <t>Tommy Smith</t>
  </si>
  <si>
    <t>Trent Alexander-Arnold</t>
  </si>
  <si>
    <t>Troy Deeney</t>
  </si>
  <si>
    <t>Víctor Camarasa</t>
  </si>
  <si>
    <t>Vadis Odjidja-Ofoe</t>
  </si>
  <si>
    <t>Valon Behrami</t>
  </si>
  <si>
    <t>Vicente Iborra</t>
  </si>
  <si>
    <t>Victor Anichebe</t>
  </si>
  <si>
    <t>Victor Lindelöf</t>
  </si>
  <si>
    <t>Victor Moses</t>
  </si>
  <si>
    <t>Victor Wanyama</t>
  </si>
  <si>
    <t>Kenya</t>
  </si>
  <si>
    <t>Viktor Fischer</t>
  </si>
  <si>
    <t>Vincent Janssen</t>
  </si>
  <si>
    <t>Vincent Kompany</t>
  </si>
  <si>
    <t>Virgil van Dijk</t>
  </si>
  <si>
    <t>Vurnon Anita</t>
  </si>
  <si>
    <t>Wahbi Khazri</t>
  </si>
  <si>
    <t>Tunisia</t>
  </si>
  <si>
    <t>Wayne Rooney</t>
  </si>
  <si>
    <t>Wayne Routledge</t>
  </si>
  <si>
    <t>Wes Hoolahan</t>
  </si>
  <si>
    <t>Wes Morgan</t>
  </si>
  <si>
    <t>Wesley Hoedt</t>
  </si>
  <si>
    <t>Wilfred Ndidi</t>
  </si>
  <si>
    <t>Wilfried Bony</t>
  </si>
  <si>
    <t>Wilfried Zaha</t>
  </si>
  <si>
    <t>Will Hughes</t>
  </si>
  <si>
    <t>Willian</t>
  </si>
  <si>
    <t>Willy Boly</t>
  </si>
  <si>
    <t>Winston Reid</t>
  </si>
  <si>
    <t>Xherdan Shaqiri</t>
  </si>
  <si>
    <t>Yan Valery</t>
  </si>
  <si>
    <t>Yann M'Vila</t>
  </si>
  <si>
    <t>Yannick Bolasie</t>
  </si>
  <si>
    <t>Yaya Toure</t>
  </si>
  <si>
    <t>Yerry Mina</t>
  </si>
  <si>
    <t>Yohan Benalouane</t>
  </si>
  <si>
    <t>Yohan Cabaye</t>
  </si>
  <si>
    <t>Yoshinori Muto</t>
  </si>
  <si>
    <t>Younes Kaboul</t>
  </si>
  <si>
    <t>Youri Tielemans</t>
  </si>
  <si>
    <t>Yves Bissouma</t>
  </si>
  <si>
    <t>Zanka</t>
  </si>
  <si>
    <t>Zlatan Ibrahimovic</t>
  </si>
  <si>
    <t>Alvaro Morata</t>
  </si>
  <si>
    <t>Eder</t>
  </si>
  <si>
    <t>Alvaro Negredo</t>
  </si>
  <si>
    <t xml:space="preserve">Position </t>
  </si>
  <si>
    <t xml:space="preserve">Minutes </t>
  </si>
  <si>
    <t xml:space="preserve">Age </t>
  </si>
  <si>
    <t>Team</t>
  </si>
  <si>
    <t xml:space="preserve">Shots </t>
  </si>
  <si>
    <t>Head Goal</t>
  </si>
  <si>
    <t xml:space="preserve">Misses </t>
  </si>
  <si>
    <t xml:space="preserve">Corners </t>
  </si>
  <si>
    <t>Eder 2015-2016</t>
  </si>
  <si>
    <t xml:space="preserve">Player and season </t>
  </si>
  <si>
    <t>Player's name &amp; Season</t>
  </si>
  <si>
    <t>Alvaro Morata 2017-2018</t>
  </si>
  <si>
    <t>Alvaro Morata 2018-2019</t>
  </si>
  <si>
    <t>Alvaro Negredo 2016-2017</t>
  </si>
  <si>
    <t>Aaron Cresswell 2018-2019</t>
  </si>
  <si>
    <t>Aaron Cresswell 2017-2018</t>
  </si>
  <si>
    <t>Aaron Cresswell 2015-2016</t>
  </si>
  <si>
    <t>Aaron Cresswell 2016-2017</t>
  </si>
  <si>
    <t>Aaron Lennon 2015-2016</t>
  </si>
  <si>
    <t>Aaron Lennon 2016-2017</t>
  </si>
  <si>
    <t>Aaron Lennon 2018-2019</t>
  </si>
  <si>
    <t>Aaron Lennon 2017-2018</t>
  </si>
  <si>
    <t>Aaron Mooy 2017-2018</t>
  </si>
  <si>
    <t>Aaron Mooy 2018-2019</t>
  </si>
  <si>
    <t>Aaron Ramsey 2015-2016</t>
  </si>
  <si>
    <t>Aaron Ramsey 2016-2017</t>
  </si>
  <si>
    <t>Aaron Ramsey 2017-2018</t>
  </si>
  <si>
    <t>Aaron Ramsey 2018-2019</t>
  </si>
  <si>
    <t>Aaron Wan-Bissaka 2018-2019</t>
  </si>
  <si>
    <t>Abdoulaye Doucoure 2016-2017</t>
  </si>
  <si>
    <t>Abdoulaye Doucoure 2017-2018</t>
  </si>
  <si>
    <t>Abdoulaye Doucoure 2018-2019</t>
  </si>
  <si>
    <t>Abdul Rahman Baba 2015-2016</t>
  </si>
  <si>
    <t>Abel Hernández 2016-2017</t>
  </si>
  <si>
    <t>Aboubakar Kamara 2018-2019</t>
  </si>
  <si>
    <t>Adam Clayton 2016-2017</t>
  </si>
  <si>
    <t>Adam Forshaw 2016-2017</t>
  </si>
  <si>
    <t>Adam Johnson 2015-2016</t>
  </si>
  <si>
    <t>Adam Lallana 2015-2016</t>
  </si>
  <si>
    <t>Adam Lallana 2016-2017</t>
  </si>
  <si>
    <t>Adam Lallana 2018-2019</t>
  </si>
  <si>
    <t>Adam Lallana 2017-2018</t>
  </si>
  <si>
    <t>Adam Masina 2018-2019</t>
  </si>
  <si>
    <t>Adam Smith 2018-2019</t>
  </si>
  <si>
    <t>Adam Smith 2015-2016</t>
  </si>
  <si>
    <t>Adam Smith 2016-2017</t>
  </si>
  <si>
    <t>Adam Smith 2017-2018</t>
  </si>
  <si>
    <t>Adama Diakhaby 2018-2019</t>
  </si>
  <si>
    <t>Adama Diomande 2016-2017</t>
  </si>
  <si>
    <t>Adama Traoré 2015-2016</t>
  </si>
  <si>
    <t>Adama Traoré 2018-2019</t>
  </si>
  <si>
    <t>Adama Traoré 2016-2017</t>
  </si>
  <si>
    <t>Ademola Lookman 2018-2019</t>
  </si>
  <si>
    <t>Adlene Guedioura 2016-2017</t>
  </si>
  <si>
    <t>Adlene Guedioura 2015-2016</t>
  </si>
  <si>
    <t>Adnan Januzaj 2016-2017</t>
  </si>
  <si>
    <t>Adrian Mariappa 2017-2018</t>
  </si>
  <si>
    <t>Adrian Mariappa 2018-2019</t>
  </si>
  <si>
    <t>Adrien Silva 2017-2018</t>
  </si>
  <si>
    <t>Ahmed El Mohamady 2016-2017</t>
  </si>
  <si>
    <t>Ahmed Hegazi 2017-2018</t>
  </si>
  <si>
    <t>Ahmed Musa 2016-2017</t>
  </si>
  <si>
    <t>Ainsley Maitland-Niles 2018-2019</t>
  </si>
  <si>
    <t>Ainsley Maitland-Niles 2017-2018</t>
  </si>
  <si>
    <t>Alan Hutton 2015-2016</t>
  </si>
  <si>
    <t>Alberto Moreno 2015-2016</t>
  </si>
  <si>
    <t>Alberto Moreno 2017-2018</t>
  </si>
  <si>
    <t>Alberto Moreno 2016-2017</t>
  </si>
  <si>
    <t>Alberto Paloschi 2015-2016</t>
  </si>
  <si>
    <t>Aleksandar Dragovic 2017-2018</t>
  </si>
  <si>
    <t>Aleksandar Kolarov 2016-2017</t>
  </si>
  <si>
    <t>Aleksandar Kolarov 2015-2016</t>
  </si>
  <si>
    <t>Aleksandar Mitrovic 2015-2016</t>
  </si>
  <si>
    <t>Aleksandar Mitrovic 2018-2019</t>
  </si>
  <si>
    <t>Alex Iwobi 2015-2016</t>
  </si>
  <si>
    <t>Alex Iwobi 2016-2017</t>
  </si>
  <si>
    <t>Alex Iwobi 2017-2018</t>
  </si>
  <si>
    <t>Alex Iwobi 2018-2019</t>
  </si>
  <si>
    <t>Alex Oxlade-Chamberlain 2015-2016</t>
  </si>
  <si>
    <t>Alex Oxlade-Chamberlain 2016-2017</t>
  </si>
  <si>
    <t>Alex Oxlade-Chamberlain 2017-2018</t>
  </si>
  <si>
    <t>Alex Pritchard 2018-2019</t>
  </si>
  <si>
    <t>Alex Pritchard 2017-2018</t>
  </si>
  <si>
    <t>Alexander Sørloth 2018-2019</t>
  </si>
  <si>
    <t>Alexander Tettey 2015-2016</t>
  </si>
  <si>
    <t>Alexandre Lacazette 2017-2018</t>
  </si>
  <si>
    <t>Alexandre Lacazette 2018-2019</t>
  </si>
  <si>
    <t>Alexandre Song 2015-2016</t>
  </si>
  <si>
    <t>Alexis Sanchez 2016-2017</t>
  </si>
  <si>
    <t>Alexis Sanchez 2015-2016</t>
  </si>
  <si>
    <t>Alexis Sanchez 2017-2018</t>
  </si>
  <si>
    <t>Alexis Sanchez 2018-2019</t>
  </si>
  <si>
    <t>Alfie Mawson 2017-2018</t>
  </si>
  <si>
    <t>Alfie Mawson 2016-2017</t>
  </si>
  <si>
    <t>Alfie Mawson 2018-2019</t>
  </si>
  <si>
    <t>Alfred N'Diaye 2016-2017</t>
  </si>
  <si>
    <t>Alireza Jahanbakhsh 2018-2019</t>
  </si>
  <si>
    <t>Allan-Romeo Nyom 2016-2017</t>
  </si>
  <si>
    <t>Allan-Romeo Nyom 2015-2016</t>
  </si>
  <si>
    <t>Allan-Romeo Nyom 2017-2018</t>
  </si>
  <si>
    <t>Almen Abdi 2015-2016</t>
  </si>
  <si>
    <t>Aly Cissokho 2015-2016</t>
  </si>
  <si>
    <t>Ander Herrera 2015-2016</t>
  </si>
  <si>
    <t>Ander Herrera 2016-2017</t>
  </si>
  <si>
    <t>Ander Herrera 2017-2018</t>
  </si>
  <si>
    <t>Ander Herrera 2018-2019</t>
  </si>
  <si>
    <t>André Ayew 2015-2016</t>
  </si>
  <si>
    <t>André Ayew 2016-2017</t>
  </si>
  <si>
    <t>André Ayew 2017-2018</t>
  </si>
  <si>
    <t>André Carrillo 2017-2018</t>
  </si>
  <si>
    <t>André Gomes 2018-2019</t>
  </si>
  <si>
    <t>André Schürrle 2018-2019</t>
  </si>
  <si>
    <t>Andre Gray 2016-2017</t>
  </si>
  <si>
    <t>Andre Gray 2017-2018</t>
  </si>
  <si>
    <t>Andre Gray 2018-2019</t>
  </si>
  <si>
    <t>Andre Wisdom 2015-2016</t>
  </si>
  <si>
    <t>Andre-Frank Zambo Anguissa 2018-2019</t>
  </si>
  <si>
    <t>Andrea Ranocchia 2016-2017</t>
  </si>
  <si>
    <t>Andreas Christensen 2017-2018</t>
  </si>
  <si>
    <t>Andreas Pereira 2018-2019</t>
  </si>
  <si>
    <t>Andrew Robertson 2017-2018</t>
  </si>
  <si>
    <t>Andrew Robertson 2018-2019</t>
  </si>
  <si>
    <t>Andrew Robertson 2016-2017</t>
  </si>
  <si>
    <t>Andrew Surman 2015-2016</t>
  </si>
  <si>
    <t>Andrew Surman 2016-2017</t>
  </si>
  <si>
    <t>Andrew Surman 2018-2019</t>
  </si>
  <si>
    <t>Andrew Surman 2017-2018</t>
  </si>
  <si>
    <t>Andros Townsend 2015-2016</t>
  </si>
  <si>
    <t>Andros Townsend 2016-2017</t>
  </si>
  <si>
    <t>Andros Townsend 2018-2019</t>
  </si>
  <si>
    <t>Andros Townsend 2017-2018</t>
  </si>
  <si>
    <t>Andy Carroll 2018-2019</t>
  </si>
  <si>
    <t>Andy Carroll 2015-2016</t>
  </si>
  <si>
    <t>Andy Carroll 2016-2017</t>
  </si>
  <si>
    <t>Andy Carroll 2017-2018</t>
  </si>
  <si>
    <t>Andy King 2015-2016</t>
  </si>
  <si>
    <t>Andy King 2016-2017</t>
  </si>
  <si>
    <t>Andy King 2017-2018</t>
  </si>
  <si>
    <t>Angel Rangel 2015-2016</t>
  </si>
  <si>
    <t>Angel Rangel 2016-2017</t>
  </si>
  <si>
    <t>Angelo Ogbonna 2016-2017</t>
  </si>
  <si>
    <t>Angelo Ogbonna 2018-2019</t>
  </si>
  <si>
    <t>Angelo Ogbonna 2015-2016</t>
  </si>
  <si>
    <t>Angelo Ogbonna 2017-2018</t>
  </si>
  <si>
    <t>Anthony Knockaert 2018-2019</t>
  </si>
  <si>
    <t>Anthony Knockaert 2017-2018</t>
  </si>
  <si>
    <t>Anthony Martial 2015-2016</t>
  </si>
  <si>
    <t>Anthony Martial 2016-2017</t>
  </si>
  <si>
    <t>Anthony Martial 2017-2018</t>
  </si>
  <si>
    <t>Anthony Martial 2018-2019</t>
  </si>
  <si>
    <t>Antonio Barragán 2016-2017</t>
  </si>
  <si>
    <t>Antonio Rüdiger 2017-2018</t>
  </si>
  <si>
    <t>Antonio Rüdiger 2018-2019</t>
  </si>
  <si>
    <t>Antonio Valencia 2015-2016</t>
  </si>
  <si>
    <t>Antonio Valencia 2016-2017</t>
  </si>
  <si>
    <t>Antonio Valencia 2017-2018</t>
  </si>
  <si>
    <t>Aron Gunnarsson 2018-2019</t>
  </si>
  <si>
    <t>Arouna Koné 2015-2016</t>
  </si>
  <si>
    <t>Arthur Masuaku 2017-2018</t>
  </si>
  <si>
    <t>Arthur Masuaku 2016-2017</t>
  </si>
  <si>
    <t>Arthur Masuaku 2018-2019</t>
  </si>
  <si>
    <t>Ashley Barnes 2016-2017</t>
  </si>
  <si>
    <t>Ashley Barnes 2017-2018</t>
  </si>
  <si>
    <t>Ashley Barnes 2018-2019</t>
  </si>
  <si>
    <t>Ashley Fletcher 2016-2017</t>
  </si>
  <si>
    <t>Ashley Westwood 2015-2016</t>
  </si>
  <si>
    <t>Ashley Westwood 2018-2019</t>
  </si>
  <si>
    <t>Ashley Westwood 2017-2018</t>
  </si>
  <si>
    <t>Ashley Williams 2015-2016</t>
  </si>
  <si>
    <t>Ashley Williams 2016-2017</t>
  </si>
  <si>
    <t>Ashley Williams 2017-2018</t>
  </si>
  <si>
    <t>Ashley Young 2015-2016</t>
  </si>
  <si>
    <t>Ashley Young 2018-2019</t>
  </si>
  <si>
    <t>Ashley Young 2017-2018</t>
  </si>
  <si>
    <t>Ashley Young 2016-2017</t>
  </si>
  <si>
    <t>Aymeric Laporte 2018-2019</t>
  </si>
  <si>
    <t>Ayoze Pérez 2015-2016</t>
  </si>
  <si>
    <t>Ayoze Pérez 2017-2018</t>
  </si>
  <si>
    <t>Ayoze Pérez 2018-2019</t>
  </si>
  <si>
    <t>Bacary Sagna 2015-2016</t>
  </si>
  <si>
    <t>Bacary Sagna 2016-2017</t>
  </si>
  <si>
    <t>Badou Ndiaye 2017-2018</t>
  </si>
  <si>
    <t>Bafétimbi Gomis 2015-2016</t>
  </si>
  <si>
    <t>Bakary Sako 2015-2016</t>
  </si>
  <si>
    <t>Bakary Sako 2017-2018</t>
  </si>
  <si>
    <t>Bastian Schweinsteiger 2015-2016</t>
  </si>
  <si>
    <t>Ben Chilwell 2018-2019</t>
  </si>
  <si>
    <t>Ben Chilwell 2016-2017</t>
  </si>
  <si>
    <t>Ben Chilwell 2017-2018</t>
  </si>
  <si>
    <t>Ben Davies 2018-2019</t>
  </si>
  <si>
    <t>Ben Davies 2016-2017</t>
  </si>
  <si>
    <t>Ben Davies 2015-2016</t>
  </si>
  <si>
    <t>Ben Davies 2017-2018</t>
  </si>
  <si>
    <t>Ben Gibson 2016-2017</t>
  </si>
  <si>
    <t>Ben Mee 2016-2017</t>
  </si>
  <si>
    <t>Ben Mee 2017-2018</t>
  </si>
  <si>
    <t>Ben Mee 2018-2019</t>
  </si>
  <si>
    <t>Ben Watson 2015-2016</t>
  </si>
  <si>
    <t>Benik Afobe 2015-2016</t>
  </si>
  <si>
    <t>Benik Afobe 2016-2017</t>
  </si>
  <si>
    <t>Benik Afobe 2017-2018</t>
  </si>
  <si>
    <t>Benjamin Mendy 2018-2019</t>
  </si>
  <si>
    <t>Beram Kayal 2017-2018</t>
  </si>
  <si>
    <t>Beram Kayal 2018-2019</t>
  </si>
  <si>
    <t>Bernard 2018-2019</t>
  </si>
  <si>
    <t>Bernardo 2018-2019</t>
  </si>
  <si>
    <t>Bernardo Espinosa 2016-2017</t>
  </si>
  <si>
    <t>Bernardo Silva 2017-2018</t>
  </si>
  <si>
    <t>Bernardo Silva 2018-2019</t>
  </si>
  <si>
    <t>Bertrand Traoré 2015-2016</t>
  </si>
  <si>
    <t>Billy Jones 2015-2016</t>
  </si>
  <si>
    <t>Billy Jones 2016-2017</t>
  </si>
  <si>
    <t>Bobby De Cordova-Reid 2018-2019</t>
  </si>
  <si>
    <t>Bojan 2015-2016</t>
  </si>
  <si>
    <t>Borja Bastón 2016-2017</t>
  </si>
  <si>
    <t>Branislav Ivanovic 2015-2016</t>
  </si>
  <si>
    <t>Branislav Ivanovic 2016-2017</t>
  </si>
  <si>
    <t>Brendan Galloway 2015-2016</t>
  </si>
  <si>
    <t>Bruno 2017-2018</t>
  </si>
  <si>
    <t>Bruno 2018-2019</t>
  </si>
  <si>
    <t>Bruno Ecuele Manga 2018-2019</t>
  </si>
  <si>
    <t>Bruno Martins Indi 2017-2018</t>
  </si>
  <si>
    <t>Bruno Martins Indi 2016-2017</t>
  </si>
  <si>
    <t>Bryan Oviedo 2016-2017</t>
  </si>
  <si>
    <t>Bryan Oviedo 2015-2016</t>
  </si>
  <si>
    <t>Cédric Soares 2018-2019</t>
  </si>
  <si>
    <t>Cédric Soares 2016-2017</t>
  </si>
  <si>
    <t>Cédric Soares 2015-2016</t>
  </si>
  <si>
    <t>Cédric Soares 2017-2018</t>
  </si>
  <si>
    <t>Callum Hudson-Odoi 2018-2019</t>
  </si>
  <si>
    <t>Callum McManaman 2015-2016</t>
  </si>
  <si>
    <t>Callum Paterson 2018-2019</t>
  </si>
  <si>
    <t>Callum Wilson 2016-2017</t>
  </si>
  <si>
    <t>Callum Wilson 2017-2018</t>
  </si>
  <si>
    <t>Callum Wilson 2018-2019</t>
  </si>
  <si>
    <t>Calum Chambers 2015-2016</t>
  </si>
  <si>
    <t>Calum Chambers 2016-2017</t>
  </si>
  <si>
    <t>Calum Chambers 2018-2019</t>
  </si>
  <si>
    <t>Calum Chambers 2017-2018</t>
  </si>
  <si>
    <t>Cameron Borthwick-Jackson 2015-2016</t>
  </si>
  <si>
    <t>Cameron Brannagan 2015-2016</t>
  </si>
  <si>
    <t>Cameron Jerome 2015-2016</t>
  </si>
  <si>
    <t>Carles Gil 2015-2016</t>
  </si>
  <si>
    <t>Carlos Sánchez 2015-2016</t>
  </si>
  <si>
    <t>Cenk Tosun 2017-2018</t>
  </si>
  <si>
    <t>Cenk Tosun 2018-2019</t>
  </si>
  <si>
    <t>Cesar Azpilicueta 2016-2017</t>
  </si>
  <si>
    <t>Cesar Azpilicueta 2017-2018</t>
  </si>
  <si>
    <t>Cesar Azpilicueta 2018-2019</t>
  </si>
  <si>
    <t>Cesar Azpilicueta 2015-2016</t>
  </si>
  <si>
    <t>Cesc Fàbregas 2015-2016</t>
  </si>
  <si>
    <t>Cesc Fàbregas 2016-2017</t>
  </si>
  <si>
    <t>Cesc Fàbregas 2017-2018</t>
  </si>
  <si>
    <t>Chancel Mbemba 2015-2016</t>
  </si>
  <si>
    <t>Charlie Adam 2015-2016</t>
  </si>
  <si>
    <t>Charlie Adam 2016-2017</t>
  </si>
  <si>
    <t>Charlie Adam 2017-2018</t>
  </si>
  <si>
    <t>Charlie Austin 2018-2019</t>
  </si>
  <si>
    <t>Charlie Austin 2017-2018</t>
  </si>
  <si>
    <t>Charlie Austin 2016-2017</t>
  </si>
  <si>
    <t>Charlie Daniels 2015-2016</t>
  </si>
  <si>
    <t>Charlie Daniels 2018-2019</t>
  </si>
  <si>
    <t>Charlie Daniels 2017-2018</t>
  </si>
  <si>
    <t>Charlie Daniels 2016-2017</t>
  </si>
  <si>
    <t>Charlie Taylor 2017-2018</t>
  </si>
  <si>
    <t>Charlie Taylor 2018-2019</t>
  </si>
  <si>
    <t>Cheick Tioté 2015-2016</t>
  </si>
  <si>
    <t>Cheikhou Kouyaté 2015-2016</t>
  </si>
  <si>
    <t>Cheikhou Kouyaté 2017-2018</t>
  </si>
  <si>
    <t>Cheikhou Kouyaté 2018-2019</t>
  </si>
  <si>
    <t>Cheikhou Kouyaté 2016-2017</t>
  </si>
  <si>
    <t>Chicharito 2017-2018</t>
  </si>
  <si>
    <t>Chicharito 2018-2019</t>
  </si>
  <si>
    <t>Chris Brunt 2015-2016</t>
  </si>
  <si>
    <t>Chris Brunt 2016-2017</t>
  </si>
  <si>
    <t>Chris Brunt 2017-2018</t>
  </si>
  <si>
    <t>Chris Löwe 2017-2018</t>
  </si>
  <si>
    <t>Chris Löwe 2018-2019</t>
  </si>
  <si>
    <t>Chris Mepham 2018-2019</t>
  </si>
  <si>
    <t>Chris Smalling 2016-2017</t>
  </si>
  <si>
    <t>Chris Smalling 2017-2018</t>
  </si>
  <si>
    <t>Chris Smalling 2018-2019</t>
  </si>
  <si>
    <t>Chris Smalling 2015-2016</t>
  </si>
  <si>
    <t>Chris Wood 2017-2018</t>
  </si>
  <si>
    <t>Chris Wood 2018-2019</t>
  </si>
  <si>
    <t>Christian Atsu 2018-2019</t>
  </si>
  <si>
    <t>Christian Atsu 2017-2018</t>
  </si>
  <si>
    <t>Christian Benteke 2015-2016</t>
  </si>
  <si>
    <t>Christian Benteke 2016-2017</t>
  </si>
  <si>
    <t>Christian Benteke 2017-2018</t>
  </si>
  <si>
    <t>Christian Benteke 2018-2019</t>
  </si>
  <si>
    <t>Christian Eriksen 2015-2016</t>
  </si>
  <si>
    <t>Christian Eriksen 2016-2017</t>
  </si>
  <si>
    <t>Christian Eriksen 2017-2018</t>
  </si>
  <si>
    <t>Christian Eriksen 2018-2019</t>
  </si>
  <si>
    <t>Christian Fuchs 2017-2018</t>
  </si>
  <si>
    <t>Christian Fuchs 2015-2016</t>
  </si>
  <si>
    <t>Christian Fuchs 2016-2017</t>
  </si>
  <si>
    <t>Christian Kabasele 2017-2018</t>
  </si>
  <si>
    <t>Christian Kabasele 2018-2019</t>
  </si>
  <si>
    <t>Christian Kabasele 2016-2017</t>
  </si>
  <si>
    <t>Christopher Schindler 2017-2018</t>
  </si>
  <si>
    <t>Christopher Schindler 2018-2019</t>
  </si>
  <si>
    <t>Chung-Yong Lee 2015-2016</t>
  </si>
  <si>
    <t>Chung-Yong Lee 2016-2017</t>
  </si>
  <si>
    <t>Ciaran Clark 2018-2019</t>
  </si>
  <si>
    <t>Ciaran Clark 2015-2016</t>
  </si>
  <si>
    <t>Ciaran Clark 2017-2018</t>
  </si>
  <si>
    <t>Claudio Yacob 2015-2016</t>
  </si>
  <si>
    <t>Claudio Yacob 2016-2017</t>
  </si>
  <si>
    <t>Claudio Yacob 2017-2018</t>
  </si>
  <si>
    <t>Collin Quaner 2017-2018</t>
  </si>
  <si>
    <t>Connor Wickham 2015-2016</t>
  </si>
  <si>
    <t>Conor Coady 2018-2019</t>
  </si>
  <si>
    <t>Craig Cathcart 2015-2016</t>
  </si>
  <si>
    <t>Craig Cathcart 2016-2017</t>
  </si>
  <si>
    <t>Craig Cathcart 2018-2019</t>
  </si>
  <si>
    <t>Craig Dawson 2017-2018</t>
  </si>
  <si>
    <t>Craig Dawson 2015-2016</t>
  </si>
  <si>
    <t>Craig Dawson 2016-2017</t>
  </si>
  <si>
    <t>Craig Gardner 2015-2016</t>
  </si>
  <si>
    <t>Cristhian Stuani 2016-2017</t>
  </si>
  <si>
    <t>Cuco Martina 2017-2018</t>
  </si>
  <si>
    <t>Cuco Martina 2015-2016</t>
  </si>
  <si>
    <t>Curtis Davies 2016-2017</t>
  </si>
  <si>
    <t>Cyrus Christie 2018-2019</t>
  </si>
  <si>
    <t>Dale Stephens 2018-2019</t>
  </si>
  <si>
    <t>Dale Stephens 2017-2018</t>
  </si>
  <si>
    <t>Daley Blind 2016-2017</t>
  </si>
  <si>
    <t>Daley Blind 2015-2016</t>
  </si>
  <si>
    <t>Dame N'Doye 2015-2016</t>
  </si>
  <si>
    <t>Damien Delaney 2015-2016</t>
  </si>
  <si>
    <t>Damien Delaney 2016-2017</t>
  </si>
  <si>
    <t>Dan Gosling 2015-2016</t>
  </si>
  <si>
    <t>Dan Gosling 2016-2017</t>
  </si>
  <si>
    <t>Dan Gosling 2018-2019</t>
  </si>
  <si>
    <t>Dan Gosling 2017-2018</t>
  </si>
  <si>
    <t>Daniel Amartey 2016-2017</t>
  </si>
  <si>
    <t>Daniel Ayala 2016-2017</t>
  </si>
  <si>
    <t>Daniel Drinkwater 2015-2016</t>
  </si>
  <si>
    <t>Daniel Drinkwater 2016-2017</t>
  </si>
  <si>
    <t>Daniel Drinkwater 2017-2018</t>
  </si>
  <si>
    <t>Daniel Sturridge 2017-2018</t>
  </si>
  <si>
    <t>Daniel Sturridge 2018-2019</t>
  </si>
  <si>
    <t>Daniel Sturridge 2016-2017</t>
  </si>
  <si>
    <t>Daniel Sturridge 2015-2016</t>
  </si>
  <si>
    <t>Danilo 2017-2018</t>
  </si>
  <si>
    <t>Danilo 2018-2019</t>
  </si>
  <si>
    <t>Danny Graham 2015-2016</t>
  </si>
  <si>
    <t>Danny Ings 2018-2019</t>
  </si>
  <si>
    <t>Danny Rose 2016-2017</t>
  </si>
  <si>
    <t>Danny Rose 2017-2018</t>
  </si>
  <si>
    <t>Danny Rose 2018-2019</t>
  </si>
  <si>
    <t>Danny Rose 2015-2016</t>
  </si>
  <si>
    <t>Danny Simpson 2015-2016</t>
  </si>
  <si>
    <t>Danny Simpson 2017-2018</t>
  </si>
  <si>
    <t>Danny Simpson 2016-2017</t>
  </si>
  <si>
    <t>Danny Ward 2018-2019</t>
  </si>
  <si>
    <t>Danny Welbeck 2015-2016</t>
  </si>
  <si>
    <t>Danny Welbeck 2016-2017</t>
  </si>
  <si>
    <t>Danny Welbeck 2017-2018</t>
  </si>
  <si>
    <t>Danny Williams 2017-2018</t>
  </si>
  <si>
    <t>Darren Fletcher 2015-2016</t>
  </si>
  <si>
    <t>Darren Fletcher 2016-2017</t>
  </si>
  <si>
    <t>Darren Fletcher 2017-2018</t>
  </si>
  <si>
    <t>Darron Gibson 2016-2017</t>
  </si>
  <si>
    <t>Daryl Janmaat 2017-2018</t>
  </si>
  <si>
    <t>Daryl Janmaat 2018-2019</t>
  </si>
  <si>
    <t>Daryl Janmaat 2016-2017</t>
  </si>
  <si>
    <t>Daryl Janmaat 2015-2016</t>
  </si>
  <si>
    <t>David Brooks 2018-2019</t>
  </si>
  <si>
    <t>David Junior Hoilett 2018-2019</t>
  </si>
  <si>
    <t>David Luiz 2016-2017</t>
  </si>
  <si>
    <t>David Luiz 2018-2019</t>
  </si>
  <si>
    <t>David Luiz 2017-2018</t>
  </si>
  <si>
    <t>David Meyler 2016-2017</t>
  </si>
  <si>
    <t>David Silva 2015-2016</t>
  </si>
  <si>
    <t>David Silva 2016-2017</t>
  </si>
  <si>
    <t>David Silva 2017-2018</t>
  </si>
  <si>
    <t>David Silva 2018-2019</t>
  </si>
  <si>
    <t>Davide Zappacosta 2017-2018</t>
  </si>
  <si>
    <t>Davinson Sánchez 2018-2019</t>
  </si>
  <si>
    <t>Davinson Sánchez 2017-2018</t>
  </si>
  <si>
    <t>Davy Pröpper 2017-2018</t>
  </si>
  <si>
    <t>Davy Pröpper 2018-2019</t>
  </si>
  <si>
    <t>Dean Marney 2016-2017</t>
  </si>
  <si>
    <t>DeAndre Yedlin 2017-2018</t>
  </si>
  <si>
    <t>DeAndre Yedlin 2015-2016</t>
  </si>
  <si>
    <t>DeAndre Yedlin 2018-2019</t>
  </si>
  <si>
    <t>Declan Rice 2018-2019</t>
  </si>
  <si>
    <t>Declan Rice 2017-2018</t>
  </si>
  <si>
    <t>Dejan Lovren 2015-2016</t>
  </si>
  <si>
    <t>Dejan Lovren 2018-2019</t>
  </si>
  <si>
    <t>Dejan Lovren 2016-2017</t>
  </si>
  <si>
    <t>Dejan Lovren 2017-2018</t>
  </si>
  <si>
    <t>Dele Alli 2015-2016</t>
  </si>
  <si>
    <t>Dele Alli 2016-2017</t>
  </si>
  <si>
    <t>Dele Alli 2018-2019</t>
  </si>
  <si>
    <t>Dele Alli 2017-2018</t>
  </si>
  <si>
    <t>Demarai Gray 2015-2016</t>
  </si>
  <si>
    <t>Demarai Gray 2016-2017</t>
  </si>
  <si>
    <t>Demarai Gray 2018-2019</t>
  </si>
  <si>
    <t>Demarai Gray 2017-2018</t>
  </si>
  <si>
    <t>Denis Odoi 2018-2019</t>
  </si>
  <si>
    <t>Diafra Sakho 2015-2016</t>
  </si>
  <si>
    <t>Diafra Sakho 2017-2018</t>
  </si>
  <si>
    <t>Didier Ndong 2016-2017</t>
  </si>
  <si>
    <t>Diego Costa 2015-2016</t>
  </si>
  <si>
    <t>Diego Costa 2016-2017</t>
  </si>
  <si>
    <t>Diego Rico 2018-2019</t>
  </si>
  <si>
    <t>Dieudonne Mbokani Bezua 2015-2016</t>
  </si>
  <si>
    <t>Dieudonne Mbokani Bezua 2016-2017</t>
  </si>
  <si>
    <t>Dimitri Payet 2015-2016</t>
  </si>
  <si>
    <t>Dimitri Payet 2016-2017</t>
  </si>
  <si>
    <t>Diogo Dalot 2018-2019</t>
  </si>
  <si>
    <t>Diogo Jota 2018-2019</t>
  </si>
  <si>
    <t>Divock Origi 2015-2016</t>
  </si>
  <si>
    <t>Divock Origi 2016-2017</t>
  </si>
  <si>
    <t>Divock Origi 2018-2019</t>
  </si>
  <si>
    <t>Dominic Calvert-Lewin 2016-2017</t>
  </si>
  <si>
    <t>Dominic Calvert-Lewin 2018-2019</t>
  </si>
  <si>
    <t>Dominic Calvert-Lewin 2017-2018</t>
  </si>
  <si>
    <t>Dominic Solanke 2017-2018</t>
  </si>
  <si>
    <t>Dominic Solanke 2018-2019</t>
  </si>
  <si>
    <t>Donald Love 2016-2017</t>
  </si>
  <si>
    <t>Duncan Watmore 2015-2016</t>
  </si>
  <si>
    <t>Duncan Watmore 2016-2017</t>
  </si>
  <si>
    <t>Dusan Tadic 2015-2016</t>
  </si>
  <si>
    <t>Dusan Tadic 2016-2017</t>
  </si>
  <si>
    <t>Dusan Tadic 2017-2018</t>
  </si>
  <si>
    <t>Dwight Gayle 2015-2016</t>
  </si>
  <si>
    <t>Dwight Gayle 2017-2018</t>
  </si>
  <si>
    <t>Dwight McNeil 2018-2019</t>
  </si>
  <si>
    <t>Eden Hazard 2015-2016</t>
  </si>
  <si>
    <t>Eden Hazard 2016-2017</t>
  </si>
  <si>
    <t>Eden Hazard 2017-2018</t>
  </si>
  <si>
    <t>Eden Hazard 2018-2019</t>
  </si>
  <si>
    <t>Edimilson Fernandes 2016-2017</t>
  </si>
  <si>
    <t>Edimilson Fernandes 2017-2018</t>
  </si>
  <si>
    <t>Eliaquim Mangala 2015-2016</t>
  </si>
  <si>
    <t>Eliaquim Mangala 2017-2018</t>
  </si>
  <si>
    <t>Elias Kachunga 2017-2018</t>
  </si>
  <si>
    <t>Elias Kachunga 2018-2019</t>
  </si>
  <si>
    <t>Emerson 2018-2019</t>
  </si>
  <si>
    <t>Emmanuel Adebayor 2015-2016</t>
  </si>
  <si>
    <t>Emmanuel Emenike 2015-2016</t>
  </si>
  <si>
    <t>Emre Can 2015-2016</t>
  </si>
  <si>
    <t>Emre Can 2016-2017</t>
  </si>
  <si>
    <t>Emre Can 2017-2018</t>
  </si>
  <si>
    <t>Enner Valencia 2015-2016</t>
  </si>
  <si>
    <t>Enner Valencia 2016-2017</t>
  </si>
  <si>
    <t>Eric Bailly 2018-2019</t>
  </si>
  <si>
    <t>Eric Bailly 2017-2018</t>
  </si>
  <si>
    <t>Eric Bailly 2016-2017</t>
  </si>
  <si>
    <t>Eric Dier 2015-2016</t>
  </si>
  <si>
    <t>Eric Dier 2016-2017</t>
  </si>
  <si>
    <t>Eric Dier 2018-2019</t>
  </si>
  <si>
    <t>Eric Dier 2017-2018</t>
  </si>
  <si>
    <t>Eric Maxim Choupo-Moting 2017-2018</t>
  </si>
  <si>
    <t>Erik Durm 2018-2019</t>
  </si>
  <si>
    <t>Erik Lamela 2015-2016</t>
  </si>
  <si>
    <t>Erik Lamela 2017-2018</t>
  </si>
  <si>
    <t>Erik Lamela 2018-2019</t>
  </si>
  <si>
    <t>Erik Pieters 2016-2017</t>
  </si>
  <si>
    <t>Erik Pieters 2017-2018</t>
  </si>
  <si>
    <t>Erik Pieters 2015-2016</t>
  </si>
  <si>
    <t>Etienne Capoue 2015-2016</t>
  </si>
  <si>
    <t>Etienne Capoue 2016-2017</t>
  </si>
  <si>
    <t>Etienne Capoue 2017-2018</t>
  </si>
  <si>
    <t>Etienne Capoue 2018-2019</t>
  </si>
  <si>
    <t>Eunan O'Kane 2015-2016</t>
  </si>
  <si>
    <t>Evandro 2016-2017</t>
  </si>
  <si>
    <t>Ezequiel Schelotto 2017-2018</t>
  </si>
  <si>
    <t>Fabián Balbuena 2018-2019</t>
  </si>
  <si>
    <t>Fabian Delph 2015-2016</t>
  </si>
  <si>
    <t>Fabian Delph 2018-2019</t>
  </si>
  <si>
    <t>Fabian Delph 2017-2018</t>
  </si>
  <si>
    <t>Fabian Schär 2018-2019</t>
  </si>
  <si>
    <t>Fabinho 2018-2019</t>
  </si>
  <si>
    <t>Fabio Borini 2015-2016</t>
  </si>
  <si>
    <t>Fabio Borini 2016-2017</t>
  </si>
  <si>
    <t>Fabricio Coloccini 2015-2016</t>
  </si>
  <si>
    <t>Federico Fernández 2016-2017</t>
  </si>
  <si>
    <t>Federico Fernández 2015-2016</t>
  </si>
  <si>
    <t>Federico Fernández 2018-2019</t>
  </si>
  <si>
    <t>Federico Fernández 2017-2018</t>
  </si>
  <si>
    <t>Felipe Anderson 2018-2019</t>
  </si>
  <si>
    <t>Fernandinho 2015-2016</t>
  </si>
  <si>
    <t>Fernandinho 2016-2017</t>
  </si>
  <si>
    <t>Fernandinho 2018-2019</t>
  </si>
  <si>
    <t>Fernandinho 2017-2018</t>
  </si>
  <si>
    <t>Fernando 2015-2016</t>
  </si>
  <si>
    <t>Fernando 2016-2017</t>
  </si>
  <si>
    <t>Fernando Llorente 2016-2017</t>
  </si>
  <si>
    <t>Fernando Llorente 2017-2018</t>
  </si>
  <si>
    <t>Fernando Llorente 2018-2019</t>
  </si>
  <si>
    <t>Florent Hadergjonaj 2018-2019</t>
  </si>
  <si>
    <t>Florent Hadergjonaj 2017-2018</t>
  </si>
  <si>
    <t>Florian Lejeune 2018-2019</t>
  </si>
  <si>
    <t>Florian Lejeune 2017-2018</t>
  </si>
  <si>
    <t>Florian Thauvin 2015-2016</t>
  </si>
  <si>
    <t>Florin Andone 2018-2019</t>
  </si>
  <si>
    <t>Floyd Ayité 2018-2019</t>
  </si>
  <si>
    <t>Fousseni Diabaté 2017-2018</t>
  </si>
  <si>
    <t>Fraizer Campbell 2015-2016</t>
  </si>
  <si>
    <t>Fraizer Campbell 2016-2017</t>
  </si>
  <si>
    <t>Francis Coquelin 2015-2016</t>
  </si>
  <si>
    <t>Francis Coquelin 2016-2017</t>
  </si>
  <si>
    <t>Fred 2018-2019</t>
  </si>
  <si>
    <t>Gaël Clichy 2015-2016</t>
  </si>
  <si>
    <t>Gaël Clichy 2016-2017</t>
  </si>
  <si>
    <t>Gaëtan Bong 2017-2018</t>
  </si>
  <si>
    <t>Gaëtan Bong 2018-2019</t>
  </si>
  <si>
    <t>Gabriel Agbonlahor 2015-2016</t>
  </si>
  <si>
    <t>Gabriel Jesus 2016-2017</t>
  </si>
  <si>
    <t>Gabriel Jesus 2017-2018</t>
  </si>
  <si>
    <t>Gabriel Jesus 2018-2019</t>
  </si>
  <si>
    <t>Gabriel Paulista 2015-2016</t>
  </si>
  <si>
    <t>Gabriel Paulista 2016-2017</t>
  </si>
  <si>
    <t>Gareth Barry 2015-2016</t>
  </si>
  <si>
    <t>Gareth Barry 2016-2017</t>
  </si>
  <si>
    <t>Gareth Barry 2017-2018</t>
  </si>
  <si>
    <t>Gareth McAuley 2016-2017</t>
  </si>
  <si>
    <t>Gareth McAuley 2015-2016</t>
  </si>
  <si>
    <t>Gary Cahill 2017-2018</t>
  </si>
  <si>
    <t>Gary Cahill 2015-2016</t>
  </si>
  <si>
    <t>Gary Cahill 2016-2017</t>
  </si>
  <si>
    <t>Gary O'Neil 2015-2016</t>
  </si>
  <si>
    <t>Gastón Ramírez 2016-2017</t>
  </si>
  <si>
    <t>Geoff Cameron 2016-2017</t>
  </si>
  <si>
    <t>Geoff Cameron 2015-2016</t>
  </si>
  <si>
    <t>Geoff Cameron 2017-2018</t>
  </si>
  <si>
    <t>George Boyd 2016-2017</t>
  </si>
  <si>
    <t>George Friend 2016-2017</t>
  </si>
  <si>
    <t>Georginio Wijnaldum 2015-2016</t>
  </si>
  <si>
    <t>Georginio Wijnaldum 2016-2017</t>
  </si>
  <si>
    <t>Georginio Wijnaldum 2017-2018</t>
  </si>
  <si>
    <t>Georginio Wijnaldum 2018-2019</t>
  </si>
  <si>
    <t>Gerard Deulofeu 2015-2016</t>
  </si>
  <si>
    <t>Gerard Deulofeu 2016-2017</t>
  </si>
  <si>
    <t>Gerard Deulofeu 2018-2019</t>
  </si>
  <si>
    <t>Giannelli Imbula 2015-2016</t>
  </si>
  <si>
    <t>Giannelli Imbula 2016-2017</t>
  </si>
  <si>
    <t>Glen Johnson 2016-2017</t>
  </si>
  <si>
    <t>Glen Johnson 2015-2016</t>
  </si>
  <si>
    <t>Glenn Murray 2015-2016</t>
  </si>
  <si>
    <t>Glenn Murray 2017-2018</t>
  </si>
  <si>
    <t>Glenn Murray 2018-2019</t>
  </si>
  <si>
    <t>Glenn Whelan 2015-2016</t>
  </si>
  <si>
    <t>Glenn Whelan 2016-2017</t>
  </si>
  <si>
    <t>Gonzalo Higuaín 2018-2019</t>
  </si>
  <si>
    <t>Grady Diangana 2018-2019</t>
  </si>
  <si>
    <t>Graham Dorrans 2015-2016</t>
  </si>
  <si>
    <t>Granit Xhaka 2016-2017</t>
  </si>
  <si>
    <t>Granit Xhaka 2017-2018</t>
  </si>
  <si>
    <t>Granit Xhaka 2018-2019</t>
  </si>
  <si>
    <t>Grant Leadbitter 2016-2017</t>
  </si>
  <si>
    <t>Graziano Pellè 2015-2016</t>
  </si>
  <si>
    <t>Grzegorz Krychowiak 2017-2018</t>
  </si>
  <si>
    <t>Gylfi Sigurdsson 2015-2016</t>
  </si>
  <si>
    <t>Gylfi Sigurdsson 2016-2017</t>
  </si>
  <si>
    <t>Gylfi Sigurdsson 2017-2018</t>
  </si>
  <si>
    <t>Gylfi Sigurdsson 2018-2019</t>
  </si>
  <si>
    <t>Håvard Nordtveit 2016-2017</t>
  </si>
  <si>
    <t>Hélder Costa 2018-2019</t>
  </si>
  <si>
    <t>Hal Robson-Kanu 2016-2017</t>
  </si>
  <si>
    <t>Hal Robson-Kanu 2017-2018</t>
  </si>
  <si>
    <t>Harry Arter 2015-2016</t>
  </si>
  <si>
    <t>Harry Arter 2016-2017</t>
  </si>
  <si>
    <t>Harry Arter 2017-2018</t>
  </si>
  <si>
    <t>Harry Arter 2018-2019</t>
  </si>
  <si>
    <t>Harry Kane 2015-2016</t>
  </si>
  <si>
    <t>Harry Kane 2016-2017</t>
  </si>
  <si>
    <t>Harry Kane 2017-2018</t>
  </si>
  <si>
    <t>Harry Kane 2018-2019</t>
  </si>
  <si>
    <t>Harry Maguire 2018-2019</t>
  </si>
  <si>
    <t>Harry Maguire 2016-2017</t>
  </si>
  <si>
    <t>Harry Maguire 2017-2018</t>
  </si>
  <si>
    <t>Harry Winks 2016-2017</t>
  </si>
  <si>
    <t>Harry Winks 2018-2019</t>
  </si>
  <si>
    <t>Harry Winks 2017-2018</t>
  </si>
  <si>
    <t>Harvey Barnes 2018-2019</t>
  </si>
  <si>
    <t>Hector Bellerin 2015-2016</t>
  </si>
  <si>
    <t>Hector Bellerin 2018-2019</t>
  </si>
  <si>
    <t>Hector Bellerin 2016-2017</t>
  </si>
  <si>
    <t>Hector Bellerin 2017-2018</t>
  </si>
  <si>
    <t>Henrikh Mkhitaryan 2016-2017</t>
  </si>
  <si>
    <t>Henrikh Mkhitaryan 2017-2018</t>
  </si>
  <si>
    <t>Henrikh Mkhitaryan 2018-2019</t>
  </si>
  <si>
    <t>Ibrahim Afellay 2015-2016</t>
  </si>
  <si>
    <t>Ibrahim Afellay 2016-2017</t>
  </si>
  <si>
    <t>Idrissa Gueye 2015-2016</t>
  </si>
  <si>
    <t>Idrissa Gueye 2016-2017</t>
  </si>
  <si>
    <t>Idrissa Gueye 2017-2018</t>
  </si>
  <si>
    <t>Idrissa Gueye 2018-2019</t>
  </si>
  <si>
    <t>Ikechi Anya 2015-2016</t>
  </si>
  <si>
    <t>Ilkay Gündogan 2017-2018</t>
  </si>
  <si>
    <t>Ilkay Gündogan 2016-2017</t>
  </si>
  <si>
    <t>Ilkay Gündogan 2018-2019</t>
  </si>
  <si>
    <t>Isaac Hayden 2018-2019</t>
  </si>
  <si>
    <t>Isaac Hayden 2017-2018</t>
  </si>
  <si>
    <t>Isaac Mbenza 2018-2019</t>
  </si>
  <si>
    <t>Isaac Success 2016-2017</t>
  </si>
  <si>
    <t>Isaac Success 2018-2019</t>
  </si>
  <si>
    <t>Isaiah Brown 2017-2018</t>
  </si>
  <si>
    <t>Islam Slimani 2016-2017</t>
  </si>
  <si>
    <t>Islam Slimani 2017-2018</t>
  </si>
  <si>
    <t>Issa Diop 2018-2019</t>
  </si>
  <si>
    <t>Ivan Cavaleiro 2018-2019</t>
  </si>
  <si>
    <t>Ivo Pinto 2015-2016</t>
  </si>
  <si>
    <t>Jürgen Locadia 2018-2019</t>
  </si>
  <si>
    <t>Jack Colback 2015-2016</t>
  </si>
  <si>
    <t>Jack Cork 2015-2016</t>
  </si>
  <si>
    <t>Jack Cork 2016-2017</t>
  </si>
  <si>
    <t>Jack Cork 2017-2018</t>
  </si>
  <si>
    <t>Jack Cork 2018-2019</t>
  </si>
  <si>
    <t>Jack Grealish 2015-2016</t>
  </si>
  <si>
    <t>Jack Rodwell 2015-2016</t>
  </si>
  <si>
    <t>Jack Rodwell 2016-2017</t>
  </si>
  <si>
    <t>Jack Stephens 2018-2019</t>
  </si>
  <si>
    <t>Jack Stephens 2017-2018</t>
  </si>
  <si>
    <t>Jack Stephens 2016-2017</t>
  </si>
  <si>
    <t>Jack Wilshere 2016-2017</t>
  </si>
  <si>
    <t>Jack Wilshere 2017-2018</t>
  </si>
  <si>
    <t>Jacob Murphy 2017-2018</t>
  </si>
  <si>
    <t>Jairo Riedewald 2017-2018</t>
  </si>
  <si>
    <t>Jake Livermore 2016-2017</t>
  </si>
  <si>
    <t>Jake Livermore 2017-2018</t>
  </si>
  <si>
    <t>Jamaal Lascelles 2015-2016</t>
  </si>
  <si>
    <t>Jamaal Lascelles 2017-2018</t>
  </si>
  <si>
    <t>Jamaal Lascelles 2018-2019</t>
  </si>
  <si>
    <t>James Chester 2015-2016</t>
  </si>
  <si>
    <t>James Collins 2016-2017</t>
  </si>
  <si>
    <t>James Collins 2015-2016</t>
  </si>
  <si>
    <t>James Collins 2017-2018</t>
  </si>
  <si>
    <t>James Maddison 2018-2019</t>
  </si>
  <si>
    <t>James McArthur 2015-2016</t>
  </si>
  <si>
    <t>James McArthur 2016-2017</t>
  </si>
  <si>
    <t>James McArthur 2017-2018</t>
  </si>
  <si>
    <t>James McArthur 2018-2019</t>
  </si>
  <si>
    <t>James McCarthy 2015-2016</t>
  </si>
  <si>
    <t>James McCarthy 2016-2017</t>
  </si>
  <si>
    <t>James McClean 2015-2016</t>
  </si>
  <si>
    <t>James McClean 2016-2017</t>
  </si>
  <si>
    <t>James McClean 2017-2018</t>
  </si>
  <si>
    <t>James Milner 2015-2016</t>
  </si>
  <si>
    <t>James Milner 2016-2017</t>
  </si>
  <si>
    <t>James Milner 2018-2019</t>
  </si>
  <si>
    <t>James Milner 2017-2018</t>
  </si>
  <si>
    <t>James Morrison 2015-2016</t>
  </si>
  <si>
    <t>James Morrison 2016-2017</t>
  </si>
  <si>
    <t>James Tarkowski 2017-2018</t>
  </si>
  <si>
    <t>James Tarkowski 2018-2019</t>
  </si>
  <si>
    <t>James Tarkowski 2016-2017</t>
  </si>
  <si>
    <t>James Tomkins 2017-2018</t>
  </si>
  <si>
    <t>James Tomkins 2015-2016</t>
  </si>
  <si>
    <t>James Tomkins 2016-2017</t>
  </si>
  <si>
    <t>James Tomkins 2018-2019</t>
  </si>
  <si>
    <t>James Ward-Prowse 2015-2016</t>
  </si>
  <si>
    <t>James Ward-Prowse 2016-2017</t>
  </si>
  <si>
    <t>James Ward-Prowse 2018-2019</t>
  </si>
  <si>
    <t>James Ward-Prowse 2017-2018</t>
  </si>
  <si>
    <t>Jamie Vardy 2015-2016</t>
  </si>
  <si>
    <t>Jamie Vardy 2016-2017</t>
  </si>
  <si>
    <t>Jamie Vardy 2017-2018</t>
  </si>
  <si>
    <t>Jamie Vardy 2018-2019</t>
  </si>
  <si>
    <t>Jan Bednarek 2018-2019</t>
  </si>
  <si>
    <t>Jan Kirchhoff 2015-2016</t>
  </si>
  <si>
    <t>Jan Vertonghen 2016-2017</t>
  </si>
  <si>
    <t>Jan Vertonghen 2018-2019</t>
  </si>
  <si>
    <t>Jan Vertonghen 2017-2018</t>
  </si>
  <si>
    <t>Jan Vertonghen 2015-2016</t>
  </si>
  <si>
    <t>Jannik Vestergaard 2018-2019</t>
  </si>
  <si>
    <t>Jason Denayer 2016-2017</t>
  </si>
  <si>
    <t>Jason Puncheon 2015-2016</t>
  </si>
  <si>
    <t>Jason Puncheon 2016-2017</t>
  </si>
  <si>
    <t>Jason Puncheon 2018-2019</t>
  </si>
  <si>
    <t>Jason Puncheon 2017-2018</t>
  </si>
  <si>
    <t>Javier Manquillo 2016-2017</t>
  </si>
  <si>
    <t>Javier Manquillo 2017-2018</t>
  </si>
  <si>
    <t>Javier Manquillo 2018-2019</t>
  </si>
  <si>
    <t>Jay Fulton 2016-2017</t>
  </si>
  <si>
    <t>Jay Rodriguez 2015-2016</t>
  </si>
  <si>
    <t>Jay Rodriguez 2016-2017</t>
  </si>
  <si>
    <t>Jay Rodriguez 2017-2018</t>
  </si>
  <si>
    <t>Jean Michael Seri 2018-2019</t>
  </si>
  <si>
    <t>Jeff Hendrick 2016-2017</t>
  </si>
  <si>
    <t>Jeff Hendrick 2017-2018</t>
  </si>
  <si>
    <t>Jeff Hendrick 2018-2019</t>
  </si>
  <si>
    <t>Jefferson Lerma 2018-2019</t>
  </si>
  <si>
    <t>Jefferson Montero 2015-2016</t>
  </si>
  <si>
    <t>Jefferson Montero 2016-2017</t>
  </si>
  <si>
    <t>Jeffrey Schlupp 2016-2017</t>
  </si>
  <si>
    <t>Jeffrey Schlupp 2015-2016</t>
  </si>
  <si>
    <t>Jeffrey Schlupp 2018-2019</t>
  </si>
  <si>
    <t>Jeffrey Schlupp 2017-2018</t>
  </si>
  <si>
    <t>Jeremain Lens 2015-2016</t>
  </si>
  <si>
    <t>Jermain Defoe 2017-2018</t>
  </si>
  <si>
    <t>Jermain Defoe 2015-2016</t>
  </si>
  <si>
    <t>Jermain Defoe 2016-2017</t>
  </si>
  <si>
    <t>Jesé 2017-2018</t>
  </si>
  <si>
    <t>Jesús Navas 2015-2016</t>
  </si>
  <si>
    <t>Jesús Navas 2016-2017</t>
  </si>
  <si>
    <t>Jesse Lingard 2015-2016</t>
  </si>
  <si>
    <t>Jesse Lingard 2016-2017</t>
  </si>
  <si>
    <t>Jesse Lingard 2018-2019</t>
  </si>
  <si>
    <t>Jesse Lingard 2017-2018</t>
  </si>
  <si>
    <t>João Mário 2017-2018</t>
  </si>
  <si>
    <t>João Moutinho 2018-2019</t>
  </si>
  <si>
    <t>Joe Allen 2015-2016</t>
  </si>
  <si>
    <t>Joe Allen 2016-2017</t>
  </si>
  <si>
    <t>Joe Allen 2017-2018</t>
  </si>
  <si>
    <t>Joe Bennett 2018-2019</t>
  </si>
  <si>
    <t>Joe Bryan 2018-2019</t>
  </si>
  <si>
    <t>Joe Ledley 2015-2016</t>
  </si>
  <si>
    <t>Joe Ledley 2016-2017</t>
  </si>
  <si>
    <t>Joe Ralls 2018-2019</t>
  </si>
  <si>
    <t>Joel Campbell 2015-2016</t>
  </si>
  <si>
    <t>Joel Matip 2017-2018</t>
  </si>
  <si>
    <t>Joel Matip 2018-2019</t>
  </si>
  <si>
    <t>Joel Matip 2016-2017</t>
  </si>
  <si>
    <t>Joel Ward 2016-2017</t>
  </si>
  <si>
    <t>Joel Ward 2015-2016</t>
  </si>
  <si>
    <t>Joel Ward 2017-2018</t>
  </si>
  <si>
    <t>Joey Barton 2016-2017</t>
  </si>
  <si>
    <t>Johann Gudmundsson 2016-2017</t>
  </si>
  <si>
    <t>Johann Gudmundsson 2017-2018</t>
  </si>
  <si>
    <t>Johann Gudmundsson 2018-2019</t>
  </si>
  <si>
    <t>John O'Shea 2015-2016</t>
  </si>
  <si>
    <t>John O'Shea 2016-2017</t>
  </si>
  <si>
    <t>John Obi Mikel 2015-2016</t>
  </si>
  <si>
    <t>John Stones 2018-2019</t>
  </si>
  <si>
    <t>John Stones 2016-2017</t>
  </si>
  <si>
    <t>John Stones 2015-2016</t>
  </si>
  <si>
    <t>John Stones 2017-2018</t>
  </si>
  <si>
    <t>John Terry 2015-2016</t>
  </si>
  <si>
    <t>Joleon Lescott 2015-2016</t>
  </si>
  <si>
    <t>Jon Gorenc Stankovic 2018-2019</t>
  </si>
  <si>
    <t>Jonas Olsson 2015-2016</t>
  </si>
  <si>
    <t>Jonathan Calleri 2016-2017</t>
  </si>
  <si>
    <t>Jonathan Hogg 2018-2019</t>
  </si>
  <si>
    <t>Jonathan Hogg 2017-2018</t>
  </si>
  <si>
    <t>Jonathan Walters 2015-2016</t>
  </si>
  <si>
    <t>Jonathan Walters 2016-2017</t>
  </si>
  <si>
    <t>Jonjo Shelvey 2015-2016</t>
  </si>
  <si>
    <t>Jonjo Shelvey 2018-2019</t>
  </si>
  <si>
    <t>Jonjo Shelvey 2017-2018</t>
  </si>
  <si>
    <t>Jonjoe Kenny 2018-2019</t>
  </si>
  <si>
    <t>Jonjoe Kenny 2017-2018</t>
  </si>
  <si>
    <t>Jonny 2018-2019</t>
  </si>
  <si>
    <t>Jonny Evans 2018-2019</t>
  </si>
  <si>
    <t>Jonny Evans 2015-2016</t>
  </si>
  <si>
    <t>Jonny Evans 2017-2018</t>
  </si>
  <si>
    <t>Jonny Evans 2016-2017</t>
  </si>
  <si>
    <t>Jonny Howson 2015-2016</t>
  </si>
  <si>
    <t>Jordan Amavi 2015-2016</t>
  </si>
  <si>
    <t>Jordan Ayew 2015-2016</t>
  </si>
  <si>
    <t>Jordan Ayew 2016-2017</t>
  </si>
  <si>
    <t>Jordan Ayew 2017-2018</t>
  </si>
  <si>
    <t>Jordan Ayew 2018-2019</t>
  </si>
  <si>
    <t>Jordan Henderson 2015-2016</t>
  </si>
  <si>
    <t>Jordan Henderson 2016-2017</t>
  </si>
  <si>
    <t>Jordan Henderson 2018-2019</t>
  </si>
  <si>
    <t>Jordan Henderson 2017-2018</t>
  </si>
  <si>
    <t>Jordan Veretout 2015-2016</t>
  </si>
  <si>
    <t>Jordi Amat 2016-2017</t>
  </si>
  <si>
    <t>Jordon Ibe 2015-2016</t>
  </si>
  <si>
    <t>Jordon Ibe 2016-2017</t>
  </si>
  <si>
    <t>Jordon Ibe 2018-2019</t>
  </si>
  <si>
    <t>Jordon Ibe 2017-2018</t>
  </si>
  <si>
    <t>Jordon Mutch 2015-2016</t>
  </si>
  <si>
    <t>Jordy Clasie 2015-2016</t>
  </si>
  <si>
    <t>Jordy Clasie 2016-2017</t>
  </si>
  <si>
    <t>Jores Okore 2015-2016</t>
  </si>
  <si>
    <t>Jorginho 2018-2019</t>
  </si>
  <si>
    <t>José Fonte 2016-2017</t>
  </si>
  <si>
    <t>José Fonte 2015-2016</t>
  </si>
  <si>
    <t>José Holebas 2015-2016</t>
  </si>
  <si>
    <t>José Holebas 2016-2017</t>
  </si>
  <si>
    <t>José Holebas 2018-2019</t>
  </si>
  <si>
    <t>José Holebas 2017-2018</t>
  </si>
  <si>
    <t>José Izquierdo 2017-2018</t>
  </si>
  <si>
    <t>José Izquierdo 2018-2019</t>
  </si>
  <si>
    <t>José Manuel Jurado 2015-2016</t>
  </si>
  <si>
    <t>Joselu 2015-2016</t>
  </si>
  <si>
    <t>Joselu 2017-2018</t>
  </si>
  <si>
    <t>Joselu 2018-2019</t>
  </si>
  <si>
    <t>Joseph Gomez 2018-2019</t>
  </si>
  <si>
    <t>Joseph Gomez 2017-2018</t>
  </si>
  <si>
    <t>Josh Murphy 2018-2019</t>
  </si>
  <si>
    <t>Joshua King 2015-2016</t>
  </si>
  <si>
    <t>Joshua King 2016-2017</t>
  </si>
  <si>
    <t>Joshua King 2017-2018</t>
  </si>
  <si>
    <t>Joshua King 2018-2019</t>
  </si>
  <si>
    <t>Juan Camilo Zúñiga 2016-2017</t>
  </si>
  <si>
    <t>Juan Carlos Paredes 2015-2016</t>
  </si>
  <si>
    <t>Juan Foyth 2018-2019</t>
  </si>
  <si>
    <t>Juan Mata 2015-2016</t>
  </si>
  <si>
    <t>Juan Mata 2016-2017</t>
  </si>
  <si>
    <t>Juan Mata 2017-2018</t>
  </si>
  <si>
    <t>Juan Mata 2018-2019</t>
  </si>
  <si>
    <t>Juanmi 2015-2016</t>
  </si>
  <si>
    <t>Juninho Bacuna 2018-2019</t>
  </si>
  <si>
    <t>Junior Stanislas 2015-2016</t>
  </si>
  <si>
    <t>Junior Stanislas 2016-2017</t>
  </si>
  <si>
    <t>Junior Stanislas 2018-2019</t>
  </si>
  <si>
    <t>Junior Stanislas 2017-2018</t>
  </si>
  <si>
    <t>Kadeem Harris 2018-2019</t>
  </si>
  <si>
    <t>Kamil Grosicki 2016-2017</t>
  </si>
  <si>
    <t>Karlan Grant 2018-2019</t>
  </si>
  <si>
    <t>Kelechi Iheanacho 2015-2016</t>
  </si>
  <si>
    <t>Kelechi Iheanacho 2016-2017</t>
  </si>
  <si>
    <t>Kelechi Iheanacho 2017-2018</t>
  </si>
  <si>
    <t>Kelechi Iheanacho 2018-2019</t>
  </si>
  <si>
    <t>Ken Sema 2018-2019</t>
  </si>
  <si>
    <t>Kenedy 2015-2016</t>
  </si>
  <si>
    <t>Kenedy 2018-2019</t>
  </si>
  <si>
    <t>Kenedy 2017-2018</t>
  </si>
  <si>
    <t>Kenneth Zohore 2018-2019</t>
  </si>
  <si>
    <t>Kevin De Bruyne 2015-2016</t>
  </si>
  <si>
    <t>Kevin De Bruyne 2016-2017</t>
  </si>
  <si>
    <t>Kevin De Bruyne 2017-2018</t>
  </si>
  <si>
    <t>Kevin De Bruyne 2018-2019</t>
  </si>
  <si>
    <t>Kevin Long 2017-2018</t>
  </si>
  <si>
    <t>Kevin McDonald 2018-2019</t>
  </si>
  <si>
    <t>Kevin Mirallas 2015-2016</t>
  </si>
  <si>
    <t>Kevin Mirallas 2016-2017</t>
  </si>
  <si>
    <t>Kevin Wimmer 2015-2016</t>
  </si>
  <si>
    <t>Kevin Wimmer 2017-2018</t>
  </si>
  <si>
    <t>Ki Sung-yueng 2015-2016</t>
  </si>
  <si>
    <t>Ki Sung-yueng 2016-2017</t>
  </si>
  <si>
    <t>Ki Sung-yueng 2017-2018</t>
  </si>
  <si>
    <t>Ki Sung-yueng 2018-2019</t>
  </si>
  <si>
    <t>Kieran Gibbs 2017-2018</t>
  </si>
  <si>
    <t>Kieran Gibbs 2016-2017</t>
  </si>
  <si>
    <t>Kieran Gibbs 2015-2016</t>
  </si>
  <si>
    <t>Kieran Richardson 2015-2016</t>
  </si>
  <si>
    <t>Kieran Trippier 2017-2018</t>
  </si>
  <si>
    <t>Kieran Trippier 2018-2019</t>
  </si>
  <si>
    <t>Kieran Trippier 2016-2017</t>
  </si>
  <si>
    <t>Kiko Femenía 2018-2019</t>
  </si>
  <si>
    <t>Kiko Femenía 2017-2018</t>
  </si>
  <si>
    <t>Kolo Touré 2015-2016</t>
  </si>
  <si>
    <t>Kurt Zouma 2017-2018</t>
  </si>
  <si>
    <t>Kurt Zouma 2015-2016</t>
  </si>
  <si>
    <t>Kurt Zouma 2018-2019</t>
  </si>
  <si>
    <t>Kyle Naughton 2016-2017</t>
  </si>
  <si>
    <t>Kyle Naughton 2015-2016</t>
  </si>
  <si>
    <t>Kyle Naughton 2017-2018</t>
  </si>
  <si>
    <t>Kyle Walker 2016-2017</t>
  </si>
  <si>
    <t>Kyle Walker 2017-2018</t>
  </si>
  <si>
    <t>Kyle Walker 2015-2016</t>
  </si>
  <si>
    <t>Kyle Walker 2018-2019</t>
  </si>
  <si>
    <t>Lamine Koné 2016-2017</t>
  </si>
  <si>
    <t>Lamine Koné 2015-2016</t>
  </si>
  <si>
    <t>Laurent Depoitre 2017-2018</t>
  </si>
  <si>
    <t>Laurent Depoitre 2018-2019</t>
  </si>
  <si>
    <t>Laurent Koscielny 2015-2016</t>
  </si>
  <si>
    <t>Laurent Koscielny 2016-2017</t>
  </si>
  <si>
    <t>Laurent Koscielny 2017-2018</t>
  </si>
  <si>
    <t>Laurent Koscielny 2018-2019</t>
  </si>
  <si>
    <t>Lazar Markovic 2016-2017</t>
  </si>
  <si>
    <t>Leander Dendoncker 2018-2019</t>
  </si>
  <si>
    <t>Leandro Bacuna 2015-2016</t>
  </si>
  <si>
    <t>Leandro Bacuna 2018-2019</t>
  </si>
  <si>
    <t>Lee Cattermole 2015-2016</t>
  </si>
  <si>
    <t>Lee Peltier 2018-2019</t>
  </si>
  <si>
    <t>Leighton Baines 2016-2017</t>
  </si>
  <si>
    <t>Leighton Baines 2017-2018</t>
  </si>
  <si>
    <t>Leighton Baines 2015-2016</t>
  </si>
  <si>
    <t>Leon Britton 2015-2016</t>
  </si>
  <si>
    <t>Leon Britton 2016-2017</t>
  </si>
  <si>
    <t>Leonardo Ulloa 2015-2016</t>
  </si>
  <si>
    <t>Leonardo Ulloa 2016-2017</t>
  </si>
  <si>
    <t>Leonardo Ulloa 2017-2018</t>
  </si>
  <si>
    <t>Leroy Fer 2015-2016</t>
  </si>
  <si>
    <t>Leroy Fer 2016-2017</t>
  </si>
  <si>
    <t>Leroy Fer 2017-2018</t>
  </si>
  <si>
    <t>Leroy Sané 2016-2017</t>
  </si>
  <si>
    <t>Leroy Sané 2017-2018</t>
  </si>
  <si>
    <t>Leroy Sané 2018-2019</t>
  </si>
  <si>
    <t>Lewis Cook 2018-2019</t>
  </si>
  <si>
    <t>Lewis Cook 2017-2018</t>
  </si>
  <si>
    <t>Lewis Dunk 2018-2019</t>
  </si>
  <si>
    <t>Lewis Dunk 2017-2018</t>
  </si>
  <si>
    <t>Lewis Grabban 2015-2016</t>
  </si>
  <si>
    <t>Loïc Rémy 2015-2016</t>
  </si>
  <si>
    <t>Lucas Digne 2018-2019</t>
  </si>
  <si>
    <t>Lucas Leiva 2015-2016</t>
  </si>
  <si>
    <t>Lucas Leiva 2016-2017</t>
  </si>
  <si>
    <t>Lucas Moura 2018-2019</t>
  </si>
  <si>
    <t>Lucas Pérez 2018-2019</t>
  </si>
  <si>
    <t>Lucas Pérez 2016-2017</t>
  </si>
  <si>
    <t>Lucas Torreira 2018-2019</t>
  </si>
  <si>
    <t>Luciano Narsingh 2017-2018</t>
  </si>
  <si>
    <t>Luciano Narsingh 2016-2017</t>
  </si>
  <si>
    <t>Luciano Vietto 2018-2019</t>
  </si>
  <si>
    <t>Luka Milivojevic 2016-2017</t>
  </si>
  <si>
    <t>Luka Milivojevic 2017-2018</t>
  </si>
  <si>
    <t>Luka Milivojevic 2018-2019</t>
  </si>
  <si>
    <t>Luke Shaw 2016-2017</t>
  </si>
  <si>
    <t>Luke Shaw 2018-2019</t>
  </si>
  <si>
    <t>Luke Shaw 2017-2018</t>
  </si>
  <si>
    <t>Lynden Gooch 2016-2017</t>
  </si>
  <si>
    <t>Lys Mousset 2016-2017</t>
  </si>
  <si>
    <t>Lys Mousset 2017-2018</t>
  </si>
  <si>
    <t>Lys Mousset 2018-2019</t>
  </si>
  <si>
    <t>M'Baye Niang 2016-2017</t>
  </si>
  <si>
    <t>Mamadou Sakho 2015-2016</t>
  </si>
  <si>
    <t>Mamadou Sakho 2018-2019</t>
  </si>
  <si>
    <t>Mamadou Sakho 2017-2018</t>
  </si>
  <si>
    <t>Mame Biram Diouf 2015-2016</t>
  </si>
  <si>
    <t>Mame Biram Diouf 2016-2017</t>
  </si>
  <si>
    <t>Mame Biram Diouf 2017-2018</t>
  </si>
  <si>
    <t>Manolo Gabbiadini 2016-2017</t>
  </si>
  <si>
    <t>Manolo Gabbiadini 2017-2018</t>
  </si>
  <si>
    <t>Manolo Gabbiadini 2018-2019</t>
  </si>
  <si>
    <t>Manuel Lanzini 2015-2016</t>
  </si>
  <si>
    <t>Manuel Lanzini 2016-2017</t>
  </si>
  <si>
    <t>Manuel Lanzini 2017-2018</t>
  </si>
  <si>
    <t>Manuel Lanzini 2018-2019</t>
  </si>
  <si>
    <t>Marc Albrighton 2015-2016</t>
  </si>
  <si>
    <t>Marc Albrighton 2016-2017</t>
  </si>
  <si>
    <t>Marc Albrighton 2018-2019</t>
  </si>
  <si>
    <t>Marc AlBrighton 2017-2018</t>
  </si>
  <si>
    <t>Marc Muniesa 2016-2017</t>
  </si>
  <si>
    <t>Marc Muniesa 2015-2016</t>
  </si>
  <si>
    <t>Marc Pugh 2015-2016</t>
  </si>
  <si>
    <t>Marc Pugh 2016-2017</t>
  </si>
  <si>
    <t>Marc Pugh 2017-2018</t>
  </si>
  <si>
    <t>Marco van Ginkel 2015-2016</t>
  </si>
  <si>
    <t>Marcos Alonso 2016-2017</t>
  </si>
  <si>
    <t>Marcos Alonso 2018-2019</t>
  </si>
  <si>
    <t>Marcos Alonso 2017-2018</t>
  </si>
  <si>
    <t>Marcos Rojo 2016-2017</t>
  </si>
  <si>
    <t>Marcos Rojo 2015-2016</t>
  </si>
  <si>
    <t>Marcus Rashford 2015-2016</t>
  </si>
  <si>
    <t>Marcus Rashford 2016-2017</t>
  </si>
  <si>
    <t>Marcus Rashford 2017-2018</t>
  </si>
  <si>
    <t>Marcus Rashford 2018-2019</t>
  </si>
  <si>
    <t>Mario Lemina 2017-2018</t>
  </si>
  <si>
    <t>Mario Lemina 2018-2019</t>
  </si>
  <si>
    <t>Mario Suárez 2015-2016</t>
  </si>
  <si>
    <t>Mark Noble 2017-2018</t>
  </si>
  <si>
    <t>Mark Noble 2015-2016</t>
  </si>
  <si>
    <t>Mark Noble 2016-2017</t>
  </si>
  <si>
    <t>Mark Noble 2018-2019</t>
  </si>
  <si>
    <t>Marko Arnautovic 2015-2016</t>
  </si>
  <si>
    <t>Marko Arnautovic 2016-2017</t>
  </si>
  <si>
    <t>Marko Arnautovic 2017-2018</t>
  </si>
  <si>
    <t>Marko Arnautovic 2018-2019</t>
  </si>
  <si>
    <t>Markus Henriksen 2016-2017</t>
  </si>
  <si>
    <t>Markus Suttner 2017-2018</t>
  </si>
  <si>
    <t>Marouane Chamakh 2015-2016</t>
  </si>
  <si>
    <t>Marouane Fellaini 2015-2016</t>
  </si>
  <si>
    <t>Marouane Fellaini 2016-2017</t>
  </si>
  <si>
    <t>Marouane Fellaini 2017-2018</t>
  </si>
  <si>
    <t>Marouane Fellaini 2018-2019</t>
  </si>
  <si>
    <t>Martín Demichelis 2015-2016</t>
  </si>
  <si>
    <t>Martín Montoya 2018-2019</t>
  </si>
  <si>
    <t>Marten de Roon 2016-2017</t>
  </si>
  <si>
    <t>Martin Kelly 2015-2016</t>
  </si>
  <si>
    <t>Martin Kelly 2016-2017</t>
  </si>
  <si>
    <t>Martin Kelly 2018-2019</t>
  </si>
  <si>
    <t>Martin Kelly 2017-2018</t>
  </si>
  <si>
    <t>Martin Olsson 2017-2018</t>
  </si>
  <si>
    <t>Martin Olsson 2015-2016</t>
  </si>
  <si>
    <t>Martin Olsson 2016-2017</t>
  </si>
  <si>
    <t>Martin Skrtel 2015-2016</t>
  </si>
  <si>
    <t>Marvin Zeegelaar 2017-2018</t>
  </si>
  <si>
    <t>Mason Holgate 2016-2017</t>
  </si>
  <si>
    <t>Mason Holgate 2017-2018</t>
  </si>
  <si>
    <t>Matej Vydra 2018-2019</t>
  </si>
  <si>
    <t>Mateo Kovacic 2018-2019</t>
  </si>
  <si>
    <t>Mathieu Flamini 2015-2016</t>
  </si>
  <si>
    <t>Matt Doherty 2018-2019</t>
  </si>
  <si>
    <t>Matt Phillips 2016-2017</t>
  </si>
  <si>
    <t>Matt Phillips 2017-2018</t>
  </si>
  <si>
    <t>Matt Ritchie 2015-2016</t>
  </si>
  <si>
    <t>Matt Ritchie 2017-2018</t>
  </si>
  <si>
    <t>Matt Ritchie 2018-2019</t>
  </si>
  <si>
    <t>Matt Targett 2015-2016</t>
  </si>
  <si>
    <t>Matt Targett 2018-2019</t>
  </si>
  <si>
    <t>Matteo Darmian 2016-2017</t>
  </si>
  <si>
    <t>Matteo Darmian 2015-2016</t>
  </si>
  <si>
    <t>Matteo Guendouzi 2018-2019</t>
  </si>
  <si>
    <t>Matthew Jarvis 2015-2016</t>
  </si>
  <si>
    <t>Matthew Lowton 2018-2019</t>
  </si>
  <si>
    <t>Matthew Lowton 2016-2017</t>
  </si>
  <si>
    <t>Matthew Lowton 2017-2018</t>
  </si>
  <si>
    <t>Matty James 2017-2018</t>
  </si>
  <si>
    <t>Mauro Zárate 2015-2016</t>
  </si>
  <si>
    <t>Max Meyer 2018-2019</t>
  </si>
  <si>
    <t>Max-Alain Gradel 2015-2016</t>
  </si>
  <si>
    <t>Max-Alain Gradel 2016-2017</t>
  </si>
  <si>
    <t>Maxime Le Marchand 2018-2019</t>
  </si>
  <si>
    <t>Maya Yoshida 2015-2016</t>
  </si>
  <si>
    <t>Maya Yoshida 2017-2018</t>
  </si>
  <si>
    <t>Maya Yoshida 2016-2017</t>
  </si>
  <si>
    <t>Maya Yoshida 2018-2019</t>
  </si>
  <si>
    <t>Memphis Depay 2015-2016</t>
  </si>
  <si>
    <t>Mesut Özil 2015-2016</t>
  </si>
  <si>
    <t>Mesut Özil 2017-2018</t>
  </si>
  <si>
    <t>Mesut Özil 2018-2019</t>
  </si>
  <si>
    <t>Mesut Özil 2016-2017</t>
  </si>
  <si>
    <t>Micah Richards 2015-2016</t>
  </si>
  <si>
    <t>Michael Carrick 2015-2016</t>
  </si>
  <si>
    <t>Michael Carrick 2016-2017</t>
  </si>
  <si>
    <t>Michael Dawson 2016-2017</t>
  </si>
  <si>
    <t>Michael Keane 2016-2017</t>
  </si>
  <si>
    <t>Michael Keane 2018-2019</t>
  </si>
  <si>
    <t>Michael Keane 2017-2018</t>
  </si>
  <si>
    <t>Michail Antonio 2015-2016</t>
  </si>
  <si>
    <t>Michail Antonio 2016-2017</t>
  </si>
  <si>
    <t>Michail Antonio 2018-2019</t>
  </si>
  <si>
    <t>Michail Antonio 2017-2018</t>
  </si>
  <si>
    <t>Michy Batshuayi 2016-2017</t>
  </si>
  <si>
    <t>Michy Batshuayi 2017-2018</t>
  </si>
  <si>
    <t>Michy Batshuayi 2018-2019</t>
  </si>
  <si>
    <t>Miguel Almirón 2018-2019</t>
  </si>
  <si>
    <t>Miguel Britos 2016-2017</t>
  </si>
  <si>
    <t>Miguel Britos 2015-2016</t>
  </si>
  <si>
    <t>Miguel Britos 2017-2018</t>
  </si>
  <si>
    <t>Mike van der Hoorn 2017-2018</t>
  </si>
  <si>
    <t>Mikel Merino 2017-2018</t>
  </si>
  <si>
    <t>Mile Jedinak 2015-2016</t>
  </si>
  <si>
    <t>Modou Barrow 2015-2016</t>
  </si>
  <si>
    <t>Modou Barrow 2016-2017</t>
  </si>
  <si>
    <t>Mohamed Diamé 2017-2018</t>
  </si>
  <si>
    <t>Mohamed Diamé 2018-2019</t>
  </si>
  <si>
    <t>Mohamed Elneny 2015-2016</t>
  </si>
  <si>
    <t>Mohamed Elneny 2016-2017</t>
  </si>
  <si>
    <t>Mohamed Elneny 2017-2018</t>
  </si>
  <si>
    <t>Mohamed Elyounoussi 2018-2019</t>
  </si>
  <si>
    <t>Mohamed Salah 2017-2018</t>
  </si>
  <si>
    <t>Mohamed Salah 2018-2019</t>
  </si>
  <si>
    <t>Morgan Gibbs-White 2018-2019</t>
  </si>
  <si>
    <t>Morgan Schneiderlin 2015-2016</t>
  </si>
  <si>
    <t>Morgan Schneiderlin 2016-2017</t>
  </si>
  <si>
    <t>Morgan Schneiderlin 2017-2018</t>
  </si>
  <si>
    <t>Morgan Schneiderlin 2018-2019</t>
  </si>
  <si>
    <t>Moritz Bauer 2017-2018</t>
  </si>
  <si>
    <t>Mousa Dembele 2016-2017</t>
  </si>
  <si>
    <t>Mousa Dembele 2015-2016</t>
  </si>
  <si>
    <t>Mousa Dembele 2017-2018</t>
  </si>
  <si>
    <t>Mousa Dembele 2018-2019</t>
  </si>
  <si>
    <t>Moussa Sissoko 2015-2016</t>
  </si>
  <si>
    <t>Moussa Sissoko 2016-2017</t>
  </si>
  <si>
    <t>Moussa Sissoko 2017-2018</t>
  </si>
  <si>
    <t>Moussa Sissoko 2018-2019</t>
  </si>
  <si>
    <t>Muhamed Besic 2015-2016</t>
  </si>
  <si>
    <t>N'Golo Kanté 2016-2017</t>
  </si>
  <si>
    <t>N'Golo Kanté 2015-2016</t>
  </si>
  <si>
    <t>N'Golo Kanté 2017-2018</t>
  </si>
  <si>
    <t>N'Golo Kanté 2018-2019</t>
  </si>
  <si>
    <t>Naby Keita 2018-2019</t>
  </si>
  <si>
    <t>Nacer Chadli 2015-2016</t>
  </si>
  <si>
    <t>Nacer Chadli 2016-2017</t>
  </si>
  <si>
    <t>Nacho Monreal 2015-2016</t>
  </si>
  <si>
    <t>Nacho Monreal 2017-2018</t>
  </si>
  <si>
    <t>Nacho Monreal 2016-2017</t>
  </si>
  <si>
    <t>Nacho Monreal 2018-2019</t>
  </si>
  <si>
    <t>Nampalys Mendy 2018-2019</t>
  </si>
  <si>
    <t>Nathan Ake 2016-2017</t>
  </si>
  <si>
    <t>Nathan Ake 2015-2016</t>
  </si>
  <si>
    <t>Nathan Ake 2018-2019</t>
  </si>
  <si>
    <t>Nathan Ake 2017-2018</t>
  </si>
  <si>
    <t>Nathan Dyer 2015-2016</t>
  </si>
  <si>
    <t>Nathan Dyer 2017-2018</t>
  </si>
  <si>
    <t>Nathan Redmond 2017-2018</t>
  </si>
  <si>
    <t>Nathan Redmond 2015-2016</t>
  </si>
  <si>
    <t>Nathan Redmond 2016-2017</t>
  </si>
  <si>
    <t>Nathan Redmond 2018-2019</t>
  </si>
  <si>
    <t>Nathaniel Chalobah 2016-2017</t>
  </si>
  <si>
    <t>Nathaniel Clyne 2015-2016</t>
  </si>
  <si>
    <t>Nathaniel Clyne 2018-2019</t>
  </si>
  <si>
    <t>Nathaniel Clyne 2016-2017</t>
  </si>
  <si>
    <t>Nathaniel Mendez-Laing 2018-2019</t>
  </si>
  <si>
    <t>Neil Taylor 2016-2017</t>
  </si>
  <si>
    <t>Neil Taylor 2015-2016</t>
  </si>
  <si>
    <t>Nemanja Matic 2015-2016</t>
  </si>
  <si>
    <t>Nemanja Matic 2016-2017</t>
  </si>
  <si>
    <t>Nemanja Matic 2017-2018</t>
  </si>
  <si>
    <t>Nemanja Matic 2018-2019</t>
  </si>
  <si>
    <t>Nicolás Otamendi 2015-2016</t>
  </si>
  <si>
    <t>Nicolás Otamendi 2016-2017</t>
  </si>
  <si>
    <t>Nicolás Otamendi 2018-2019</t>
  </si>
  <si>
    <t>Nicolás Otamendi 2017-2018</t>
  </si>
  <si>
    <t>Nikica Jelavic 2015-2016</t>
  </si>
  <si>
    <t>Nikola Vlasic 2017-2018</t>
  </si>
  <si>
    <t>Nolito 2016-2017</t>
  </si>
  <si>
    <t>Nordin Amrabat 2015-2016</t>
  </si>
  <si>
    <t>Nordin Amrabat 2016-2017</t>
  </si>
  <si>
    <t>Odion Ighalo 2015-2016</t>
  </si>
  <si>
    <t>Odion Ighalo 2016-2017</t>
  </si>
  <si>
    <t>Ola Toivonen 2015-2016</t>
  </si>
  <si>
    <t>Oleksandr Zinchenko 2018-2019</t>
  </si>
  <si>
    <t>Oliver Burke 2017-2018</t>
  </si>
  <si>
    <t>Oliver McBurnie 2017-2018</t>
  </si>
  <si>
    <t>Olivier Giroud 2017-2018</t>
  </si>
  <si>
    <t>Olivier Giroud 2018-2019</t>
  </si>
  <si>
    <t>Olivier Giroud 2015-2016</t>
  </si>
  <si>
    <t>Olivier Giroud 2016-2017</t>
  </si>
  <si>
    <t>Oriol Romeu 2015-2016</t>
  </si>
  <si>
    <t>Oriol Romeu 2016-2017</t>
  </si>
  <si>
    <t>Oriol Romeu 2017-2018</t>
  </si>
  <si>
    <t>Oriol Romeu 2018-2019</t>
  </si>
  <si>
    <t>Oscar 2015-2016</t>
  </si>
  <si>
    <t>Oumar Niasse 2016-2017</t>
  </si>
  <si>
    <t>Oumar Niasse 2017-2018</t>
  </si>
  <si>
    <t>Oumar Niasse 2018-2019</t>
  </si>
  <si>
    <t>Pablo Zabaleta 2016-2017</t>
  </si>
  <si>
    <t>Pablo Zabaleta 2015-2016</t>
  </si>
  <si>
    <t>Pablo Zabaleta 2017-2018</t>
  </si>
  <si>
    <t>Pablo Zabaleta 2018-2019</t>
  </si>
  <si>
    <t>Pape Souaré 2015-2016</t>
  </si>
  <si>
    <t>Papiss Cissé 2015-2016</t>
  </si>
  <si>
    <t>Papy Djilobodji 2016-2017</t>
  </si>
  <si>
    <t>Pascal Groß 2017-2018</t>
  </si>
  <si>
    <t>Pascal Groß 2018-2019</t>
  </si>
  <si>
    <t>Patrick Bamford 2015-2016</t>
  </si>
  <si>
    <t>Patrick Bamford 2016-2017</t>
  </si>
  <si>
    <t>Patrick van Aanholt 2017-2018</t>
  </si>
  <si>
    <t>Patrick van Aanholt 2015-2016</t>
  </si>
  <si>
    <t>Patrick van Aanholt 2018-2019</t>
  </si>
  <si>
    <t>Patrick van Aanholt 2016-2017</t>
  </si>
  <si>
    <t>Paul Dummett 2018-2019</t>
  </si>
  <si>
    <t>Paul Dummett 2017-2018</t>
  </si>
  <si>
    <t>Paul Dummett 2015-2016</t>
  </si>
  <si>
    <t>Paul Pogba 2016-2017</t>
  </si>
  <si>
    <t>Paul Pogba 2017-2018</t>
  </si>
  <si>
    <t>Paul Pogba 2018-2019</t>
  </si>
  <si>
    <t>Pedro 2015-2016</t>
  </si>
  <si>
    <t>Pedro 2016-2017</t>
  </si>
  <si>
    <t>Pedro 2017-2018</t>
  </si>
  <si>
    <t>Pedro 2018-2019</t>
  </si>
  <si>
    <t>Pedro Obiang 2015-2016</t>
  </si>
  <si>
    <t>Pedro Obiang 2016-2017</t>
  </si>
  <si>
    <t>Pedro Obiang 2017-2018</t>
  </si>
  <si>
    <t>Pedro Obiang 2018-2019</t>
  </si>
  <si>
    <t>Per Mertesacker 2015-2016</t>
  </si>
  <si>
    <t>Peter Crouch 2015-2016</t>
  </si>
  <si>
    <t>Peter Crouch 2016-2017</t>
  </si>
  <si>
    <t>Peter Crouch 2017-2018</t>
  </si>
  <si>
    <t>Phil Bardsley 2015-2016</t>
  </si>
  <si>
    <t>Phil Bardsley 2018-2019</t>
  </si>
  <si>
    <t>Phil Bardsley 2017-2018</t>
  </si>
  <si>
    <t>Phil Bardsley 2016-2017</t>
  </si>
  <si>
    <t>Phil Foden 2018-2019</t>
  </si>
  <si>
    <t>Phil Jagielka 2016-2017</t>
  </si>
  <si>
    <t>Phil Jagielka 2017-2018</t>
  </si>
  <si>
    <t>Phil Jagielka 2015-2016</t>
  </si>
  <si>
    <t>Phil Jones 2015-2016</t>
  </si>
  <si>
    <t>Phil Jones 2017-2018</t>
  </si>
  <si>
    <t>Phil Jones 2018-2019</t>
  </si>
  <si>
    <t>Phil Jones 2016-2017</t>
  </si>
  <si>
    <t>Philip Billing 2017-2018</t>
  </si>
  <si>
    <t>Philip Billing 2018-2019</t>
  </si>
  <si>
    <t>Philipp Wollscheid 2015-2016</t>
  </si>
  <si>
    <t>Philippe Coutinho 2015-2016</t>
  </si>
  <si>
    <t>Philippe Coutinho 2016-2017</t>
  </si>
  <si>
    <t>Philippe Coutinho 2017-2018</t>
  </si>
  <si>
    <t>Pierre-Emerick Aubameyang 2017-2018</t>
  </si>
  <si>
    <t>Pierre-Emerick Aubameyang 2018-2019</t>
  </si>
  <si>
    <t>Pierre-Emile Højbjerg 2018-2019</t>
  </si>
  <si>
    <t>Pierre-Emile Højbjerg 2016-2017</t>
  </si>
  <si>
    <t>Pierre-Emile Højbjerg 2017-2018</t>
  </si>
  <si>
    <t>Rúben Neves 2018-2019</t>
  </si>
  <si>
    <t>Rúben Vinagre 2018-2019</t>
  </si>
  <si>
    <t>Raúl Jiménez 2018-2019</t>
  </si>
  <si>
    <t>Rachid Ghezzal 2018-2019</t>
  </si>
  <si>
    <t>Radamel Falcao 2015-2016</t>
  </si>
  <si>
    <t>Ragnar Klavan 2016-2017</t>
  </si>
  <si>
    <t>Ragnar Klavan 2017-2018</t>
  </si>
  <si>
    <t>Raheem Sterling 2015-2016</t>
  </si>
  <si>
    <t>Raheem Sterling 2016-2017</t>
  </si>
  <si>
    <t>Raheem Sterling 2017-2018</t>
  </si>
  <si>
    <t>Raheem Sterling 2018-2019</t>
  </si>
  <si>
    <t>Rajiv van La Parra 2017-2018</t>
  </si>
  <si>
    <t>Ramadan Sobhi 2016-2017</t>
  </si>
  <si>
    <t>Ramadan Sobhi 2017-2018</t>
  </si>
  <si>
    <t>Ramires 2015-2016</t>
  </si>
  <si>
    <t>Ramiro Funes Mori 2016-2017</t>
  </si>
  <si>
    <t>Ramiro Funes Mori 2015-2016</t>
  </si>
  <si>
    <t>Renato Sanches 2017-2018</t>
  </si>
  <si>
    <t>Ricardo Pereira 2018-2019</t>
  </si>
  <si>
    <t>Richarlison 2017-2018</t>
  </si>
  <si>
    <t>Richarlison 2018-2019</t>
  </si>
  <si>
    <t>Rickie Lambert 2015-2016</t>
  </si>
  <si>
    <t>Ritchie de Laet 2015-2016</t>
  </si>
  <si>
    <t>Riyad Mahrez 2015-2016</t>
  </si>
  <si>
    <t>Riyad Mahrez 2016-2017</t>
  </si>
  <si>
    <t>Riyad Mahrez 2017-2018</t>
  </si>
  <si>
    <t>Riyad Mahrez 2018-2019</t>
  </si>
  <si>
    <t>Rob Holding 2018-2019</t>
  </si>
  <si>
    <t>Rob Holding 2017-2018</t>
  </si>
  <si>
    <t>Robbie Brady 2015-2016</t>
  </si>
  <si>
    <t>Robbie Brady 2016-2017</t>
  </si>
  <si>
    <t>Robbie Brady 2017-2018</t>
  </si>
  <si>
    <t>Robbie Brady 2018-2019</t>
  </si>
  <si>
    <t>Robert Huth 2015-2016</t>
  </si>
  <si>
    <t>Robert Huth 2016-2017</t>
  </si>
  <si>
    <t>Robert Snodgrass 2016-2017</t>
  </si>
  <si>
    <t>Robert Snodgrass 2018-2019</t>
  </si>
  <si>
    <t>Roberto Firmino 2015-2016</t>
  </si>
  <si>
    <t>Roberto Firmino 2016-2017</t>
  </si>
  <si>
    <t>Roberto Firmino 2017-2018</t>
  </si>
  <si>
    <t>Roberto Firmino 2018-2019</t>
  </si>
  <si>
    <t>Roberto Pereyra 2016-2017</t>
  </si>
  <si>
    <t>Roberto Pereyra 2017-2018</t>
  </si>
  <si>
    <t>Roberto Pereyra 2018-2019</t>
  </si>
  <si>
    <t>Rolando Aarons 2015-2016</t>
  </si>
  <si>
    <t>Romain Saïss 2018-2019</t>
  </si>
  <si>
    <t>Romelu Lukaku 2015-2016</t>
  </si>
  <si>
    <t>Romelu Lukaku 2016-2017</t>
  </si>
  <si>
    <t>Romelu Lukaku 2017-2018</t>
  </si>
  <si>
    <t>Romelu Lukaku 2018-2019</t>
  </si>
  <si>
    <t>Roque Mesa 2017-2018</t>
  </si>
  <si>
    <t>Ross Barkley 2015-2016</t>
  </si>
  <si>
    <t>Ross Barkley 2016-2017</t>
  </si>
  <si>
    <t>Ross Barkley 2018-2019</t>
  </si>
  <si>
    <t>Ruben Loftus-Cheek 2017-2018</t>
  </si>
  <si>
    <t>Ruben Loftus-Cheek 2015-2016</t>
  </si>
  <si>
    <t>Ruben Loftus-Cheek 2018-2019</t>
  </si>
  <si>
    <t>Rudy Gestede 2015-2016</t>
  </si>
  <si>
    <t>Rudy Gestede 2016-2017</t>
  </si>
  <si>
    <t>Russell Martin 2015-2016</t>
  </si>
  <si>
    <t>Ryan Babel 2018-2019</t>
  </si>
  <si>
    <t>Ryan Bennett 2015-2016</t>
  </si>
  <si>
    <t>Ryan Bennett 2018-2019</t>
  </si>
  <si>
    <t>Ryan Bertrand 2015-2016</t>
  </si>
  <si>
    <t>Ryan Bertrand 2016-2017</t>
  </si>
  <si>
    <t>Ryan Bertrand 2018-2019</t>
  </si>
  <si>
    <t>Ryan Bertrand 2017-2018</t>
  </si>
  <si>
    <t>Ryan Fraser 2016-2017</t>
  </si>
  <si>
    <t>Ryan Fraser 2017-2018</t>
  </si>
  <si>
    <t>Ryan Fraser 2018-2019</t>
  </si>
  <si>
    <t>Ryan Fredericks 2018-2019</t>
  </si>
  <si>
    <t>Ryan Mason 2015-2016</t>
  </si>
  <si>
    <t>Ryan Mason 2016-2017</t>
  </si>
  <si>
    <t>Ryan Sessegnon 2018-2019</t>
  </si>
  <si>
    <t>Ryan Shawcross 2015-2016</t>
  </si>
  <si>
    <t>Ryan Shawcross 2017-2018</t>
  </si>
  <si>
    <t>Ryan Shawcross 2016-2017</t>
  </si>
  <si>
    <t>Sébastien Pocognoli 2015-2016</t>
  </si>
  <si>
    <t>Sadio Mané 2015-2016</t>
  </si>
  <si>
    <t>Sadio Mané 2017-2018</t>
  </si>
  <si>
    <t>Sadio Mané 2018-2019</t>
  </si>
  <si>
    <t>Sadio Mané 2016-2017</t>
  </si>
  <si>
    <t>Saido Berahino 2016-2017</t>
  </si>
  <si>
    <t>Saido Berahino 2017-2018</t>
  </si>
  <si>
    <t>Salomón Rondón 2016-2017</t>
  </si>
  <si>
    <t>Salomón Rondón 2017-2018</t>
  </si>
  <si>
    <t>Salomón Rondón 2018-2019</t>
  </si>
  <si>
    <t>Salomón Rondón 2015-2016</t>
  </si>
  <si>
    <t>Sam Byram 2016-2017</t>
  </si>
  <si>
    <t>Sam Byram 2015-2016</t>
  </si>
  <si>
    <t>Sam Clucas 2017-2018</t>
  </si>
  <si>
    <t>Sam Clucas 2016-2017</t>
  </si>
  <si>
    <t>Sam Field 2017-2018</t>
  </si>
  <si>
    <t>Sam McQueen 2016-2017</t>
  </si>
  <si>
    <t>Sam Vokes 2016-2017</t>
  </si>
  <si>
    <t>Sam Vokes 2017-2018</t>
  </si>
  <si>
    <t>Sam Vokes 2018-2019</t>
  </si>
  <si>
    <t>Samir Nasri 2015-2016</t>
  </si>
  <si>
    <t>Santi Cazorla 2015-2016</t>
  </si>
  <si>
    <t>Scott Arfield 2016-2017</t>
  </si>
  <si>
    <t>Scott Arfield 2017-2018</t>
  </si>
  <si>
    <t>Scott Dann 2015-2016</t>
  </si>
  <si>
    <t>Scott Dann 2018-2019</t>
  </si>
  <si>
    <t>Scott Dann 2017-2018</t>
  </si>
  <si>
    <t>Scott Dann 2016-2017</t>
  </si>
  <si>
    <t>Scott Malone 2017-2018</t>
  </si>
  <si>
    <t>Scott McTominay 2017-2018</t>
  </si>
  <si>
    <t>Scott McTominay 2018-2019</t>
  </si>
  <si>
    <t>Scott Sinclair 2015-2016</t>
  </si>
  <si>
    <t>Sead Kolasinac 2017-2018</t>
  </si>
  <si>
    <t>Sead Kolasinac 2018-2019</t>
  </si>
  <si>
    <t>Seamus Coleman 2016-2017</t>
  </si>
  <si>
    <t>Seamus Coleman 2015-2016</t>
  </si>
  <si>
    <t>Seamus Coleman 2018-2019</t>
  </si>
  <si>
    <t>Seamus Coleman 2017-2018</t>
  </si>
  <si>
    <t>Sean Morrison 2018-2019</t>
  </si>
  <si>
    <t>Sebastián Coates 2015-2016</t>
  </si>
  <si>
    <t>Sebastian Larsson 2016-2017</t>
  </si>
  <si>
    <t>Sebastian Larsson 2015-2016</t>
  </si>
  <si>
    <t>Sebastian Prödl 2016-2017</t>
  </si>
  <si>
    <t>Sebastian Prödl 2015-2016</t>
  </si>
  <si>
    <t>Sebastian Prödl 2017-2018</t>
  </si>
  <si>
    <t>Sebastien Bassong 2015-2016</t>
  </si>
  <si>
    <t>Serge Aurier 2017-2018</t>
  </si>
  <si>
    <t>Sergio Agüero 2015-2016</t>
  </si>
  <si>
    <t>Sergio Agüero 2016-2017</t>
  </si>
  <si>
    <t>Sergio Agüero 2017-2018</t>
  </si>
  <si>
    <t>Sergio Agüero 2018-2019</t>
  </si>
  <si>
    <t>Shane Duffy 2018-2019</t>
  </si>
  <si>
    <t>Shane Duffy 2017-2018</t>
  </si>
  <si>
    <t>Shane Long 2015-2016</t>
  </si>
  <si>
    <t>Shane Long 2016-2017</t>
  </si>
  <si>
    <t>Shane Long 2017-2018</t>
  </si>
  <si>
    <t>Shane Long 2018-2019</t>
  </si>
  <si>
    <t>Shinji Okazaki 2015-2016</t>
  </si>
  <si>
    <t>Shinji Okazaki 2016-2017</t>
  </si>
  <si>
    <t>Shinji Okazaki 2017-2018</t>
  </si>
  <si>
    <t>Shinji Okazaki 2018-2019</t>
  </si>
  <si>
    <t>Shkodran Mustafi 2018-2019</t>
  </si>
  <si>
    <t>Shkodran Mustafi 2016-2017</t>
  </si>
  <si>
    <t>Shkodran Mustafi 2017-2018</t>
  </si>
  <si>
    <t>Siem de Jong 2015-2016</t>
  </si>
  <si>
    <t>Simon Francis 2017-2018</t>
  </si>
  <si>
    <t>Simon Francis 2015-2016</t>
  </si>
  <si>
    <t>Simon Francis 2016-2017</t>
  </si>
  <si>
    <t>Simon Francis 2018-2019</t>
  </si>
  <si>
    <t>Sofiane Boufal 2016-2017</t>
  </si>
  <si>
    <t>Sofiane Boufal 2017-2018</t>
  </si>
  <si>
    <t>Sofiane Feghouli 2016-2017</t>
  </si>
  <si>
    <t>Sokratis 2018-2019</t>
  </si>
  <si>
    <t>Sol Bamba 2018-2019</t>
  </si>
  <si>
    <t>Solly March 2017-2018</t>
  </si>
  <si>
    <t>Solly March 2018-2019</t>
  </si>
  <si>
    <t>Son Heung-Min 2015-2016</t>
  </si>
  <si>
    <t>Son Heung-Min 2016-2017</t>
  </si>
  <si>
    <t>Son Heung-Min 2017-2018</t>
  </si>
  <si>
    <t>Son Heung-Min 2018-2019</t>
  </si>
  <si>
    <t>Stéphane Sessègnon 2015-2016</t>
  </si>
  <si>
    <t>Stefan Johansen 2018-2019</t>
  </si>
  <si>
    <t>Stefano Okaka 2016-2017</t>
  </si>
  <si>
    <t>Stefano Okaka 2017-2018</t>
  </si>
  <si>
    <t>Stephan Lichtsteiner 2018-2019</t>
  </si>
  <si>
    <t>Stephen Ireland 2015-2016</t>
  </si>
  <si>
    <t>Stephen Kingsley 2016-2017</t>
  </si>
  <si>
    <t>Stephen Ward 2017-2018</t>
  </si>
  <si>
    <t>Stephen Ward 2016-2017</t>
  </si>
  <si>
    <t>Steve Cook 2016-2017</t>
  </si>
  <si>
    <t>Steve Cook 2017-2018</t>
  </si>
  <si>
    <t>Steve Cook 2015-2016</t>
  </si>
  <si>
    <t>Steve Cook 2018-2019</t>
  </si>
  <si>
    <t>Steve Mounie 2017-2018</t>
  </si>
  <si>
    <t>Steve Mounie 2018-2019</t>
  </si>
  <si>
    <t>Steven Davis 2015-2016</t>
  </si>
  <si>
    <t>Steven Davis 2016-2017</t>
  </si>
  <si>
    <t>Steven Davis 2017-2018</t>
  </si>
  <si>
    <t>Steven Defour 2016-2017</t>
  </si>
  <si>
    <t>Steven Defour 2017-2018</t>
  </si>
  <si>
    <t>Steven Fletcher 2015-2016</t>
  </si>
  <si>
    <t>Steven Naismith 2015-2016</t>
  </si>
  <si>
    <t>Steven Pienaar 2016-2017</t>
  </si>
  <si>
    <t>Steven Taylor 2015-2016</t>
  </si>
  <si>
    <t>Stewart Downing 2016-2017</t>
  </si>
  <si>
    <t>Stuart Armstrong 2018-2019</t>
  </si>
  <si>
    <t>Sylvain Distin 2015-2016</t>
  </si>
  <si>
    <t>Tammy Abraham 2017-2018</t>
  </si>
  <si>
    <t>Terence Kongolo 2017-2018</t>
  </si>
  <si>
    <t>Terence Kongolo 2018-2019</t>
  </si>
  <si>
    <t>Theo Walcott 2017-2018</t>
  </si>
  <si>
    <t>Theo Walcott 2015-2016</t>
  </si>
  <si>
    <t>Theo Walcott 2016-2017</t>
  </si>
  <si>
    <t>Theo Walcott 2018-2019</t>
  </si>
  <si>
    <t>Tiemoué Bakayoko 2017-2018</t>
  </si>
  <si>
    <t>Tim Ream 2018-2019</t>
  </si>
  <si>
    <t>Timm Klose 2015-2016</t>
  </si>
  <si>
    <t>Timothy Fosu-Mensah 2017-2018</t>
  </si>
  <si>
    <t>Timothy Fosu-Mensah 2018-2019</t>
  </si>
  <si>
    <t>Toby Alderweireld 2015-2016</t>
  </si>
  <si>
    <t>Toby Alderweireld 2018-2019</t>
  </si>
  <si>
    <t>Toby Alderweireld 2016-2017</t>
  </si>
  <si>
    <t>Toby Alderweireld 2017-2018</t>
  </si>
  <si>
    <t>Tom Cairney 2018-2019</t>
  </si>
  <si>
    <t>Tom Carroll 2017-2018</t>
  </si>
  <si>
    <t>Tom Carroll 2015-2016</t>
  </si>
  <si>
    <t>Tom Carroll 2016-2017</t>
  </si>
  <si>
    <t>Tom Cleverley 2017-2018</t>
  </si>
  <si>
    <t>Tom Cleverley 2015-2016</t>
  </si>
  <si>
    <t>Tom Cleverley 2016-2017</t>
  </si>
  <si>
    <t>Tom Cleverley 2018-2019</t>
  </si>
  <si>
    <t>Tom Davies 2017-2018</t>
  </si>
  <si>
    <t>Tom Davies 2016-2017</t>
  </si>
  <si>
    <t>Tom Davies 2018-2019</t>
  </si>
  <si>
    <t>Tom Huddlestone 2016-2017</t>
  </si>
  <si>
    <t>Tom Ince 2017-2018</t>
  </si>
  <si>
    <t>Tomer Hemed 2017-2018</t>
  </si>
  <si>
    <t>Tommy Elphick 2015-2016</t>
  </si>
  <si>
    <t>Tommy Smith 2017-2018</t>
  </si>
  <si>
    <t>Tommy Smith 2018-2019</t>
  </si>
  <si>
    <t>Trent Alexander-Arnold 2018-2019</t>
  </si>
  <si>
    <t>Trent Alexander-Arnold 2017-2018</t>
  </si>
  <si>
    <t>Troy Deeney 2015-2016</t>
  </si>
  <si>
    <t>Troy Deeney 2016-2017</t>
  </si>
  <si>
    <t>Troy Deeney 2017-2018</t>
  </si>
  <si>
    <t>Troy Deeney 2018-2019</t>
  </si>
  <si>
    <t>Víctor Camarasa 2018-2019</t>
  </si>
  <si>
    <t>Vadis Odjidja-Ofoe 2015-2016</t>
  </si>
  <si>
    <t>Valon Behrami 2015-2016</t>
  </si>
  <si>
    <t>Valon Behrami 2016-2017</t>
  </si>
  <si>
    <t>Vicente Iborra 2017-2018</t>
  </si>
  <si>
    <t>Victor Anichebe 2015-2016</t>
  </si>
  <si>
    <t>Victor Anichebe 2016-2017</t>
  </si>
  <si>
    <t>Victor Lindelöf 2018-2019</t>
  </si>
  <si>
    <t>Victor Lindelöf 2017-2018</t>
  </si>
  <si>
    <t>Victor Moses 2015-2016</t>
  </si>
  <si>
    <t>Victor Moses 2016-2017</t>
  </si>
  <si>
    <t>Victor Moses 2017-2018</t>
  </si>
  <si>
    <t>Victor Wanyama 2015-2016</t>
  </si>
  <si>
    <t>Victor Wanyama 2016-2017</t>
  </si>
  <si>
    <t>Victor Wanyama 2017-2018</t>
  </si>
  <si>
    <t>Victor Wanyama 2018-2019</t>
  </si>
  <si>
    <t>Viktor Fischer 2016-2017</t>
  </si>
  <si>
    <t>Vincent Janssen 2016-2017</t>
  </si>
  <si>
    <t>Vincent Kompany 2015-2016</t>
  </si>
  <si>
    <t>Vincent Kompany 2017-2018</t>
  </si>
  <si>
    <t>Vincent Kompany 2018-2019</t>
  </si>
  <si>
    <t>Vincent Kompany 2016-2017</t>
  </si>
  <si>
    <t>Virgil van Dijk 2016-2017</t>
  </si>
  <si>
    <t>Virgil van Dijk 2018-2019</t>
  </si>
  <si>
    <t>Virgil van Dijk 2015-2016</t>
  </si>
  <si>
    <t>Virgil van Dijk 2017-2018</t>
  </si>
  <si>
    <t>Vurnon Anita 2015-2016</t>
  </si>
  <si>
    <t>Wahbi Khazri 2015-2016</t>
  </si>
  <si>
    <t>Wahbi Khazri 2016-2017</t>
  </si>
  <si>
    <t>Wayne Rooney 2015-2016</t>
  </si>
  <si>
    <t>Wayne Rooney 2016-2017</t>
  </si>
  <si>
    <t>Wayne Rooney 2017-2018</t>
  </si>
  <si>
    <t>Wayne Routledge 2017-2018</t>
  </si>
  <si>
    <t>Wayne Routledge 2015-2016</t>
  </si>
  <si>
    <t>Wayne Routledge 2016-2017</t>
  </si>
  <si>
    <t>Wes Hoolahan 2015-2016</t>
  </si>
  <si>
    <t>Wes Morgan 2018-2019</t>
  </si>
  <si>
    <t>Wes Morgan 2017-2018</t>
  </si>
  <si>
    <t>Wes Morgan 2015-2016</t>
  </si>
  <si>
    <t>Wes Morgan 2016-2017</t>
  </si>
  <si>
    <t>Wesley Hoedt 2018-2019</t>
  </si>
  <si>
    <t>Wesley Hoedt 2017-2018</t>
  </si>
  <si>
    <t>Wilfred Ndidi 2017-2018</t>
  </si>
  <si>
    <t>Wilfred Ndidi 2018-2019</t>
  </si>
  <si>
    <t>Wilfred Ndidi 2016-2017</t>
  </si>
  <si>
    <t>Wilfried Bony 2015-2016</t>
  </si>
  <si>
    <t>Wilfried Bony 2016-2017</t>
  </si>
  <si>
    <t>Wilfried Bony 2017-2018</t>
  </si>
  <si>
    <t>Wilfried Zaha 2015-2016</t>
  </si>
  <si>
    <t>Wilfried Zaha 2016-2017</t>
  </si>
  <si>
    <t>Wilfried Zaha 2017-2018</t>
  </si>
  <si>
    <t>Wilfried Zaha 2018-2019</t>
  </si>
  <si>
    <t>Will Hughes 2017-2018</t>
  </si>
  <si>
    <t>Will Hughes 2018-2019</t>
  </si>
  <si>
    <t>Willian 2016-2017</t>
  </si>
  <si>
    <t>Willian 2015-2016</t>
  </si>
  <si>
    <t>Willian 2018-2019</t>
  </si>
  <si>
    <t>Willian 2017-2018</t>
  </si>
  <si>
    <t>Willy Boly 2018-2019</t>
  </si>
  <si>
    <t>Winston Reid 2015-2016</t>
  </si>
  <si>
    <t>Winston Reid 2017-2018</t>
  </si>
  <si>
    <t>Winston Reid 2016-2017</t>
  </si>
  <si>
    <t>Xherdan Shaqiri 2015-2016</t>
  </si>
  <si>
    <t>Xherdan Shaqiri 2016-2017</t>
  </si>
  <si>
    <t>Xherdan Shaqiri 2017-2018</t>
  </si>
  <si>
    <t>Xherdan Shaqiri 2018-2019</t>
  </si>
  <si>
    <t>Yan Valery 2018-2019</t>
  </si>
  <si>
    <t>Yann M'Vila 2015-2016</t>
  </si>
  <si>
    <t>Yannick Bolasie 2015-2016</t>
  </si>
  <si>
    <t>Yannick Bolasie 2016-2017</t>
  </si>
  <si>
    <t>Yannick Bolasie 2017-2018</t>
  </si>
  <si>
    <t>Yaya Toure 2016-2017</t>
  </si>
  <si>
    <t>Yaya Toure 2015-2016</t>
  </si>
  <si>
    <t>Yaya Toure 2017-2018</t>
  </si>
  <si>
    <t>Yerry Mina 2018-2019</t>
  </si>
  <si>
    <t>Yohan Benalouane 2016-2017</t>
  </si>
  <si>
    <t>Yohan Cabaye 2015-2016</t>
  </si>
  <si>
    <t>Yohan Cabaye 2016-2017</t>
  </si>
  <si>
    <t>Yohan Cabaye 2017-2018</t>
  </si>
  <si>
    <t>Yoshinori Muto 2018-2019</t>
  </si>
  <si>
    <t>Younes Kaboul 2016-2017</t>
  </si>
  <si>
    <t>Younes Kaboul 2015-2016</t>
  </si>
  <si>
    <t>Youri Tielemans 2018-2019</t>
  </si>
  <si>
    <t>Yves Bissouma 2018-2019</t>
  </si>
  <si>
    <t>Zanka 2018-2019</t>
  </si>
  <si>
    <t>Zanka 2017-2018</t>
  </si>
  <si>
    <t>Zlatan Ibrahimovic 2016-2017</t>
  </si>
  <si>
    <t>Grand Total</t>
  </si>
  <si>
    <t>Average of Goals</t>
  </si>
  <si>
    <t>Average of Passes</t>
  </si>
  <si>
    <t>Average of Age</t>
  </si>
  <si>
    <t>Average of Shots</t>
  </si>
  <si>
    <t>Average of HeadGoal</t>
  </si>
  <si>
    <t>Average of Offsides</t>
  </si>
  <si>
    <t>Average of Misses</t>
  </si>
  <si>
    <t>Average of Corners</t>
  </si>
  <si>
    <t>Average of Fouls</t>
  </si>
  <si>
    <t>Average of Market Value</t>
  </si>
  <si>
    <t>Column Labels</t>
  </si>
  <si>
    <t>Values</t>
  </si>
  <si>
    <t xml:space="preserve">You can copy the name&amp;season from the column C:C in "Final Primier League Data" sheet. </t>
  </si>
  <si>
    <t xml:space="preserve">Select the Team(s) and Season(s) to get avg of the stats  </t>
  </si>
  <si>
    <t xml:space="preserve">Budget </t>
  </si>
  <si>
    <t>Select an amount and see how many players are under that budget</t>
  </si>
  <si>
    <t xml:space="preserve">Position (expanded) </t>
  </si>
  <si>
    <t>Clicking in the button will let you know if the players selected (player 1 and 2) are under the budget available</t>
  </si>
  <si>
    <t>(All)</t>
  </si>
  <si>
    <t>Row Labels</t>
  </si>
  <si>
    <t>(blank)</t>
  </si>
  <si>
    <t>CLICK FOR TOP GOALS PLAYER</t>
  </si>
  <si>
    <t>CLICK FOR TOP ASISSTS PLAYER</t>
  </si>
  <si>
    <t>CLICK FOR PLAYER WITH MOST YELLOW CARDS</t>
  </si>
  <si>
    <t>CLICK FOR PLAYER WITH MOST RED CARDS</t>
  </si>
  <si>
    <t>&lt;------</t>
  </si>
  <si>
    <t xml:space="preserve">       </t>
  </si>
  <si>
    <t>Average of Assists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</si>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</sst>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EUR]\ 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7"/>
      <color rgb="FF111827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4" borderId="0" xfId="0" applyFill="1"/>
    <xf numFmtId="0" fontId="1" fillId="4" borderId="0" xfId="0" applyFont="1" applyFill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center" vertical="center"/>
    </xf>
    <xf numFmtId="0" fontId="4" fillId="0" borderId="0" xfId="0" quotePrefix="1" applyFont="1"/>
    <xf numFmtId="0" fontId="5" fillId="4" borderId="0" xfId="1" applyFont="1" applyFill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Alignment="1">
      <alignment horizontal="left" indent="1"/>
    </xf>
    <xf numFmtId="0" fontId="1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top"/>
    </xf>
    <xf numFmtId="0" fontId="1" fillId="0" borderId="0" xfId="0" applyFont="1" applyAlignment="1">
      <alignment wrapText="1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9" fillId="0" borderId="0" xfId="0" applyFont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164" fontId="0" fillId="0" borderId="4" xfId="0" applyNumberFormat="1" applyBorder="1"/>
    <xf numFmtId="165" fontId="0" fillId="0" borderId="4" xfId="0" applyNumberFormat="1" applyBorder="1"/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"/>
    </dxf>
    <dxf>
      <numFmt numFmtId="165" formatCode="[$EUR]\ #,##0.00"/>
    </dxf>
    <dxf>
      <numFmt numFmtId="164" formatCode="0.0"/>
    </dxf>
    <dxf>
      <numFmt numFmtId="166" formatCode="0.0000000"/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  <numFmt numFmtId="0" formatCode="General"/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</xdr:row>
          <xdr:rowOff>63500</xdr:rowOff>
        </xdr:from>
        <xdr:to>
          <xdr:col>7</xdr:col>
          <xdr:colOff>1879600</xdr:colOff>
          <xdr:row>7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player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44450</xdr:colOff>
          <xdr:row>2</xdr:row>
          <xdr:rowOff>44450</xdr:rowOff>
        </xdr:from>
        <xdr:to>
          <xdr:col>3</xdr:col>
          <xdr:colOff>25400</xdr:colOff>
          <xdr:row>7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player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30</xdr:row>
          <xdr:rowOff>95250</xdr:rowOff>
        </xdr:from>
        <xdr:to>
          <xdr:col>8</xdr:col>
          <xdr:colOff>1866900</xdr:colOff>
          <xdr:row>36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 we afford it? 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909136</xdr:colOff>
      <xdr:row>8</xdr:row>
      <xdr:rowOff>583628</xdr:rowOff>
    </xdr:from>
    <xdr:to>
      <xdr:col>9</xdr:col>
      <xdr:colOff>321732</xdr:colOff>
      <xdr:row>28</xdr:row>
      <xdr:rowOff>211667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313736" y="2107628"/>
          <a:ext cx="919663" cy="4784239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317500</xdr:colOff>
      <xdr:row>2</xdr:row>
      <xdr:rowOff>171450</xdr:rowOff>
    </xdr:from>
    <xdr:to>
      <xdr:col>9</xdr:col>
      <xdr:colOff>317500</xdr:colOff>
      <xdr:row>14</xdr:row>
      <xdr:rowOff>25400</xdr:rowOff>
    </xdr:to>
    <xdr:sp macro="[0]!assists" textlink="">
      <xdr:nvSpPr>
        <xdr:cNvPr id="3" name="Star: 5 Point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1150" y="539750"/>
          <a:ext cx="2451100" cy="2063750"/>
        </a:xfrm>
        <a:prstGeom prst="star5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</xdr:col>
      <xdr:colOff>501650</xdr:colOff>
      <xdr:row>3</xdr:row>
      <xdr:rowOff>171450</xdr:rowOff>
    </xdr:from>
    <xdr:to>
      <xdr:col>4</xdr:col>
      <xdr:colOff>1136650</xdr:colOff>
      <xdr:row>14</xdr:row>
      <xdr:rowOff>50800</xdr:rowOff>
    </xdr:to>
    <xdr:pic macro="[0]!goals">
      <xdr:nvPicPr>
        <xdr:cNvPr id="4" name="Picture 3" descr="Soccer Ball Soccerball Futbol INSTANT DOWNLOAD 1 Vector .eps - Etsy Norway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6550" y="723900"/>
          <a:ext cx="24003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38100</xdr:colOff>
      <xdr:row>19</xdr:row>
      <xdr:rowOff>152400</xdr:rowOff>
    </xdr:from>
    <xdr:to>
      <xdr:col>9</xdr:col>
      <xdr:colOff>0</xdr:colOff>
      <xdr:row>27</xdr:row>
      <xdr:rowOff>69850</xdr:rowOff>
    </xdr:to>
    <xdr:sp macro="[0]!red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772150" y="3651250"/>
          <a:ext cx="1835150" cy="13906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69850</xdr:colOff>
      <xdr:row>19</xdr:row>
      <xdr:rowOff>146050</xdr:rowOff>
    </xdr:from>
    <xdr:to>
      <xdr:col>4</xdr:col>
      <xdr:colOff>1130300</xdr:colOff>
      <xdr:row>27</xdr:row>
      <xdr:rowOff>57150</xdr:rowOff>
    </xdr:to>
    <xdr:sp macro="[0]!yellow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105150" y="3644900"/>
          <a:ext cx="1949450" cy="138430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lvador Serfaty" refreshedDate="45280.744052199072" createdVersion="8" refreshedVersion="8" minRefreshableVersion="3" recordCount="1469" xr:uid="{CA15DBE0-6B6D-4F8F-8117-E2D7929659C9}">
  <cacheSource type="worksheet">
    <worksheetSource ref="A1:AO1048576" sheet="Final Premier League Data"/>
  </cacheSource>
  <cacheFields count="41">
    <cacheField name="Player" numFmtId="0">
      <sharedItems containsBlank="1" count="711">
        <s v="Eder"/>
        <s v="Alvaro Morata"/>
        <s v="Alvaro Negredo"/>
        <s v="Aaron Cresswell"/>
        <s v="Aaron Lennon"/>
        <s v="Aaron Mooy"/>
        <s v="Aaron Ramsey"/>
        <s v="Aaron Wan-Bissaka"/>
        <s v="Abdoulaye Doucoure"/>
        <s v="Abdul Rahman Baba"/>
        <s v="Abel Hernández"/>
        <s v="Aboubakar Kamara"/>
        <s v="Adam Clayton"/>
        <s v="Adam Forshaw"/>
        <s v="Adam Johnson"/>
        <s v="Adam Lallana"/>
        <s v="Adam Masina"/>
        <s v="Adam Smith"/>
        <s v="Adama Diakhaby"/>
        <s v="Adama Diomande"/>
        <s v="Adama Traoré"/>
        <s v="Ademola Lookman"/>
        <s v="Adlene Guedioura"/>
        <s v="Adnan Januzaj"/>
        <s v="Adrian Mariappa"/>
        <s v="Adrien Silva"/>
        <s v="Ahmed El Mohamady"/>
        <s v="Ahmed Hegazi"/>
        <s v="Ahmed Musa"/>
        <s v="Ainsley Maitland-Niles"/>
        <s v="Alan Hutton"/>
        <s v="Alberto Moreno"/>
        <s v="Alberto Paloschi"/>
        <s v="Aleksandar Dragovic"/>
        <s v="Aleksandar Kolarov"/>
        <s v="Aleksandar Mitrovic"/>
        <s v="Alex Iwobi"/>
        <s v="Alex Oxlade-Chamberlain"/>
        <s v="Alex Pritchard"/>
        <s v="Alexander Sørloth"/>
        <s v="Alexander Tettey"/>
        <s v="Alexandre Lacazette"/>
        <s v="Alexandre Song"/>
        <s v="Alexis Sanchez"/>
        <s v="Alfie Mawson"/>
        <s v="Alfred N'Diaye"/>
        <s v="Alireza Jahanbakhsh"/>
        <s v="Allan-Romeo Nyom"/>
        <s v="Almen Abdi"/>
        <s v="Aly Cissokho"/>
        <s v="Ander Herrera"/>
        <s v="André Ayew"/>
        <s v="André Carrillo"/>
        <s v="André Gomes"/>
        <s v="André Schürrle"/>
        <s v="Andre Gray"/>
        <s v="Andre Wisdom"/>
        <s v="Andre-Frank Zambo Anguissa"/>
        <s v="Andrea Ranocchia"/>
        <s v="Andreas Christensen"/>
        <s v="Andreas Pereira"/>
        <s v="Andrew Robertson"/>
        <s v="Andrew Surman"/>
        <s v="Andros Townsend"/>
        <s v="Andy Carroll"/>
        <s v="Andy King"/>
        <s v="Angel Rangel"/>
        <s v="Angelo Ogbonna"/>
        <s v="Anthony Knockaert"/>
        <s v="Anthony Martial"/>
        <s v="Antonio Barragán"/>
        <s v="Antonio Rüdiger"/>
        <s v="Antonio Valencia"/>
        <s v="Aron Gunnarsson"/>
        <s v="Arouna Koné"/>
        <s v="Arthur Masuaku"/>
        <s v="Ashley Barnes"/>
        <s v="Ashley Fletcher"/>
        <s v="Ashley Westwood"/>
        <s v="Ashley Williams"/>
        <s v="Ashley Young"/>
        <s v="Aymeric Laporte"/>
        <s v="Ayoze Pérez"/>
        <s v="Bacary Sagna"/>
        <s v="Badou Ndiaye"/>
        <s v="Bafétimbi Gomis"/>
        <s v="Bakary Sako"/>
        <s v="Bastian Schweinsteiger"/>
        <s v="Ben Chilwell"/>
        <s v="Ben Davies"/>
        <s v="Ben Gibson"/>
        <s v="Ben Mee"/>
        <s v="Ben Watson"/>
        <s v="Benik Afobe"/>
        <s v="Benjamin Mendy"/>
        <s v="Beram Kayal"/>
        <s v="Bernard"/>
        <s v="Bernardo"/>
        <s v="Bernardo Espinosa"/>
        <s v="Bernardo Silva"/>
        <s v="Bertrand Traoré"/>
        <s v="Billy Jones"/>
        <s v="Bobby De Cordova-Reid"/>
        <s v="Bojan"/>
        <s v="Borja Bastón"/>
        <s v="Branislav Ivanovic"/>
        <s v="Brendan Galloway"/>
        <s v="Bruno"/>
        <s v="Bruno Ecuele Manga"/>
        <s v="Bruno Martins Indi"/>
        <s v="Bryan Oviedo"/>
        <s v="Cédric Soares"/>
        <s v="Callum Hudson-Odoi"/>
        <s v="Callum McManaman"/>
        <s v="Callum Paterson"/>
        <s v="Callum Wilson"/>
        <s v="Calum Chambers"/>
        <s v="Cameron Borthwick-Jackson"/>
        <s v="Cameron Brannagan"/>
        <s v="Cameron Jerome"/>
        <s v="Carles Gil"/>
        <s v="Carlos Sánchez"/>
        <s v="Cenk Tosun"/>
        <s v="Cesar Azpilicueta"/>
        <s v="Cesc Fàbregas"/>
        <s v="Chancel Mbemba"/>
        <s v="Charlie Adam"/>
        <s v="Charlie Austin"/>
        <s v="Charlie Daniels"/>
        <s v="Charlie Taylor"/>
        <s v="Cheick Tioté"/>
        <s v="Cheikhou Kouyaté"/>
        <s v="Chicharito"/>
        <s v="Chris Brunt"/>
        <s v="Chris Löwe"/>
        <s v="Chris Mepham"/>
        <s v="Chris Smalling"/>
        <s v="Chris Wood"/>
        <s v="Christian Atsu"/>
        <s v="Christian Benteke"/>
        <s v="Christian Eriksen"/>
        <s v="Christian Fuchs"/>
        <s v="Christian Kabasele"/>
        <s v="Christopher Schindler"/>
        <s v="Chung-Yong Lee"/>
        <s v="Ciaran Clark"/>
        <s v="Claudio Yacob"/>
        <s v="Collin Quaner"/>
        <s v="Connor Wickham"/>
        <s v="Conor Coady"/>
        <s v="Craig Cathcart"/>
        <s v="Craig Dawson"/>
        <s v="Craig Gardner"/>
        <s v="Cristhian Stuani"/>
        <s v="Cuco Martina"/>
        <s v="Curtis Davies"/>
        <s v="Cyrus Christie"/>
        <s v="Dale Stephens"/>
        <s v="Daley Blind"/>
        <s v="Dame N'Doye"/>
        <s v="Damien Delaney"/>
        <s v="Dan Gosling"/>
        <s v="Daniel Amartey"/>
        <s v="Daniel Ayala"/>
        <s v="Daniel Drinkwater"/>
        <s v="Daniel Sturridge"/>
        <s v="Danilo"/>
        <s v="Danny Graham"/>
        <s v="Danny Ings"/>
        <s v="Danny Rose"/>
        <s v="Danny Simpson"/>
        <s v="Danny Ward"/>
        <s v="Danny Welbeck"/>
        <s v="Danny Williams"/>
        <s v="Darren Fletcher"/>
        <s v="Darron Gibson"/>
        <s v="Daryl Janmaat"/>
        <s v="David Brooks"/>
        <s v="David Junior Hoilett"/>
        <s v="David Luiz"/>
        <s v="David Meyler"/>
        <s v="David Silva"/>
        <s v="Davide Zappacosta"/>
        <s v="Davinson Sánchez"/>
        <s v="Davy Pröpper"/>
        <s v="Dean Marney"/>
        <s v="DeAndre Yedlin"/>
        <s v="Declan Rice"/>
        <s v="Dejan Lovren"/>
        <s v="Dele Alli"/>
        <s v="Demarai Gray"/>
        <s v="Denis Odoi"/>
        <s v="Diafra Sakho"/>
        <s v="Didier Ndong"/>
        <s v="Diego Costa"/>
        <s v="Diego Rico"/>
        <s v="Dieudonne Mbokani Bezua"/>
        <s v="Dimitri Payet"/>
        <s v="Diogo Dalot"/>
        <s v="Diogo Jota"/>
        <s v="Divock Origi"/>
        <s v="Dominic Calvert-Lewin"/>
        <s v="Dominic Solanke"/>
        <s v="Donald Love"/>
        <s v="Duncan Watmore"/>
        <s v="Dusan Tadic"/>
        <s v="Dwight Gayle"/>
        <s v="Dwight McNeil"/>
        <s v="Eden Hazard"/>
        <s v="Edimilson Fernandes"/>
        <s v="Eliaquim Mangala"/>
        <s v="Elias Kachunga"/>
        <s v="Emerson"/>
        <s v="Emmanuel Adebayor"/>
        <s v="Emmanuel Emenike"/>
        <s v="Emre Can"/>
        <s v="Enner Valencia"/>
        <s v="Eric Bailly"/>
        <s v="Eric Dier"/>
        <s v="Eric Maxim Choupo-Moting"/>
        <s v="Erik Durm"/>
        <s v="Erik Lamela"/>
        <s v="Erik Pieters"/>
        <s v="Etienne Capoue"/>
        <s v="Eunan O'Kane"/>
        <s v="Evandro"/>
        <s v="Ezequiel Schelotto"/>
        <s v="Fabián Balbuena"/>
        <s v="Fabian Delph"/>
        <s v="Fabian Schär"/>
        <s v="Fabinho"/>
        <s v="Fabio Borini"/>
        <s v="Fabricio Coloccini"/>
        <s v="Federico Fernández"/>
        <s v="Felipe Anderson"/>
        <s v="Fernandinho"/>
        <s v="Fernando"/>
        <s v="Fernando Llorente"/>
        <s v="Florent Hadergjonaj"/>
        <s v="Florian Lejeune"/>
        <s v="Florian Thauvin"/>
        <s v="Florin Andone"/>
        <s v="Floyd Ayité"/>
        <s v="Fousseni Diabaté"/>
        <s v="Fraizer Campbell"/>
        <s v="Francis Coquelin"/>
        <s v="Fred"/>
        <s v="Gaël Clichy"/>
        <s v="Gaëtan Bong"/>
        <s v="Gabriel Agbonlahor"/>
        <s v="Gabriel Jesus"/>
        <s v="Gabriel Paulista"/>
        <s v="Gareth Barry"/>
        <s v="Gareth McAuley"/>
        <s v="Gary Cahill"/>
        <s v="Gary O'Neil"/>
        <s v="Gastón Ramírez"/>
        <s v="Geoff Cameron"/>
        <s v="George Boyd"/>
        <s v="George Friend"/>
        <s v="Georginio Wijnaldum"/>
        <s v="Gerard Deulofeu"/>
        <s v="Giannelli Imbula"/>
        <s v="Glen Johnson"/>
        <s v="Glenn Murray"/>
        <s v="Glenn Whelan"/>
        <s v="Gonzalo Higuaín"/>
        <s v="Grady Diangana"/>
        <s v="Graham Dorrans"/>
        <s v="Granit Xhaka"/>
        <s v="Grant Leadbitter"/>
        <s v="Graziano Pellè"/>
        <s v="Grzegorz Krychowiak"/>
        <s v="Gylfi Sigurdsson"/>
        <s v="Håvard Nordtveit"/>
        <s v="Hélder Costa"/>
        <s v="Hal Robson-Kanu"/>
        <s v="Harry Arter"/>
        <s v="Harry Kane"/>
        <s v="Harry Maguire"/>
        <s v="Harry Winks"/>
        <s v="Harvey Barnes"/>
        <s v="Hector Bellerin"/>
        <s v="Henrikh Mkhitaryan"/>
        <s v="Ibrahim Afellay"/>
        <s v="Idrissa Gueye"/>
        <s v="Ikechi Anya"/>
        <s v="Ilkay Gündogan"/>
        <s v="Isaac Hayden"/>
        <s v="Isaac Mbenza"/>
        <s v="Isaac Success"/>
        <s v="Isaiah Brown"/>
        <s v="Islam Slimani"/>
        <s v="Issa Diop"/>
        <s v="Ivan Cavaleiro"/>
        <s v="Ivo Pinto"/>
        <s v="Jürgen Locadia"/>
        <s v="Jack Colback"/>
        <s v="Jack Cork"/>
        <s v="Jack Grealish"/>
        <s v="Jack Rodwell"/>
        <s v="Jack Stephens"/>
        <s v="Jack Wilshere"/>
        <s v="Jacob Murphy"/>
        <s v="Jairo Riedewald"/>
        <s v="Jake Livermore"/>
        <s v="Jamaal Lascelles"/>
        <s v="James Chester"/>
        <s v="James Collins"/>
        <s v="James Maddison"/>
        <s v="James McArthur"/>
        <s v="James McCarthy"/>
        <s v="James McClean"/>
        <s v="James Milner"/>
        <s v="James Morrison"/>
        <s v="James Tarkowski"/>
        <s v="James Tomkins"/>
        <s v="James Ward-Prowse"/>
        <s v="Jamie Vardy"/>
        <s v="Jan Bednarek"/>
        <s v="Jan Kirchhoff"/>
        <s v="Jan Vertonghen"/>
        <s v="Jannik Vestergaard"/>
        <s v="Jason Denayer"/>
        <s v="Jason Puncheon"/>
        <s v="Javier Manquillo"/>
        <s v="Jay Fulton"/>
        <s v="Jay Rodriguez"/>
        <s v="Jean Michael Seri"/>
        <s v="Jeff Hendrick"/>
        <s v="Jefferson Lerma"/>
        <s v="Jefferson Montero"/>
        <s v="Jeffrey Schlupp"/>
        <s v="Jeremain Lens"/>
        <s v="Jermain Defoe"/>
        <s v="Jesé"/>
        <s v="Jesús Navas"/>
        <s v="Jesse Lingard"/>
        <s v="João Mário"/>
        <s v="João Moutinho"/>
        <s v="Joe Allen"/>
        <s v="Joe Bennett"/>
        <s v="Joe Bryan"/>
        <s v="Joe Ledley"/>
        <s v="Joe Ralls"/>
        <s v="Joel Campbell"/>
        <s v="Joel Matip"/>
        <s v="Joel Ward"/>
        <s v="Joey Barton"/>
        <s v="Johann Gudmundsson"/>
        <s v="John O'Shea"/>
        <s v="John Obi Mikel"/>
        <s v="John Stones"/>
        <s v="John Terry"/>
        <s v="Joleon Lescott"/>
        <s v="Jon Gorenc Stankovic"/>
        <s v="Jonas Olsson"/>
        <s v="Jonathan Calleri"/>
        <s v="Jonathan Hogg"/>
        <s v="Jonathan Walters"/>
        <s v="Jonjo Shelvey"/>
        <s v="Jonjoe Kenny"/>
        <s v="Jonny"/>
        <s v="Jonny Evans"/>
        <s v="Jonny Howson"/>
        <s v="Jordan Amavi"/>
        <s v="Jordan Ayew"/>
        <s v="Jordan Henderson"/>
        <s v="Jordan Veretout"/>
        <s v="Jordi Amat"/>
        <s v="Jordon Ibe"/>
        <s v="Jordon Mutch"/>
        <s v="Jordy Clasie"/>
        <s v="Jores Okore"/>
        <s v="Jorginho"/>
        <s v="José Fonte"/>
        <s v="José Holebas"/>
        <s v="José Izquierdo"/>
        <s v="José Manuel Jurado"/>
        <s v="Joselu"/>
        <s v="Joseph Gomez"/>
        <s v="Josh Murphy"/>
        <s v="Joshua King"/>
        <s v="Juan Camilo Zúñiga"/>
        <s v="Juan Carlos Paredes"/>
        <s v="Juan Foyth"/>
        <s v="Juan Mata"/>
        <s v="Juanmi"/>
        <s v="Juninho Bacuna"/>
        <s v="Junior Stanislas"/>
        <s v="Kadeem Harris"/>
        <s v="Kamil Grosicki"/>
        <s v="Karlan Grant"/>
        <s v="Kelechi Iheanacho"/>
        <s v="Ken Sema"/>
        <s v="Kenedy"/>
        <s v="Kenneth Zohore"/>
        <s v="Kevin De Bruyne"/>
        <s v="Kevin Long"/>
        <s v="Kevin McDonald"/>
        <s v="Kevin Mirallas"/>
        <s v="Kevin Wimmer"/>
        <s v="Ki Sung-yueng"/>
        <s v="Kieran Gibbs"/>
        <s v="Kieran Richardson"/>
        <s v="Kieran Trippier"/>
        <s v="Kiko Femenía"/>
        <s v="Kolo Touré"/>
        <s v="Kurt Zouma"/>
        <s v="Kyle Naughton"/>
        <s v="Kyle Walker"/>
        <s v="Lamine Koné"/>
        <s v="Laurent Depoitre"/>
        <s v="Laurent Koscielny"/>
        <s v="Lazar Markovic"/>
        <s v="Leander Dendoncker"/>
        <s v="Leandro Bacuna"/>
        <s v="Lee Cattermole"/>
        <s v="Lee Peltier"/>
        <s v="Leighton Baines"/>
        <s v="Leon Britton"/>
        <s v="Leonardo Ulloa"/>
        <s v="Leroy Fer"/>
        <s v="Leroy Sané"/>
        <s v="Lewis Cook"/>
        <s v="Lewis Dunk"/>
        <s v="Lewis Grabban"/>
        <s v="Loïc Rémy"/>
        <s v="Lucas Digne"/>
        <s v="Lucas Leiva"/>
        <s v="Lucas Moura"/>
        <s v="Lucas Pérez"/>
        <s v="Lucas Torreira"/>
        <s v="Luciano Narsingh"/>
        <s v="Luciano Vietto"/>
        <s v="Luka Milivojevic"/>
        <s v="Luke Shaw"/>
        <s v="Lynden Gooch"/>
        <s v="Lys Mousset"/>
        <s v="M'Baye Niang"/>
        <s v="Mamadou Sakho"/>
        <s v="Mame Biram Diouf"/>
        <s v="Manolo Gabbiadini"/>
        <s v="Manuel Lanzini"/>
        <s v="Marc Albrighton"/>
        <s v="Marc Muniesa"/>
        <s v="Marc Pugh"/>
        <s v="Marco van Ginkel"/>
        <s v="Marcos Alonso"/>
        <s v="Marcos Rojo"/>
        <s v="Marcus Rashford"/>
        <s v="Mario Lemina"/>
        <s v="Mario Suárez"/>
        <s v="Mark Noble"/>
        <s v="Marko Arnautovic"/>
        <s v="Markus Henriksen"/>
        <s v="Markus Suttner"/>
        <s v="Marouane Chamakh"/>
        <s v="Marouane Fellaini"/>
        <s v="Martín Demichelis"/>
        <s v="Martín Montoya"/>
        <s v="Marten de Roon"/>
        <s v="Martin Kelly"/>
        <s v="Martin Olsson"/>
        <s v="Martin Skrtel"/>
        <s v="Marvin Zeegelaar"/>
        <s v="Mason Holgate"/>
        <s v="Matej Vydra"/>
        <s v="Mateo Kovacic"/>
        <s v="Mathieu Flamini"/>
        <s v="Matt Doherty"/>
        <s v="Matt Phillips"/>
        <s v="Matt Ritchie"/>
        <s v="Matt Targett"/>
        <s v="Matteo Darmian"/>
        <s v="Matteo Guendouzi"/>
        <s v="Matthew Jarvis"/>
        <s v="Matthew Lowton"/>
        <s v="Matty James"/>
        <s v="Mauro Zárate"/>
        <s v="Max Meyer"/>
        <s v="Max-Alain Gradel"/>
        <s v="Maxime Le Marchand"/>
        <s v="Maya Yoshida"/>
        <s v="Memphis Depay"/>
        <s v="Mesut Özil"/>
        <s v="Micah Richards"/>
        <s v="Michael Carrick"/>
        <s v="Michael Dawson"/>
        <s v="Michael Keane"/>
        <s v="Michail Antonio"/>
        <s v="Michy Batshuayi"/>
        <s v="Miguel Almirón"/>
        <s v="Miguel Britos"/>
        <s v="Mike van der Hoorn"/>
        <s v="Mikel Merino"/>
        <s v="Mile Jedinak"/>
        <s v="Modou Barrow"/>
        <s v="Mohamed Diamé"/>
        <s v="Mohamed Elneny"/>
        <s v="Mohamed Elyounoussi"/>
        <s v="Mohamed Salah"/>
        <s v="Morgan Gibbs-White"/>
        <s v="Morgan Schneiderlin"/>
        <s v="Moritz Bauer"/>
        <s v="Mousa Dembele"/>
        <s v="Moussa Sissoko"/>
        <s v="Muhamed Besic"/>
        <s v="N'Golo Kanté"/>
        <s v="Naby Keita"/>
        <s v="Nacer Chadli"/>
        <s v="Nacho Monreal"/>
        <s v="Nampalys Mendy"/>
        <s v="Nathan Ake"/>
        <s v="Nathan Dyer"/>
        <s v="Nathan Redmond"/>
        <s v="Nathaniel Chalobah"/>
        <s v="Nathaniel Clyne"/>
        <s v="Nathaniel Mendez-Laing"/>
        <s v="Neil Taylor"/>
        <s v="Nemanja Matic"/>
        <s v="Nicolás Otamendi"/>
        <s v="Nikica Jelavic"/>
        <s v="Nikola Vlasic"/>
        <s v="Nolito"/>
        <s v="Nordin Amrabat"/>
        <s v="Odion Ighalo"/>
        <s v="Ola Toivonen"/>
        <s v="Oleksandr Zinchenko"/>
        <s v="Oliver Burke"/>
        <s v="Oliver McBurnie"/>
        <s v="Olivier Giroud"/>
        <s v="Oriol Romeu"/>
        <s v="Oscar"/>
        <s v="Oumar Niasse"/>
        <s v="Pablo Zabaleta"/>
        <s v="Pape Souaré"/>
        <s v="Papiss Cissé"/>
        <s v="Papy Djilobodji"/>
        <s v="Pascal Groß"/>
        <s v="Patrick Bamford"/>
        <s v="Patrick van Aanholt"/>
        <s v="Paul Dummett"/>
        <s v="Paul Pogba"/>
        <s v="Pedro"/>
        <s v="Pedro Obiang"/>
        <s v="Per Mertesacker"/>
        <s v="Peter Crouch"/>
        <s v="Phil Bardsley"/>
        <s v="Phil Foden"/>
        <s v="Phil Jagielka"/>
        <s v="Phil Jones"/>
        <s v="Philip Billing"/>
        <s v="Philipp Wollscheid"/>
        <s v="Philippe Coutinho"/>
        <s v="Pierre-Emerick Aubameyang"/>
        <s v="Pierre-Emile Højbjerg"/>
        <s v="Rúben Neves"/>
        <s v="Rúben Vinagre"/>
        <s v="Raúl Jiménez"/>
        <s v="Rachid Ghezzal"/>
        <s v="Radamel Falcao"/>
        <s v="Ragnar Klavan"/>
        <s v="Raheem Sterling"/>
        <s v="Rajiv van La Parra"/>
        <s v="Ramadan Sobhi"/>
        <s v="Ramires"/>
        <s v="Ramiro Funes Mori"/>
        <s v="Renato Sanches"/>
        <s v="Ricardo Pereira"/>
        <s v="Richarlison"/>
        <s v="Rickie Lambert"/>
        <s v="Ritchie de Laet"/>
        <s v="Riyad Mahrez"/>
        <s v="Rob Holding"/>
        <s v="Robbie Brady"/>
        <s v="Robert Huth"/>
        <s v="Robert Snodgrass"/>
        <s v="Roberto Firmino"/>
        <s v="Roberto Pereyra"/>
        <s v="Rolando Aarons"/>
        <s v="Romain Saïss"/>
        <s v="Romelu Lukaku"/>
        <s v="Roque Mesa"/>
        <s v="Ross Barkley"/>
        <s v="Ruben Loftus-Cheek"/>
        <s v="Rudy Gestede"/>
        <s v="Russell Martin"/>
        <s v="Ryan Babel"/>
        <s v="Ryan Bennett"/>
        <s v="Ryan Bertrand"/>
        <s v="Ryan Fraser"/>
        <s v="Ryan Fredericks"/>
        <s v="Ryan Mason"/>
        <s v="Ryan Sessegnon"/>
        <s v="Ryan Shawcross"/>
        <s v="Sébastien Pocognoli"/>
        <s v="Sadio Mané"/>
        <s v="Saido Berahino"/>
        <s v="Salomón Rondón"/>
        <s v="Sam Byram"/>
        <s v="Sam Clucas"/>
        <s v="Sam Field"/>
        <s v="Sam McQueen"/>
        <s v="Sam Vokes"/>
        <s v="Samir Nasri"/>
        <s v="Santi Cazorla"/>
        <s v="Scott Arfield"/>
        <s v="Scott Dann"/>
        <s v="Scott Malone"/>
        <s v="Scott McTominay"/>
        <s v="Scott Sinclair"/>
        <s v="Sead Kolasinac"/>
        <s v="Seamus Coleman"/>
        <s v="Sean Morrison"/>
        <s v="Sebastián Coates"/>
        <s v="Sebastian Larsson"/>
        <s v="Sebastian Prödl"/>
        <s v="Sebastien Bassong"/>
        <s v="Serge Aurier"/>
        <s v="Sergio Agüero"/>
        <s v="Shane Duffy"/>
        <s v="Shane Long"/>
        <s v="Shinji Okazaki"/>
        <s v="Shkodran Mustafi"/>
        <s v="Siem de Jong"/>
        <s v="Simon Francis"/>
        <s v="Sofiane Boufal"/>
        <s v="Sofiane Feghouli"/>
        <s v="Sokratis"/>
        <s v="Sol Bamba"/>
        <s v="Solly March"/>
        <s v="Son Heung-Min"/>
        <s v="Stéphane Sessègnon"/>
        <s v="Stefan Johansen"/>
        <s v="Stefano Okaka"/>
        <s v="Stephan Lichtsteiner"/>
        <s v="Stephen Ireland"/>
        <s v="Stephen Kingsley"/>
        <s v="Stephen Ward"/>
        <s v="Steve Cook"/>
        <s v="Steve Mounie"/>
        <s v="Steven Davis"/>
        <s v="Steven Defour"/>
        <s v="Steven Fletcher"/>
        <s v="Steven Naismith"/>
        <s v="Steven Pienaar"/>
        <s v="Steven Taylor"/>
        <s v="Stewart Downing"/>
        <s v="Stuart Armstrong"/>
        <s v="Sylvain Distin"/>
        <s v="Tammy Abraham"/>
        <s v="Terence Kongolo"/>
        <s v="Theo Walcott"/>
        <s v="Tiemoué Bakayoko"/>
        <s v="Tim Ream"/>
        <s v="Timm Klose"/>
        <s v="Timothy Fosu-Mensah"/>
        <s v="Toby Alderweireld"/>
        <s v="Tom Cairney"/>
        <s v="Tom Carroll"/>
        <s v="Tom Cleverley"/>
        <s v="Tom Davies"/>
        <s v="Tom Huddlestone"/>
        <s v="Tom Ince"/>
        <s v="Tomer Hemed"/>
        <s v="Tommy Elphick"/>
        <s v="Tommy Smith"/>
        <s v="Trent Alexander-Arnold"/>
        <s v="Troy Deeney"/>
        <s v="Víctor Camarasa"/>
        <s v="Vadis Odjidja-Ofoe"/>
        <s v="Valon Behrami"/>
        <s v="Vicente Iborra"/>
        <s v="Victor Anichebe"/>
        <s v="Victor Lindelöf"/>
        <s v="Victor Moses"/>
        <s v="Victor Wanyama"/>
        <s v="Viktor Fischer"/>
        <s v="Vincent Janssen"/>
        <s v="Vincent Kompany"/>
        <s v="Virgil van Dijk"/>
        <s v="Vurnon Anita"/>
        <s v="Wahbi Khazri"/>
        <s v="Wayne Rooney"/>
        <s v="Wayne Routledge"/>
        <s v="Wes Hoolahan"/>
        <s v="Wes Morgan"/>
        <s v="Wesley Hoedt"/>
        <s v="Wilfred Ndidi"/>
        <s v="Wilfried Bony"/>
        <s v="Wilfried Zaha"/>
        <s v="Will Hughes"/>
        <s v="Willian"/>
        <s v="Willy Boly"/>
        <s v="Winston Reid"/>
        <s v="Xherdan Shaqiri"/>
        <s v="Yan Valery"/>
        <s v="Yann M'Vila"/>
        <s v="Yannick Bolasie"/>
        <s v="Yaya Toure"/>
        <s v="Yerry Mina"/>
        <s v="Yohan Benalouane"/>
        <s v="Yohan Cabaye"/>
        <s v="Yoshinori Muto"/>
        <s v="Younes Kaboul"/>
        <s v="Youri Tielemans"/>
        <s v="Yves Bissouma"/>
        <s v="Zanka"/>
        <s v="Zlatan Ibrahimovic"/>
        <m/>
      </sharedItems>
    </cacheField>
    <cacheField name="Season" numFmtId="0">
      <sharedItems containsBlank="1" count="5">
        <s v="2015-2016"/>
        <s v="2017-2018"/>
        <s v="2018-2019"/>
        <s v="2016-2017"/>
        <m/>
      </sharedItems>
    </cacheField>
    <cacheField name="Player and season " numFmtId="0">
      <sharedItems containsBlank="1" count="1468">
        <s v="Eder 2015-2016"/>
        <s v="Alvaro Morata 2017-2018"/>
        <s v="Alvaro Morata 2018-2019"/>
        <s v="Alvaro Negredo 2016-2017"/>
        <s v="Aaron Cresswell 2018-2019"/>
        <s v="Aaron Cresswell 2017-2018"/>
        <s v="Aaron Cresswell 2015-2016"/>
        <s v="Aaron Cresswell 2016-2017"/>
        <s v="Aaron Lennon 2015-2016"/>
        <s v="Aaron Lennon 2016-2017"/>
        <s v="Aaron Lennon 2018-2019"/>
        <s v="Aaron Lennon 2017-2018"/>
        <s v="Aaron Mooy 2017-2018"/>
        <s v="Aaron Mooy 2018-2019"/>
        <s v="Aaron Ramsey 2015-2016"/>
        <s v="Aaron Ramsey 2016-2017"/>
        <s v="Aaron Ramsey 2017-2018"/>
        <s v="Aaron Ramsey 2018-2019"/>
        <s v="Aaron Wan-Bissaka 2018-2019"/>
        <s v="Abdoulaye Doucoure 2016-2017"/>
        <s v="Abdoulaye Doucoure 2017-2018"/>
        <s v="Abdoulaye Doucoure 2018-2019"/>
        <s v="Abdul Rahman Baba 2015-2016"/>
        <s v="Abel Hernández 2016-2017"/>
        <s v="Aboubakar Kamara 2018-2019"/>
        <s v="Adam Clayton 2016-2017"/>
        <s v="Adam Forshaw 2016-2017"/>
        <s v="Adam Johnson 2015-2016"/>
        <s v="Adam Lallana 2015-2016"/>
        <s v="Adam Lallana 2016-2017"/>
        <s v="Adam Lallana 2018-2019"/>
        <s v="Adam Lallana 2017-2018"/>
        <s v="Adam Masina 2018-2019"/>
        <s v="Adam Smith 2018-2019"/>
        <s v="Adam Smith 2015-2016"/>
        <s v="Adam Smith 2016-2017"/>
        <s v="Adam Smith 2017-2018"/>
        <s v="Adama Diakhaby 2018-2019"/>
        <s v="Adama Diomande 2016-2017"/>
        <s v="Adama Traoré 2015-2016"/>
        <s v="Adama Traoré 2018-2019"/>
        <s v="Adama Traoré 2016-2017"/>
        <s v="Ademola Lookman 2018-2019"/>
        <s v="Adlene Guedioura 2016-2017"/>
        <s v="Adlene Guedioura 2015-2016"/>
        <s v="Adnan Januzaj 2016-2017"/>
        <s v="Adrian Mariappa 2017-2018"/>
        <s v="Adrian Mariappa 2018-2019"/>
        <s v="Adrien Silva 2017-2018"/>
        <s v="Ahmed El Mohamady 2016-2017"/>
        <s v="Ahmed Hegazi 2017-2018"/>
        <s v="Ahmed Musa 2016-2017"/>
        <s v="Ainsley Maitland-Niles 2018-2019"/>
        <s v="Ainsley Maitland-Niles 2017-2018"/>
        <s v="Alan Hutton 2015-2016"/>
        <s v="Alberto Moreno 2015-2016"/>
        <s v="Alberto Moreno 2017-2018"/>
        <s v="Alberto Moreno 2016-2017"/>
        <s v="Alberto Paloschi 2015-2016"/>
        <s v="Aleksandar Dragovic 2017-2018"/>
        <s v="Aleksandar Kolarov 2016-2017"/>
        <s v="Aleksandar Kolarov 2015-2016"/>
        <s v="Aleksandar Mitrovic 2015-2016"/>
        <s v="Aleksandar Mitrovic 2018-2019"/>
        <s v="Alex Iwobi 2015-2016"/>
        <s v="Alex Iwobi 2016-2017"/>
        <s v="Alex Iwobi 2017-2018"/>
        <s v="Alex Iwobi 2018-2019"/>
        <s v="Alex Oxlade-Chamberlain 2015-2016"/>
        <s v="Alex Oxlade-Chamberlain 2016-2017"/>
        <s v="Alex Oxlade-Chamberlain 2017-2018"/>
        <s v="Alex Pritchard 2018-2019"/>
        <s v="Alex Pritchard 2017-2018"/>
        <s v="Alexander Sørloth 2018-2019"/>
        <s v="Alexander Tettey 2015-2016"/>
        <s v="Alexandre Lacazette 2017-2018"/>
        <s v="Alexandre Lacazette 2018-2019"/>
        <s v="Alexandre Song 2015-2016"/>
        <s v="Alexis Sanchez 2016-2017"/>
        <s v="Alexis Sanchez 2015-2016"/>
        <s v="Alexis Sanchez 2017-2018"/>
        <s v="Alexis Sanchez 2018-2019"/>
        <s v="Alfie Mawson 2017-2018"/>
        <s v="Alfie Mawson 2016-2017"/>
        <s v="Alfie Mawson 2018-2019"/>
        <s v="Alfred N'Diaye 2016-2017"/>
        <s v="Alireza Jahanbakhsh 2018-2019"/>
        <s v="Allan-Romeo Nyom 2016-2017"/>
        <s v="Allan-Romeo Nyom 2015-2016"/>
        <s v="Allan-Romeo Nyom 2017-2018"/>
        <s v="Almen Abdi 2015-2016"/>
        <s v="Aly Cissokho 2015-2016"/>
        <s v="Ander Herrera 2015-2016"/>
        <s v="Ander Herrera 2016-2017"/>
        <s v="Ander Herrera 2017-2018"/>
        <s v="Ander Herrera 2018-2019"/>
        <s v="André Ayew 2015-2016"/>
        <s v="André Ayew 2016-2017"/>
        <s v="André Ayew 2017-2018"/>
        <s v="André Carrillo 2017-2018"/>
        <s v="André Gomes 2018-2019"/>
        <s v="André Schürrle 2018-2019"/>
        <s v="Andre Gray 2016-2017"/>
        <s v="Andre Gray 2017-2018"/>
        <s v="Andre Gray 2018-2019"/>
        <s v="Andre Wisdom 2015-2016"/>
        <s v="Andre-Frank Zambo Anguissa 2018-2019"/>
        <s v="Andrea Ranocchia 2016-2017"/>
        <s v="Andreas Christensen 2017-2018"/>
        <s v="Andreas Pereira 2018-2019"/>
        <s v="Andrew Robertson 2017-2018"/>
        <s v="Andrew Robertson 2018-2019"/>
        <s v="Andrew Robertson 2016-2017"/>
        <s v="Andrew Surman 2015-2016"/>
        <s v="Andrew Surman 2016-2017"/>
        <s v="Andrew Surman 2018-2019"/>
        <s v="Andrew Surman 2017-2018"/>
        <s v="Andros Townsend 2015-2016"/>
        <s v="Andros Townsend 2016-2017"/>
        <s v="Andros Townsend 2018-2019"/>
        <s v="Andros Townsend 2017-2018"/>
        <s v="Andy Carroll 2018-2019"/>
        <s v="Andy Carroll 2015-2016"/>
        <s v="Andy Carroll 2016-2017"/>
        <s v="Andy Carroll 2017-2018"/>
        <s v="Andy King 2015-2016"/>
        <s v="Andy King 2016-2017"/>
        <s v="Andy King 2017-2018"/>
        <s v="Angel Rangel 2015-2016"/>
        <s v="Angel Rangel 2016-2017"/>
        <s v="Angelo Ogbonna 2016-2017"/>
        <s v="Angelo Ogbonna 2018-2019"/>
        <s v="Angelo Ogbonna 2015-2016"/>
        <s v="Angelo Ogbonna 2017-2018"/>
        <s v="Anthony Knockaert 2018-2019"/>
        <s v="Anthony Knockaert 2017-2018"/>
        <s v="Anthony Martial 2015-2016"/>
        <s v="Anthony Martial 2016-2017"/>
        <s v="Anthony Martial 2017-2018"/>
        <s v="Anthony Martial 2018-2019"/>
        <s v="Antonio Barragán 2016-2017"/>
        <s v="Antonio Rüdiger 2017-2018"/>
        <s v="Antonio Rüdiger 2018-2019"/>
        <s v="Antonio Valencia 2015-2016"/>
        <s v="Antonio Valencia 2016-2017"/>
        <s v="Antonio Valencia 2017-2018"/>
        <s v="Aron Gunnarsson 2018-2019"/>
        <s v="Arouna Koné 2015-2016"/>
        <s v="Arthur Masuaku 2017-2018"/>
        <s v="Arthur Masuaku 2016-2017"/>
        <s v="Arthur Masuaku 2018-2019"/>
        <s v="Ashley Barnes 2016-2017"/>
        <s v="Ashley Barnes 2017-2018"/>
        <s v="Ashley Barnes 2018-2019"/>
        <s v="Ashley Fletcher 2016-2017"/>
        <s v="Ashley Westwood 2015-2016"/>
        <s v="Ashley Westwood 2018-2019"/>
        <s v="Ashley Westwood 2017-2018"/>
        <s v="Ashley Williams 2015-2016"/>
        <s v="Ashley Williams 2016-2017"/>
        <s v="Ashley Williams 2017-2018"/>
        <s v="Ashley Young 2015-2016"/>
        <s v="Ashley Young 2018-2019"/>
        <s v="Ashley Young 2017-2018"/>
        <s v="Ashley Young 2016-2017"/>
        <s v="Aymeric Laporte 2018-2019"/>
        <s v="Ayoze Pérez 2015-2016"/>
        <s v="Ayoze Pérez 2017-2018"/>
        <s v="Ayoze Pérez 2018-2019"/>
        <s v="Bacary Sagna 2015-2016"/>
        <s v="Bacary Sagna 2016-2017"/>
        <s v="Badou Ndiaye 2017-2018"/>
        <s v="Bafétimbi Gomis 2015-2016"/>
        <s v="Bakary Sako 2015-2016"/>
        <s v="Bakary Sako 2017-2018"/>
        <s v="Bastian Schweinsteiger 2015-2016"/>
        <s v="Ben Chilwell 2018-2019"/>
        <s v="Ben Chilwell 2016-2017"/>
        <s v="Ben Chilwell 2017-2018"/>
        <s v="Ben Davies 2018-2019"/>
        <s v="Ben Davies 2016-2017"/>
        <s v="Ben Davies 2015-2016"/>
        <s v="Ben Davies 2017-2018"/>
        <s v="Ben Gibson 2016-2017"/>
        <s v="Ben Mee 2016-2017"/>
        <s v="Ben Mee 2017-2018"/>
        <s v="Ben Mee 2018-2019"/>
        <s v="Ben Watson 2015-2016"/>
        <s v="Benik Afobe 2015-2016"/>
        <s v="Benik Afobe 2016-2017"/>
        <s v="Benik Afobe 2017-2018"/>
        <s v="Benjamin Mendy 2018-2019"/>
        <s v="Beram Kayal 2017-2018"/>
        <s v="Beram Kayal 2018-2019"/>
        <s v="Bernard 2018-2019"/>
        <s v="Bernardo 2018-2019"/>
        <s v="Bernardo Espinosa 2016-2017"/>
        <s v="Bernardo Silva 2017-2018"/>
        <s v="Bernardo Silva 2018-2019"/>
        <s v="Bertrand Traoré 2015-2016"/>
        <s v="Billy Jones 2015-2016"/>
        <s v="Billy Jones 2016-2017"/>
        <s v="Bobby De Cordova-Reid 2018-2019"/>
        <s v="Bojan 2015-2016"/>
        <s v="Borja Bastón 2016-2017"/>
        <s v="Branislav Ivanovic 2015-2016"/>
        <s v="Branislav Ivanovic 2016-2017"/>
        <s v="Brendan Galloway 2015-2016"/>
        <s v="Bruno 2017-2018"/>
        <s v="Bruno 2018-2019"/>
        <s v="Bruno Ecuele Manga 2018-2019"/>
        <s v="Bruno Martins Indi 2017-2018"/>
        <s v="Bruno Martins Indi 2016-2017"/>
        <s v="Bryan Oviedo 2016-2017"/>
        <s v="Bryan Oviedo 2015-2016"/>
        <s v="Cédric Soares 2018-2019"/>
        <s v="Cédric Soares 2016-2017"/>
        <s v="Cédric Soares 2015-2016"/>
        <s v="Cédric Soares 2017-2018"/>
        <s v="Callum Hudson-Odoi 2018-2019"/>
        <s v="Callum McManaman 2015-2016"/>
        <s v="Callum Paterson 2018-2019"/>
        <s v="Callum Wilson 2016-2017"/>
        <s v="Callum Wilson 2017-2018"/>
        <s v="Callum Wilson 2018-2019"/>
        <s v="Calum Chambers 2015-2016"/>
        <s v="Calum Chambers 2016-2017"/>
        <s v="Calum Chambers 2018-2019"/>
        <s v="Calum Chambers 2017-2018"/>
        <s v="Cameron Borthwick-Jackson 2015-2016"/>
        <s v="Cameron Brannagan 2015-2016"/>
        <s v="Cameron Jerome 2015-2016"/>
        <s v="Carles Gil 2015-2016"/>
        <s v="Carlos Sánchez 2015-2016"/>
        <s v="Cenk Tosun 2017-2018"/>
        <s v="Cenk Tosun 2018-2019"/>
        <s v="Cesar Azpilicueta 2016-2017"/>
        <s v="Cesar Azpilicueta 2017-2018"/>
        <s v="Cesar Azpilicueta 2018-2019"/>
        <s v="Cesar Azpilicueta 2015-2016"/>
        <s v="Cesc Fàbregas 2015-2016"/>
        <s v="Cesc Fàbregas 2016-2017"/>
        <s v="Cesc Fàbregas 2017-2018"/>
        <s v="Chancel Mbemba 2015-2016"/>
        <s v="Charlie Adam 2015-2016"/>
        <s v="Charlie Adam 2016-2017"/>
        <s v="Charlie Adam 2017-2018"/>
        <s v="Charlie Austin 2018-2019"/>
        <s v="Charlie Austin 2017-2018"/>
        <s v="Charlie Austin 2016-2017"/>
        <s v="Charlie Daniels 2015-2016"/>
        <s v="Charlie Daniels 2018-2019"/>
        <s v="Charlie Daniels 2017-2018"/>
        <s v="Charlie Daniels 2016-2017"/>
        <s v="Charlie Taylor 2017-2018"/>
        <s v="Charlie Taylor 2018-2019"/>
        <s v="Cheick Tioté 2015-2016"/>
        <s v="Cheikhou Kouyaté 2015-2016"/>
        <s v="Cheikhou Kouyaté 2017-2018"/>
        <s v="Cheikhou Kouyaté 2018-2019"/>
        <s v="Cheikhou Kouyaté 2016-2017"/>
        <s v="Chicharito 2017-2018"/>
        <s v="Chicharito 2018-2019"/>
        <s v="Chris Brunt 2015-2016"/>
        <s v="Chris Brunt 2016-2017"/>
        <s v="Chris Brunt 2017-2018"/>
        <s v="Chris Löwe 2017-2018"/>
        <s v="Chris Löwe 2018-2019"/>
        <s v="Chris Mepham 2018-2019"/>
        <s v="Chris Smalling 2016-2017"/>
        <s v="Chris Smalling 2017-2018"/>
        <s v="Chris Smalling 2018-2019"/>
        <s v="Chris Smalling 2015-2016"/>
        <s v="Chris Wood 2017-2018"/>
        <s v="Chris Wood 2018-2019"/>
        <s v="Christian Atsu 2018-2019"/>
        <s v="Christian Atsu 2017-2018"/>
        <s v="Christian Benteke 2015-2016"/>
        <s v="Christian Benteke 2016-2017"/>
        <s v="Christian Benteke 2017-2018"/>
        <s v="Christian Benteke 2018-2019"/>
        <s v="Christian Eriksen 2015-2016"/>
        <s v="Christian Eriksen 2016-2017"/>
        <s v="Christian Eriksen 2017-2018"/>
        <s v="Christian Eriksen 2018-2019"/>
        <s v="Christian Fuchs 2017-2018"/>
        <s v="Christian Fuchs 2015-2016"/>
        <s v="Christian Fuchs 2016-2017"/>
        <s v="Christian Kabasele 2017-2018"/>
        <s v="Christian Kabasele 2018-2019"/>
        <s v="Christian Kabasele 2016-2017"/>
        <s v="Christopher Schindler 2017-2018"/>
        <s v="Christopher Schindler 2018-2019"/>
        <s v="Chung-Yong Lee 2015-2016"/>
        <s v="Chung-Yong Lee 2016-2017"/>
        <s v="Ciaran Clark 2018-2019"/>
        <s v="Ciaran Clark 2015-2016"/>
        <s v="Ciaran Clark 2017-2018"/>
        <s v="Claudio Yacob 2015-2016"/>
        <s v="Claudio Yacob 2016-2017"/>
        <s v="Claudio Yacob 2017-2018"/>
        <s v="Collin Quaner 2017-2018"/>
        <s v="Connor Wickham 2015-2016"/>
        <s v="Conor Coady 2018-2019"/>
        <s v="Craig Cathcart 2015-2016"/>
        <s v="Craig Cathcart 2016-2017"/>
        <s v="Craig Cathcart 2018-2019"/>
        <s v="Craig Dawson 2017-2018"/>
        <s v="Craig Dawson 2015-2016"/>
        <s v="Craig Dawson 2016-2017"/>
        <s v="Craig Gardner 2015-2016"/>
        <s v="Cristhian Stuani 2016-2017"/>
        <s v="Cuco Martina 2017-2018"/>
        <s v="Cuco Martina 2015-2016"/>
        <s v="Curtis Davies 2016-2017"/>
        <s v="Cyrus Christie 2018-2019"/>
        <s v="Dale Stephens 2018-2019"/>
        <s v="Dale Stephens 2017-2018"/>
        <s v="Daley Blind 2016-2017"/>
        <s v="Daley Blind 2015-2016"/>
        <s v="Dame N'Doye 2015-2016"/>
        <s v="Damien Delaney 2015-2016"/>
        <s v="Damien Delaney 2016-2017"/>
        <s v="Dan Gosling 2015-2016"/>
        <s v="Dan Gosling 2016-2017"/>
        <s v="Dan Gosling 2018-2019"/>
        <s v="Dan Gosling 2017-2018"/>
        <s v="Daniel Amartey 2016-2017"/>
        <s v="Daniel Ayala 2016-2017"/>
        <s v="Daniel Drinkwater 2015-2016"/>
        <s v="Daniel Drinkwater 2016-2017"/>
        <s v="Daniel Drinkwater 2017-2018"/>
        <s v="Daniel Sturridge 2017-2018"/>
        <s v="Daniel Sturridge 2018-2019"/>
        <s v="Daniel Sturridge 2016-2017"/>
        <s v="Daniel Sturridge 2015-2016"/>
        <s v="Danilo 2017-2018"/>
        <s v="Danilo 2018-2019"/>
        <s v="Danny Graham 2015-2016"/>
        <s v="Danny Ings 2018-2019"/>
        <s v="Danny Rose 2016-2017"/>
        <s v="Danny Rose 2017-2018"/>
        <s v="Danny Rose 2018-2019"/>
        <s v="Danny Rose 2015-2016"/>
        <s v="Danny Simpson 2015-2016"/>
        <s v="Danny Simpson 2017-2018"/>
        <s v="Danny Simpson 2016-2017"/>
        <s v="Danny Ward 2018-2019"/>
        <s v="Danny Welbeck 2015-2016"/>
        <s v="Danny Welbeck 2016-2017"/>
        <s v="Danny Welbeck 2017-2018"/>
        <s v="Danny Williams 2017-2018"/>
        <s v="Darren Fletcher 2015-2016"/>
        <s v="Darren Fletcher 2016-2017"/>
        <s v="Darren Fletcher 2017-2018"/>
        <s v="Darron Gibson 2016-2017"/>
        <s v="Daryl Janmaat 2017-2018"/>
        <s v="Daryl Janmaat 2018-2019"/>
        <s v="Daryl Janmaat 2016-2017"/>
        <s v="Daryl Janmaat 2015-2016"/>
        <s v="David Brooks 2018-2019"/>
        <s v="David Junior Hoilett 2018-2019"/>
        <s v="David Luiz 2016-2017"/>
        <s v="David Luiz 2018-2019"/>
        <s v="David Luiz 2017-2018"/>
        <s v="David Meyler 2016-2017"/>
        <s v="David Silva 2015-2016"/>
        <s v="David Silva 2016-2017"/>
        <s v="David Silva 2017-2018"/>
        <s v="David Silva 2018-2019"/>
        <s v="Davide Zappacosta 2017-2018"/>
        <s v="Davinson Sánchez 2018-2019"/>
        <s v="Davinson Sánchez 2017-2018"/>
        <s v="Davy Pröpper 2017-2018"/>
        <s v="Davy Pröpper 2018-2019"/>
        <s v="Dean Marney 2016-2017"/>
        <s v="DeAndre Yedlin 2017-2018"/>
        <s v="DeAndre Yedlin 2015-2016"/>
        <s v="DeAndre Yedlin 2018-2019"/>
        <s v="Declan Rice 2018-2019"/>
        <s v="Declan Rice 2017-2018"/>
        <s v="Dejan Lovren 2015-2016"/>
        <s v="Dejan Lovren 2018-2019"/>
        <s v="Dejan Lovren 2016-2017"/>
        <s v="Dejan Lovren 2017-2018"/>
        <s v="Dele Alli 2015-2016"/>
        <s v="Dele Alli 2016-2017"/>
        <s v="Dele Alli 2018-2019"/>
        <s v="Dele Alli 2017-2018"/>
        <s v="Demarai Gray 2015-2016"/>
        <s v="Demarai Gray 2016-2017"/>
        <s v="Demarai Gray 2018-2019"/>
        <s v="Demarai Gray 2017-2018"/>
        <s v="Denis Odoi 2018-2019"/>
        <s v="Diafra Sakho 2015-2016"/>
        <s v="Diafra Sakho 2017-2018"/>
        <s v="Didier Ndong 2016-2017"/>
        <s v="Diego Costa 2015-2016"/>
        <s v="Diego Costa 2016-2017"/>
        <s v="Diego Rico 2018-2019"/>
        <s v="Dieudonne Mbokani Bezua 2015-2016"/>
        <s v="Dieudonne Mbokani Bezua 2016-2017"/>
        <s v="Dimitri Payet 2015-2016"/>
        <s v="Dimitri Payet 2016-2017"/>
        <s v="Diogo Dalot 2018-2019"/>
        <s v="Diogo Jota 2018-2019"/>
        <s v="Divock Origi 2015-2016"/>
        <s v="Divock Origi 2016-2017"/>
        <s v="Divock Origi 2018-2019"/>
        <s v="Dominic Calvert-Lewin 2016-2017"/>
        <s v="Dominic Calvert-Lewin 2018-2019"/>
        <s v="Dominic Calvert-Lewin 2017-2018"/>
        <s v="Dominic Solanke 2017-2018"/>
        <s v="Dominic Solanke 2018-2019"/>
        <s v="Donald Love 2016-2017"/>
        <s v="Duncan Watmore 2015-2016"/>
        <s v="Duncan Watmore 2016-2017"/>
        <s v="Dusan Tadic 2015-2016"/>
        <s v="Dusan Tadic 2016-2017"/>
        <s v="Dusan Tadic 2017-2018"/>
        <s v="Dwight Gayle 2015-2016"/>
        <s v="Dwight Gayle 2017-2018"/>
        <s v="Dwight McNeil 2018-2019"/>
        <s v="Eden Hazard 2015-2016"/>
        <s v="Eden Hazard 2016-2017"/>
        <s v="Eden Hazard 2017-2018"/>
        <s v="Eden Hazard 2018-2019"/>
        <s v="Edimilson Fernandes 2016-2017"/>
        <s v="Edimilson Fernandes 2017-2018"/>
        <s v="Eliaquim Mangala 2015-2016"/>
        <s v="Eliaquim Mangala 2017-2018"/>
        <s v="Elias Kachunga 2017-2018"/>
        <s v="Elias Kachunga 2018-2019"/>
        <s v="Emerson 2018-2019"/>
        <s v="Emmanuel Adebayor 2015-2016"/>
        <s v="Emmanuel Emenike 2015-2016"/>
        <s v="Emre Can 2015-2016"/>
        <s v="Emre Can 2016-2017"/>
        <s v="Emre Can 2017-2018"/>
        <s v="Enner Valencia 2015-2016"/>
        <s v="Enner Valencia 2016-2017"/>
        <s v="Eric Bailly 2018-2019"/>
        <s v="Eric Bailly 2017-2018"/>
        <s v="Eric Bailly 2016-2017"/>
        <s v="Eric Dier 2015-2016"/>
        <s v="Eric Dier 2016-2017"/>
        <s v="Eric Dier 2018-2019"/>
        <s v="Eric Dier 2017-2018"/>
        <s v="Eric Maxim Choupo-Moting 2017-2018"/>
        <s v="Erik Durm 2018-2019"/>
        <s v="Erik Lamela 2015-2016"/>
        <s v="Erik Lamela 2017-2018"/>
        <s v="Erik Lamela 2018-2019"/>
        <s v="Erik Pieters 2016-2017"/>
        <s v="Erik Pieters 2017-2018"/>
        <s v="Erik Pieters 2015-2016"/>
        <s v="Etienne Capoue 2015-2016"/>
        <s v="Etienne Capoue 2016-2017"/>
        <s v="Etienne Capoue 2017-2018"/>
        <s v="Etienne Capoue 2018-2019"/>
        <s v="Eunan O'Kane 2015-2016"/>
        <s v="Evandro 2016-2017"/>
        <s v="Ezequiel Schelotto 2017-2018"/>
        <s v="Fabián Balbuena 2018-2019"/>
        <s v="Fabian Delph 2015-2016"/>
        <s v="Fabian Delph 2018-2019"/>
        <s v="Fabian Delph 2017-2018"/>
        <s v="Fabian Schär 2018-2019"/>
        <s v="Fabinho 2018-2019"/>
        <s v="Fabio Borini 2015-2016"/>
        <s v="Fabio Borini 2016-2017"/>
        <s v="Fabricio Coloccini 2015-2016"/>
        <s v="Federico Fernández 2016-2017"/>
        <s v="Federico Fernández 2015-2016"/>
        <s v="Federico Fernández 2018-2019"/>
        <s v="Federico Fernández 2017-2018"/>
        <s v="Felipe Anderson 2018-2019"/>
        <s v="Fernandinho 2015-2016"/>
        <s v="Fernandinho 2016-2017"/>
        <s v="Fernandinho 2018-2019"/>
        <s v="Fernandinho 2017-2018"/>
        <s v="Fernando 2015-2016"/>
        <s v="Fernando 2016-2017"/>
        <s v="Fernando Llorente 2016-2017"/>
        <s v="Fernando Llorente 2017-2018"/>
        <s v="Fernando Llorente 2018-2019"/>
        <s v="Florent Hadergjonaj 2018-2019"/>
        <s v="Florent Hadergjonaj 2017-2018"/>
        <s v="Florian Lejeune 2018-2019"/>
        <s v="Florian Lejeune 2017-2018"/>
        <s v="Florian Thauvin 2015-2016"/>
        <s v="Florin Andone 2018-2019"/>
        <s v="Floyd Ayité 2018-2019"/>
        <s v="Fousseni Diabaté 2017-2018"/>
        <s v="Fraizer Campbell 2015-2016"/>
        <s v="Fraizer Campbell 2016-2017"/>
        <s v="Francis Coquelin 2015-2016"/>
        <s v="Francis Coquelin 2016-2017"/>
        <s v="Fred 2018-2019"/>
        <s v="Gaël Clichy 2015-2016"/>
        <s v="Gaël Clichy 2016-2017"/>
        <s v="Gaëtan Bong 2017-2018"/>
        <s v="Gaëtan Bong 2018-2019"/>
        <s v="Gabriel Agbonlahor 2015-2016"/>
        <s v="Gabriel Jesus 2016-2017"/>
        <s v="Gabriel Jesus 2017-2018"/>
        <s v="Gabriel Jesus 2018-2019"/>
        <s v="Gabriel Paulista 2015-2016"/>
        <s v="Gabriel Paulista 2016-2017"/>
        <s v="Gareth Barry 2015-2016"/>
        <s v="Gareth Barry 2016-2017"/>
        <s v="Gareth Barry 2017-2018"/>
        <s v="Gareth McAuley 2016-2017"/>
        <s v="Gareth McAuley 2015-2016"/>
        <s v="Gary Cahill 2017-2018"/>
        <s v="Gary Cahill 2015-2016"/>
        <s v="Gary Cahill 2016-2017"/>
        <s v="Gary O'Neil 2015-2016"/>
        <s v="Gastón Ramírez 2016-2017"/>
        <s v="Geoff Cameron 2016-2017"/>
        <s v="Geoff Cameron 2015-2016"/>
        <s v="Geoff Cameron 2017-2018"/>
        <s v="George Boyd 2016-2017"/>
        <s v="George Friend 2016-2017"/>
        <s v="Georginio Wijnaldum 2015-2016"/>
        <s v="Georginio Wijnaldum 2016-2017"/>
        <s v="Georginio Wijnaldum 2017-2018"/>
        <s v="Georginio Wijnaldum 2018-2019"/>
        <s v="Gerard Deulofeu 2015-2016"/>
        <s v="Gerard Deulofeu 2016-2017"/>
        <s v="Gerard Deulofeu 2018-2019"/>
        <s v="Giannelli Imbula 2015-2016"/>
        <s v="Giannelli Imbula 2016-2017"/>
        <s v="Glen Johnson 2016-2017"/>
        <s v="Glen Johnson 2015-2016"/>
        <s v="Glenn Murray 2015-2016"/>
        <s v="Glenn Murray 2017-2018"/>
        <s v="Glenn Murray 2018-2019"/>
        <s v="Glenn Whelan 2015-2016"/>
        <s v="Glenn Whelan 2016-2017"/>
        <s v="Gonzalo Higuaín 2018-2019"/>
        <s v="Grady Diangana 2018-2019"/>
        <s v="Graham Dorrans 2015-2016"/>
        <s v="Granit Xhaka 2016-2017"/>
        <s v="Granit Xhaka 2017-2018"/>
        <s v="Granit Xhaka 2018-2019"/>
        <s v="Grant Leadbitter 2016-2017"/>
        <s v="Graziano Pellè 2015-2016"/>
        <s v="Grzegorz Krychowiak 2017-2018"/>
        <s v="Gylfi Sigurdsson 2015-2016"/>
        <s v="Gylfi Sigurdsson 2016-2017"/>
        <s v="Gylfi Sigurdsson 2017-2018"/>
        <s v="Gylfi Sigurdsson 2018-2019"/>
        <s v="Håvard Nordtveit 2016-2017"/>
        <s v="Hélder Costa 2018-2019"/>
        <s v="Hal Robson-Kanu 2016-2017"/>
        <s v="Hal Robson-Kanu 2017-2018"/>
        <s v="Harry Arter 2015-2016"/>
        <s v="Harry Arter 2016-2017"/>
        <s v="Harry Arter 2017-2018"/>
        <s v="Harry Arter 2018-2019"/>
        <s v="Harry Kane 2015-2016"/>
        <s v="Harry Kane 2016-2017"/>
        <s v="Harry Kane 2017-2018"/>
        <s v="Harry Kane 2018-2019"/>
        <s v="Harry Maguire 2018-2019"/>
        <s v="Harry Maguire 2016-2017"/>
        <s v="Harry Maguire 2017-2018"/>
        <s v="Harry Winks 2016-2017"/>
        <s v="Harry Winks 2018-2019"/>
        <s v="Harry Winks 2017-2018"/>
        <s v="Harvey Barnes 2018-2019"/>
        <s v="Hector Bellerin 2015-2016"/>
        <s v="Hector Bellerin 2018-2019"/>
        <s v="Hector Bellerin 2016-2017"/>
        <s v="Hector Bellerin 2017-2018"/>
        <s v="Henrikh Mkhitaryan 2016-2017"/>
        <s v="Henrikh Mkhitaryan 2017-2018"/>
        <s v="Henrikh Mkhitaryan 2018-2019"/>
        <s v="Ibrahim Afellay 2015-2016"/>
        <s v="Ibrahim Afellay 2016-2017"/>
        <s v="Idrissa Gueye 2015-2016"/>
        <s v="Idrissa Gueye 2016-2017"/>
        <s v="Idrissa Gueye 2017-2018"/>
        <s v="Idrissa Gueye 2018-2019"/>
        <s v="Ikechi Anya 2015-2016"/>
        <s v="Ilkay Gündogan 2017-2018"/>
        <s v="Ilkay Gündogan 2016-2017"/>
        <s v="Ilkay Gündogan 2018-2019"/>
        <s v="Isaac Hayden 2018-2019"/>
        <s v="Isaac Hayden 2017-2018"/>
        <s v="Isaac Mbenza 2018-2019"/>
        <s v="Isaac Success 2016-2017"/>
        <s v="Isaac Success 2018-2019"/>
        <s v="Isaiah Brown 2017-2018"/>
        <s v="Islam Slimani 2016-2017"/>
        <s v="Islam Slimani 2017-2018"/>
        <s v="Issa Diop 2018-2019"/>
        <s v="Ivan Cavaleiro 2018-2019"/>
        <s v="Ivo Pinto 2015-2016"/>
        <s v="Jürgen Locadia 2018-2019"/>
        <s v="Jack Colback 2015-2016"/>
        <s v="Jack Cork 2015-2016"/>
        <s v="Jack Cork 2016-2017"/>
        <s v="Jack Cork 2017-2018"/>
        <s v="Jack Cork 2018-2019"/>
        <s v="Jack Grealish 2015-2016"/>
        <s v="Jack Rodwell 2015-2016"/>
        <s v="Jack Rodwell 2016-2017"/>
        <s v="Jack Stephens 2018-2019"/>
        <s v="Jack Stephens 2017-2018"/>
        <s v="Jack Stephens 2016-2017"/>
        <s v="Jack Wilshere 2016-2017"/>
        <s v="Jack Wilshere 2017-2018"/>
        <s v="Jacob Murphy 2017-2018"/>
        <s v="Jairo Riedewald 2017-2018"/>
        <s v="Jake Livermore 2016-2017"/>
        <s v="Jake Livermore 2017-2018"/>
        <s v="Jamaal Lascelles 2015-2016"/>
        <s v="Jamaal Lascelles 2017-2018"/>
        <s v="Jamaal Lascelles 2018-2019"/>
        <s v="James Chester 2015-2016"/>
        <s v="James Collins 2016-2017"/>
        <s v="James Collins 2015-2016"/>
        <s v="James Collins 2017-2018"/>
        <s v="James Maddison 2018-2019"/>
        <s v="James McArthur 2015-2016"/>
        <s v="James McArthur 2016-2017"/>
        <s v="James McArthur 2017-2018"/>
        <s v="James McArthur 2018-2019"/>
        <s v="James McCarthy 2015-2016"/>
        <s v="James McCarthy 2016-2017"/>
        <s v="James McClean 2015-2016"/>
        <s v="James McClean 2016-2017"/>
        <s v="James McClean 2017-2018"/>
        <s v="James Milner 2015-2016"/>
        <s v="James Milner 2016-2017"/>
        <s v="James Milner 2018-2019"/>
        <s v="James Milner 2017-2018"/>
        <s v="James Morrison 2015-2016"/>
        <s v="James Morrison 2016-2017"/>
        <s v="James Tarkowski 2017-2018"/>
        <s v="James Tarkowski 2018-2019"/>
        <s v="James Tarkowski 2016-2017"/>
        <s v="James Tomkins 2017-2018"/>
        <s v="James Tomkins 2015-2016"/>
        <s v="James Tomkins 2016-2017"/>
        <s v="James Tomkins 2018-2019"/>
        <s v="James Ward-Prowse 2015-2016"/>
        <s v="James Ward-Prowse 2016-2017"/>
        <s v="James Ward-Prowse 2018-2019"/>
        <s v="James Ward-Prowse 2017-2018"/>
        <s v="Jamie Vardy 2015-2016"/>
        <s v="Jamie Vardy 2016-2017"/>
        <s v="Jamie Vardy 2017-2018"/>
        <s v="Jamie Vardy 2018-2019"/>
        <s v="Jan Bednarek 2018-2019"/>
        <s v="Jan Kirchhoff 2015-2016"/>
        <s v="Jan Vertonghen 2016-2017"/>
        <s v="Jan Vertonghen 2018-2019"/>
        <s v="Jan Vertonghen 2017-2018"/>
        <s v="Jan Vertonghen 2015-2016"/>
        <s v="Jannik Vestergaard 2018-2019"/>
        <s v="Jason Denayer 2016-2017"/>
        <s v="Jason Puncheon 2015-2016"/>
        <s v="Jason Puncheon 2016-2017"/>
        <s v="Jason Puncheon 2018-2019"/>
        <s v="Jason Puncheon 2017-2018"/>
        <s v="Javier Manquillo 2016-2017"/>
        <s v="Javier Manquillo 2017-2018"/>
        <s v="Javier Manquillo 2018-2019"/>
        <s v="Jay Fulton 2016-2017"/>
        <s v="Jay Rodriguez 2015-2016"/>
        <s v="Jay Rodriguez 2016-2017"/>
        <s v="Jay Rodriguez 2017-2018"/>
        <s v="Jean Michael Seri 2018-2019"/>
        <s v="Jeff Hendrick 2016-2017"/>
        <s v="Jeff Hendrick 2017-2018"/>
        <s v="Jeff Hendrick 2018-2019"/>
        <s v="Jefferson Lerma 2018-2019"/>
        <s v="Jefferson Montero 2015-2016"/>
        <s v="Jefferson Montero 2016-2017"/>
        <s v="Jeffrey Schlupp 2016-2017"/>
        <s v="Jeffrey Schlupp 2015-2016"/>
        <s v="Jeffrey Schlupp 2018-2019"/>
        <s v="Jeffrey Schlupp 2017-2018"/>
        <s v="Jeremain Lens 2015-2016"/>
        <s v="Jermain Defoe 2017-2018"/>
        <s v="Jermain Defoe 2015-2016"/>
        <s v="Jermain Defoe 2016-2017"/>
        <s v="Jesé 2017-2018"/>
        <s v="Jesús Navas 2015-2016"/>
        <s v="Jesús Navas 2016-2017"/>
        <s v="Jesse Lingard 2015-2016"/>
        <s v="Jesse Lingard 2016-2017"/>
        <s v="Jesse Lingard 2018-2019"/>
        <s v="Jesse Lingard 2017-2018"/>
        <s v="João Mário 2017-2018"/>
        <s v="João Moutinho 2018-2019"/>
        <s v="Joe Allen 2015-2016"/>
        <s v="Joe Allen 2016-2017"/>
        <s v="Joe Allen 2017-2018"/>
        <s v="Joe Bennett 2018-2019"/>
        <s v="Joe Bryan 2018-2019"/>
        <s v="Joe Ledley 2015-2016"/>
        <s v="Joe Ledley 2016-2017"/>
        <s v="Joe Ralls 2018-2019"/>
        <s v="Joel Campbell 2015-2016"/>
        <s v="Joel Matip 2017-2018"/>
        <s v="Joel Matip 2018-2019"/>
        <s v="Joel Matip 2016-2017"/>
        <s v="Joel Ward 2016-2017"/>
        <s v="Joel Ward 2015-2016"/>
        <s v="Joel Ward 2017-2018"/>
        <s v="Joey Barton 2016-2017"/>
        <s v="Johann Gudmundsson 2016-2017"/>
        <s v="Johann Gudmundsson 2017-2018"/>
        <s v="Johann Gudmundsson 2018-2019"/>
        <s v="John O'Shea 2015-2016"/>
        <s v="John O'Shea 2016-2017"/>
        <s v="John Obi Mikel 2015-2016"/>
        <s v="John Stones 2018-2019"/>
        <s v="John Stones 2016-2017"/>
        <s v="John Stones 2015-2016"/>
        <s v="John Stones 2017-2018"/>
        <s v="John Terry 2015-2016"/>
        <s v="Joleon Lescott 2015-2016"/>
        <s v="Jon Gorenc Stankovic 2018-2019"/>
        <s v="Jonas Olsson 2015-2016"/>
        <s v="Jonathan Calleri 2016-2017"/>
        <s v="Jonathan Hogg 2018-2019"/>
        <s v="Jonathan Hogg 2017-2018"/>
        <s v="Jonathan Walters 2015-2016"/>
        <s v="Jonathan Walters 2016-2017"/>
        <s v="Jonjo Shelvey 2015-2016"/>
        <s v="Jonjo Shelvey 2018-2019"/>
        <s v="Jonjo Shelvey 2017-2018"/>
        <s v="Jonjoe Kenny 2018-2019"/>
        <s v="Jonjoe Kenny 2017-2018"/>
        <s v="Jonny 2018-2019"/>
        <s v="Jonny Evans 2018-2019"/>
        <s v="Jonny Evans 2015-2016"/>
        <s v="Jonny Evans 2017-2018"/>
        <s v="Jonny Evans 2016-2017"/>
        <s v="Jonny Howson 2015-2016"/>
        <s v="Jordan Amavi 2015-2016"/>
        <s v="Jordan Ayew 2015-2016"/>
        <s v="Jordan Ayew 2016-2017"/>
        <s v="Jordan Ayew 2017-2018"/>
        <s v="Jordan Ayew 2018-2019"/>
        <s v="Jordan Henderson 2015-2016"/>
        <s v="Jordan Henderson 2016-2017"/>
        <s v="Jordan Henderson 2018-2019"/>
        <s v="Jordan Henderson 2017-2018"/>
        <s v="Jordan Veretout 2015-2016"/>
        <s v="Jordi Amat 2016-2017"/>
        <s v="Jordon Ibe 2015-2016"/>
        <s v="Jordon Ibe 2016-2017"/>
        <s v="Jordon Ibe 2018-2019"/>
        <s v="Jordon Ibe 2017-2018"/>
        <s v="Jordon Mutch 2015-2016"/>
        <s v="Jordy Clasie 2015-2016"/>
        <s v="Jordy Clasie 2016-2017"/>
        <s v="Jores Okore 2015-2016"/>
        <s v="Jorginho 2018-2019"/>
        <s v="José Fonte 2016-2017"/>
        <s v="José Fonte 2015-2016"/>
        <s v="José Holebas 2015-2016"/>
        <s v="José Holebas 2016-2017"/>
        <s v="José Holebas 2018-2019"/>
        <s v="José Holebas 2017-2018"/>
        <s v="José Izquierdo 2017-2018"/>
        <s v="José Izquierdo 2018-2019"/>
        <s v="José Manuel Jurado 2015-2016"/>
        <s v="Joselu 2015-2016"/>
        <s v="Joselu 2017-2018"/>
        <s v="Joselu 2018-2019"/>
        <s v="Joseph Gomez 2018-2019"/>
        <s v="Joseph Gomez 2017-2018"/>
        <s v="Josh Murphy 2018-2019"/>
        <s v="Joshua King 2015-2016"/>
        <s v="Joshua King 2016-2017"/>
        <s v="Joshua King 2017-2018"/>
        <s v="Joshua King 2018-2019"/>
        <s v="Juan Camilo Zúñiga 2016-2017"/>
        <s v="Juan Carlos Paredes 2015-2016"/>
        <s v="Juan Foyth 2018-2019"/>
        <s v="Juan Mata 2015-2016"/>
        <s v="Juan Mata 2016-2017"/>
        <s v="Juan Mata 2017-2018"/>
        <s v="Juan Mata 2018-2019"/>
        <s v="Juanmi 2015-2016"/>
        <s v="Juninho Bacuna 2018-2019"/>
        <s v="Junior Stanislas 2015-2016"/>
        <s v="Junior Stanislas 2016-2017"/>
        <s v="Junior Stanislas 2018-2019"/>
        <s v="Junior Stanislas 2017-2018"/>
        <s v="Kadeem Harris 2018-2019"/>
        <s v="Kamil Grosicki 2016-2017"/>
        <s v="Karlan Grant 2018-2019"/>
        <s v="Kelechi Iheanacho 2015-2016"/>
        <s v="Kelechi Iheanacho 2016-2017"/>
        <s v="Kelechi Iheanacho 2017-2018"/>
        <s v="Kelechi Iheanacho 2018-2019"/>
        <s v="Ken Sema 2018-2019"/>
        <s v="Kenedy 2015-2016"/>
        <s v="Kenedy 2018-2019"/>
        <s v="Kenedy 2017-2018"/>
        <s v="Kenneth Zohore 2018-2019"/>
        <s v="Kevin De Bruyne 2015-2016"/>
        <s v="Kevin De Bruyne 2016-2017"/>
        <s v="Kevin De Bruyne 2017-2018"/>
        <s v="Kevin De Bruyne 2018-2019"/>
        <s v="Kevin Long 2017-2018"/>
        <s v="Kevin McDonald 2018-2019"/>
        <s v="Kevin Mirallas 2015-2016"/>
        <s v="Kevin Mirallas 2016-2017"/>
        <s v="Kevin Wimmer 2015-2016"/>
        <s v="Kevin Wimmer 2017-2018"/>
        <s v="Ki Sung-yueng 2015-2016"/>
        <s v="Ki Sung-yueng 2016-2017"/>
        <s v="Ki Sung-yueng 2017-2018"/>
        <s v="Ki Sung-yueng 2018-2019"/>
        <s v="Kieran Gibbs 2017-2018"/>
        <s v="Kieran Gibbs 2016-2017"/>
        <s v="Kieran Gibbs 2015-2016"/>
        <s v="Kieran Richardson 2015-2016"/>
        <s v="Kieran Trippier 2017-2018"/>
        <s v="Kieran Trippier 2018-2019"/>
        <s v="Kieran Trippier 2016-2017"/>
        <s v="Kiko Femenía 2018-2019"/>
        <s v="Kiko Femenía 2017-2018"/>
        <s v="Kolo Touré 2015-2016"/>
        <s v="Kurt Zouma 2017-2018"/>
        <s v="Kurt Zouma 2015-2016"/>
        <s v="Kurt Zouma 2018-2019"/>
        <s v="Kyle Naughton 2016-2017"/>
        <s v="Kyle Naughton 2015-2016"/>
        <s v="Kyle Naughton 2017-2018"/>
        <s v="Kyle Walker 2016-2017"/>
        <s v="Kyle Walker 2017-2018"/>
        <s v="Kyle Walker 2015-2016"/>
        <s v="Kyle Walker 2018-2019"/>
        <s v="Lamine Koné 2016-2017"/>
        <s v="Lamine Koné 2015-2016"/>
        <s v="Laurent Depoitre 2017-2018"/>
        <s v="Laurent Depoitre 2018-2019"/>
        <s v="Laurent Koscielny 2015-2016"/>
        <s v="Laurent Koscielny 2016-2017"/>
        <s v="Laurent Koscielny 2017-2018"/>
        <s v="Laurent Koscielny 2018-2019"/>
        <s v="Lazar Markovic 2016-2017"/>
        <s v="Leander Dendoncker 2018-2019"/>
        <s v="Leandro Bacuna 2015-2016"/>
        <s v="Leandro Bacuna 2018-2019"/>
        <s v="Lee Cattermole 2015-2016"/>
        <s v="Lee Peltier 2018-2019"/>
        <s v="Leighton Baines 2016-2017"/>
        <s v="Leighton Baines 2017-2018"/>
        <s v="Leighton Baines 2015-2016"/>
        <s v="Leon Britton 2015-2016"/>
        <s v="Leon Britton 2016-2017"/>
        <s v="Leonardo Ulloa 2015-2016"/>
        <s v="Leonardo Ulloa 2016-2017"/>
        <s v="Leonardo Ulloa 2017-2018"/>
        <s v="Leroy Fer 2015-2016"/>
        <s v="Leroy Fer 2016-2017"/>
        <s v="Leroy Fer 2017-2018"/>
        <s v="Leroy Sané 2016-2017"/>
        <s v="Leroy Sané 2017-2018"/>
        <s v="Leroy Sané 2018-2019"/>
        <s v="Lewis Cook 2018-2019"/>
        <s v="Lewis Cook 2017-2018"/>
        <s v="Lewis Dunk 2018-2019"/>
        <s v="Lewis Dunk 2017-2018"/>
        <s v="Lewis Grabban 2015-2016"/>
        <s v="Loïc Rémy 2015-2016"/>
        <s v="Lucas Digne 2018-2019"/>
        <s v="Lucas Leiva 2015-2016"/>
        <s v="Lucas Leiva 2016-2017"/>
        <s v="Lucas Moura 2018-2019"/>
        <s v="Lucas Pérez 2018-2019"/>
        <s v="Lucas Pérez 2016-2017"/>
        <s v="Lucas Torreira 2018-2019"/>
        <s v="Luciano Narsingh 2017-2018"/>
        <s v="Luciano Narsingh 2016-2017"/>
        <s v="Luciano Vietto 2018-2019"/>
        <s v="Luka Milivojevic 2016-2017"/>
        <s v="Luka Milivojevic 2017-2018"/>
        <s v="Luka Milivojevic 2018-2019"/>
        <s v="Luke Shaw 2016-2017"/>
        <s v="Luke Shaw 2018-2019"/>
        <s v="Luke Shaw 2017-2018"/>
        <s v="Lynden Gooch 2016-2017"/>
        <s v="Lys Mousset 2016-2017"/>
        <s v="Lys Mousset 2017-2018"/>
        <s v="Lys Mousset 2018-2019"/>
        <s v="M'Baye Niang 2016-2017"/>
        <s v="Mamadou Sakho 2015-2016"/>
        <s v="Mamadou Sakho 2018-2019"/>
        <s v="Mamadou Sakho 2017-2018"/>
        <s v="Mame Biram Diouf 2015-2016"/>
        <s v="Mame Biram Diouf 2016-2017"/>
        <s v="Mame Biram Diouf 2017-2018"/>
        <s v="Manolo Gabbiadini 2016-2017"/>
        <s v="Manolo Gabbiadini 2017-2018"/>
        <s v="Manolo Gabbiadini 2018-2019"/>
        <s v="Manuel Lanzini 2015-2016"/>
        <s v="Manuel Lanzini 2016-2017"/>
        <s v="Manuel Lanzini 2017-2018"/>
        <s v="Manuel Lanzini 2018-2019"/>
        <s v="Marc Albrighton 2015-2016"/>
        <s v="Marc Albrighton 2016-2017"/>
        <s v="Marc Albrighton 2018-2019"/>
        <s v="Marc AlBrighton 2017-2018"/>
        <s v="Marc Muniesa 2016-2017"/>
        <s v="Marc Muniesa 2015-2016"/>
        <s v="Marc Pugh 2015-2016"/>
        <s v="Marc Pugh 2016-2017"/>
        <s v="Marc Pugh 2017-2018"/>
        <s v="Marco van Ginkel 2015-2016"/>
        <s v="Marcos Alonso 2016-2017"/>
        <s v="Marcos Alonso 2018-2019"/>
        <s v="Marcos Alonso 2017-2018"/>
        <s v="Marcos Rojo 2016-2017"/>
        <s v="Marcos Rojo 2015-2016"/>
        <s v="Marcus Rashford 2015-2016"/>
        <s v="Marcus Rashford 2016-2017"/>
        <s v="Marcus Rashford 2017-2018"/>
        <s v="Marcus Rashford 2018-2019"/>
        <s v="Mario Lemina 2017-2018"/>
        <s v="Mario Lemina 2018-2019"/>
        <s v="Mario Suárez 2015-2016"/>
        <s v="Mark Noble 2017-2018"/>
        <s v="Mark Noble 2015-2016"/>
        <s v="Mark Noble 2016-2017"/>
        <s v="Mark Noble 2018-2019"/>
        <s v="Marko Arnautovic 2015-2016"/>
        <s v="Marko Arnautovic 2016-2017"/>
        <s v="Marko Arnautovic 2017-2018"/>
        <s v="Marko Arnautovic 2018-2019"/>
        <s v="Markus Henriksen 2016-2017"/>
        <s v="Markus Suttner 2017-2018"/>
        <s v="Marouane Chamakh 2015-2016"/>
        <s v="Marouane Fellaini 2015-2016"/>
        <s v="Marouane Fellaini 2016-2017"/>
        <s v="Marouane Fellaini 2017-2018"/>
        <s v="Marouane Fellaini 2018-2019"/>
        <s v="Martín Demichelis 2015-2016"/>
        <s v="Martín Montoya 2018-2019"/>
        <s v="Marten de Roon 2016-2017"/>
        <s v="Martin Kelly 2015-2016"/>
        <s v="Martin Kelly 2016-2017"/>
        <s v="Martin Kelly 2018-2019"/>
        <s v="Martin Kelly 2017-2018"/>
        <s v="Martin Olsson 2017-2018"/>
        <s v="Martin Olsson 2015-2016"/>
        <s v="Martin Olsson 2016-2017"/>
        <s v="Martin Skrtel 2015-2016"/>
        <s v="Marvin Zeegelaar 2017-2018"/>
        <s v="Mason Holgate 2016-2017"/>
        <s v="Mason Holgate 2017-2018"/>
        <s v="Matej Vydra 2018-2019"/>
        <s v="Mateo Kovacic 2018-2019"/>
        <s v="Mathieu Flamini 2015-2016"/>
        <s v="Matt Doherty 2018-2019"/>
        <s v="Matt Phillips 2016-2017"/>
        <s v="Matt Phillips 2017-2018"/>
        <s v="Matt Ritchie 2015-2016"/>
        <s v="Matt Ritchie 2017-2018"/>
        <s v="Matt Ritchie 2018-2019"/>
        <s v="Matt Targett 2015-2016"/>
        <s v="Matt Targett 2018-2019"/>
        <s v="Matteo Darmian 2016-2017"/>
        <s v="Matteo Darmian 2015-2016"/>
        <s v="Matteo Guendouzi 2018-2019"/>
        <s v="Matthew Jarvis 2015-2016"/>
        <s v="Matthew Lowton 2018-2019"/>
        <s v="Matthew Lowton 2016-2017"/>
        <s v="Matthew Lowton 2017-2018"/>
        <s v="Matty James 2017-2018"/>
        <s v="Mauro Zárate 2015-2016"/>
        <s v="Max Meyer 2018-2019"/>
        <s v="Max-Alain Gradel 2015-2016"/>
        <s v="Max-Alain Gradel 2016-2017"/>
        <s v="Maxime Le Marchand 2018-2019"/>
        <s v="Maya Yoshida 2015-2016"/>
        <s v="Maya Yoshida 2017-2018"/>
        <s v="Maya Yoshida 2016-2017"/>
        <s v="Maya Yoshida 2018-2019"/>
        <s v="Memphis Depay 2015-2016"/>
        <s v="Mesut Özil 2015-2016"/>
        <s v="Mesut Özil 2017-2018"/>
        <s v="Mesut Özil 2018-2019"/>
        <s v="Mesut Özil 2016-2017"/>
        <s v="Micah Richards 2015-2016"/>
        <s v="Michael Carrick 2015-2016"/>
        <s v="Michael Carrick 2016-2017"/>
        <s v="Michael Dawson 2016-2017"/>
        <s v="Michael Keane 2016-2017"/>
        <s v="Michael Keane 2018-2019"/>
        <s v="Michael Keane 2017-2018"/>
        <s v="Michail Antonio 2015-2016"/>
        <s v="Michail Antonio 2016-2017"/>
        <s v="Michail Antonio 2018-2019"/>
        <s v="Michail Antonio 2017-2018"/>
        <s v="Michy Batshuayi 2016-2017"/>
        <s v="Michy Batshuayi 2017-2018"/>
        <s v="Michy Batshuayi 2018-2019"/>
        <s v="Miguel Almirón 2018-2019"/>
        <s v="Miguel Britos 2016-2017"/>
        <s v="Miguel Britos 2015-2016"/>
        <s v="Miguel Britos 2017-2018"/>
        <s v="Mike van der Hoorn 2017-2018"/>
        <s v="Mikel Merino 2017-2018"/>
        <s v="Mile Jedinak 2015-2016"/>
        <s v="Modou Barrow 2015-2016"/>
        <s v="Modou Barrow 2016-2017"/>
        <s v="Mohamed Diamé 2017-2018"/>
        <s v="Mohamed Diamé 2018-2019"/>
        <s v="Mohamed Elneny 2015-2016"/>
        <s v="Mohamed Elneny 2016-2017"/>
        <s v="Mohamed Elneny 2017-2018"/>
        <s v="Mohamed Elyounoussi 2018-2019"/>
        <s v="Mohamed Salah 2017-2018"/>
        <s v="Mohamed Salah 2018-2019"/>
        <s v="Morgan Gibbs-White 2018-2019"/>
        <s v="Morgan Schneiderlin 2015-2016"/>
        <s v="Morgan Schneiderlin 2016-2017"/>
        <s v="Morgan Schneiderlin 2017-2018"/>
        <s v="Morgan Schneiderlin 2018-2019"/>
        <s v="Moritz Bauer 2017-2018"/>
        <s v="Mousa Dembele 2016-2017"/>
        <s v="Mousa Dembele 2015-2016"/>
        <s v="Mousa Dembele 2017-2018"/>
        <s v="Mousa Dembele 2018-2019"/>
        <s v="Moussa Sissoko 2015-2016"/>
        <s v="Moussa Sissoko 2016-2017"/>
        <s v="Moussa Sissoko 2017-2018"/>
        <s v="Moussa Sissoko 2018-2019"/>
        <s v="Muhamed Besic 2015-2016"/>
        <s v="N'Golo Kanté 2016-2017"/>
        <s v="N'Golo Kanté 2015-2016"/>
        <s v="N'Golo Kanté 2017-2018"/>
        <s v="N'Golo Kanté 2018-2019"/>
        <s v="Naby Keita 2018-2019"/>
        <s v="Nacer Chadli 2015-2016"/>
        <s v="Nacer Chadli 2016-2017"/>
        <s v="Nacho Monreal 2015-2016"/>
        <s v="Nacho Monreal 2017-2018"/>
        <s v="Nacho Monreal 2016-2017"/>
        <s v="Nacho Monreal 2018-2019"/>
        <s v="Nampalys Mendy 2018-2019"/>
        <s v="Nathan Ake 2016-2017"/>
        <s v="Nathan Ake 2015-2016"/>
        <s v="Nathan Ake 2018-2019"/>
        <s v="Nathan Ake 2017-2018"/>
        <s v="Nathan Dyer 2015-2016"/>
        <s v="Nathan Dyer 2017-2018"/>
        <s v="Nathan Redmond 2017-2018"/>
        <s v="Nathan Redmond 2015-2016"/>
        <s v="Nathan Redmond 2016-2017"/>
        <s v="Nathan Redmond 2018-2019"/>
        <s v="Nathaniel Chalobah 2016-2017"/>
        <s v="Nathaniel Clyne 2015-2016"/>
        <s v="Nathaniel Clyne 2018-2019"/>
        <s v="Nathaniel Clyne 2016-2017"/>
        <s v="Nathaniel Mendez-Laing 2018-2019"/>
        <s v="Neil Taylor 2016-2017"/>
        <s v="Neil Taylor 2015-2016"/>
        <s v="Nemanja Matic 2015-2016"/>
        <s v="Nemanja Matic 2016-2017"/>
        <s v="Nemanja Matic 2017-2018"/>
        <s v="Nemanja Matic 2018-2019"/>
        <s v="Nicolás Otamendi 2015-2016"/>
        <s v="Nicolás Otamendi 2016-2017"/>
        <s v="Nicolás Otamendi 2018-2019"/>
        <s v="Nicolás Otamendi 2017-2018"/>
        <s v="Nikica Jelavic 2015-2016"/>
        <s v="Nikola Vlasic 2017-2018"/>
        <s v="Nolito 2016-2017"/>
        <s v="Nordin Amrabat 2015-2016"/>
        <s v="Nordin Amrabat 2016-2017"/>
        <s v="Odion Ighalo 2015-2016"/>
        <s v="Odion Ighalo 2016-2017"/>
        <s v="Ola Toivonen 2015-2016"/>
        <s v="Oleksandr Zinchenko 2018-2019"/>
        <s v="Oliver Burke 2017-2018"/>
        <s v="Oliver McBurnie 2017-2018"/>
        <s v="Olivier Giroud 2017-2018"/>
        <s v="Olivier Giroud 2018-2019"/>
        <s v="Olivier Giroud 2015-2016"/>
        <s v="Olivier Giroud 2016-2017"/>
        <s v="Oriol Romeu 2015-2016"/>
        <s v="Oriol Romeu 2016-2017"/>
        <s v="Oriol Romeu 2017-2018"/>
        <s v="Oriol Romeu 2018-2019"/>
        <s v="Oscar 2015-2016"/>
        <s v="Oumar Niasse 2016-2017"/>
        <s v="Oumar Niasse 2017-2018"/>
        <s v="Oumar Niasse 2018-2019"/>
        <s v="Pablo Zabaleta 2016-2017"/>
        <s v="Pablo Zabaleta 2015-2016"/>
        <s v="Pablo Zabaleta 2017-2018"/>
        <s v="Pablo Zabaleta 2018-2019"/>
        <s v="Pape Souaré 2015-2016"/>
        <s v="Papiss Cissé 2015-2016"/>
        <s v="Papy Djilobodji 2016-2017"/>
        <s v="Pascal Groß 2017-2018"/>
        <s v="Pascal Groß 2018-2019"/>
        <s v="Patrick Bamford 2015-2016"/>
        <s v="Patrick Bamford 2016-2017"/>
        <s v="Patrick van Aanholt 2017-2018"/>
        <s v="Patrick van Aanholt 2015-2016"/>
        <s v="Patrick van Aanholt 2018-2019"/>
        <s v="Patrick van Aanholt 2016-2017"/>
        <s v="Paul Dummett 2018-2019"/>
        <s v="Paul Dummett 2017-2018"/>
        <s v="Paul Dummett 2015-2016"/>
        <s v="Paul Pogba 2016-2017"/>
        <s v="Paul Pogba 2017-2018"/>
        <s v="Paul Pogba 2018-2019"/>
        <s v="Pedro 2015-2016"/>
        <s v="Pedro 2016-2017"/>
        <s v="Pedro 2017-2018"/>
        <s v="Pedro 2018-2019"/>
        <s v="Pedro Obiang 2015-2016"/>
        <s v="Pedro Obiang 2016-2017"/>
        <s v="Pedro Obiang 2017-2018"/>
        <s v="Pedro Obiang 2018-2019"/>
        <s v="Per Mertesacker 2015-2016"/>
        <s v="Peter Crouch 2015-2016"/>
        <s v="Peter Crouch 2016-2017"/>
        <s v="Peter Crouch 2017-2018"/>
        <s v="Phil Bardsley 2015-2016"/>
        <s v="Phil Bardsley 2018-2019"/>
        <s v="Phil Bardsley 2017-2018"/>
        <s v="Phil Bardsley 2016-2017"/>
        <s v="Phil Foden 2018-2019"/>
        <s v="Phil Jagielka 2016-2017"/>
        <s v="Phil Jagielka 2017-2018"/>
        <s v="Phil Jagielka 2015-2016"/>
        <s v="Phil Jones 2015-2016"/>
        <s v="Phil Jones 2017-2018"/>
        <s v="Phil Jones 2018-2019"/>
        <s v="Phil Jones 2016-2017"/>
        <s v="Philip Billing 2017-2018"/>
        <s v="Philip Billing 2018-2019"/>
        <s v="Philipp Wollscheid 2015-2016"/>
        <s v="Philippe Coutinho 2015-2016"/>
        <s v="Philippe Coutinho 2016-2017"/>
        <s v="Philippe Coutinho 2017-2018"/>
        <s v="Pierre-Emerick Aubameyang 2017-2018"/>
        <s v="Pierre-Emerick Aubameyang 2018-2019"/>
        <s v="Pierre-Emile Højbjerg 2018-2019"/>
        <s v="Pierre-Emile Højbjerg 2016-2017"/>
        <s v="Pierre-Emile Højbjerg 2017-2018"/>
        <s v="Rúben Neves 2018-2019"/>
        <s v="Rúben Vinagre 2018-2019"/>
        <s v="Raúl Jiménez 2018-2019"/>
        <s v="Rachid Ghezzal 2018-2019"/>
        <s v="Radamel Falcao 2015-2016"/>
        <s v="Ragnar Klavan 2016-2017"/>
        <s v="Ragnar Klavan 2017-2018"/>
        <s v="Raheem Sterling 2015-2016"/>
        <s v="Raheem Sterling 2016-2017"/>
        <s v="Raheem Sterling 2017-2018"/>
        <s v="Raheem Sterling 2018-2019"/>
        <s v="Rajiv van La Parra 2017-2018"/>
        <s v="Ramadan Sobhi 2016-2017"/>
        <s v="Ramadan Sobhi 2017-2018"/>
        <s v="Ramires 2015-2016"/>
        <s v="Ramiro Funes Mori 2016-2017"/>
        <s v="Ramiro Funes Mori 2015-2016"/>
        <s v="Renato Sanches 2017-2018"/>
        <s v="Ricardo Pereira 2018-2019"/>
        <s v="Richarlison 2017-2018"/>
        <s v="Richarlison 2018-2019"/>
        <s v="Rickie Lambert 2015-2016"/>
        <s v="Ritchie de Laet 2015-2016"/>
        <s v="Riyad Mahrez 2015-2016"/>
        <s v="Riyad Mahrez 2016-2017"/>
        <s v="Riyad Mahrez 2017-2018"/>
        <s v="Riyad Mahrez 2018-2019"/>
        <s v="Rob Holding 2018-2019"/>
        <s v="Rob Holding 2017-2018"/>
        <s v="Robbie Brady 2015-2016"/>
        <s v="Robbie Brady 2016-2017"/>
        <s v="Robbie Brady 2017-2018"/>
        <s v="Robbie Brady 2018-2019"/>
        <s v="Robert Huth 2015-2016"/>
        <s v="Robert Huth 2016-2017"/>
        <s v="Robert Snodgrass 2016-2017"/>
        <s v="Robert Snodgrass 2018-2019"/>
        <s v="Roberto Firmino 2015-2016"/>
        <s v="Roberto Firmino 2016-2017"/>
        <s v="Roberto Firmino 2017-2018"/>
        <s v="Roberto Firmino 2018-2019"/>
        <s v="Roberto Pereyra 2016-2017"/>
        <s v="Roberto Pereyra 2017-2018"/>
        <s v="Roberto Pereyra 2018-2019"/>
        <s v="Rolando Aarons 2015-2016"/>
        <s v="Romain Saïss 2018-2019"/>
        <s v="Romelu Lukaku 2015-2016"/>
        <s v="Romelu Lukaku 2016-2017"/>
        <s v="Romelu Lukaku 2017-2018"/>
        <s v="Romelu Lukaku 2018-2019"/>
        <s v="Roque Mesa 2017-2018"/>
        <s v="Ross Barkley 2015-2016"/>
        <s v="Ross Barkley 2016-2017"/>
        <s v="Ross Barkley 2018-2019"/>
        <s v="Ruben Loftus-Cheek 2017-2018"/>
        <s v="Ruben Loftus-Cheek 2015-2016"/>
        <s v="Ruben Loftus-Cheek 2018-2019"/>
        <s v="Rudy Gestede 2015-2016"/>
        <s v="Rudy Gestede 2016-2017"/>
        <s v="Russell Martin 2015-2016"/>
        <s v="Ryan Babel 2018-2019"/>
        <s v="Ryan Bennett 2015-2016"/>
        <s v="Ryan Bennett 2018-2019"/>
        <s v="Ryan Bertrand 2015-2016"/>
        <s v="Ryan Bertrand 2016-2017"/>
        <s v="Ryan Bertrand 2018-2019"/>
        <s v="Ryan Bertrand 2017-2018"/>
        <s v="Ryan Fraser 2016-2017"/>
        <s v="Ryan Fraser 2017-2018"/>
        <s v="Ryan Fraser 2018-2019"/>
        <s v="Ryan Fredericks 2018-2019"/>
        <s v="Ryan Mason 2015-2016"/>
        <s v="Ryan Mason 2016-2017"/>
        <s v="Ryan Sessegnon 2018-2019"/>
        <s v="Ryan Shawcross 2015-2016"/>
        <s v="Ryan Shawcross 2017-2018"/>
        <s v="Ryan Shawcross 2016-2017"/>
        <s v="Sébastien Pocognoli 2015-2016"/>
        <s v="Sadio Mané 2015-2016"/>
        <s v="Sadio Mané 2017-2018"/>
        <s v="Sadio Mané 2018-2019"/>
        <s v="Sadio Mané 2016-2017"/>
        <s v="Saido Berahino 2016-2017"/>
        <s v="Saido Berahino 2017-2018"/>
        <s v="Salomón Rondón 2016-2017"/>
        <s v="Salomón Rondón 2017-2018"/>
        <s v="Salomón Rondón 2018-2019"/>
        <s v="Salomón Rondón 2015-2016"/>
        <s v="Sam Byram 2016-2017"/>
        <s v="Sam Byram 2015-2016"/>
        <s v="Sam Clucas 2017-2018"/>
        <s v="Sam Clucas 2016-2017"/>
        <s v="Sam Field 2017-2018"/>
        <s v="Sam McQueen 2016-2017"/>
        <s v="Sam Vokes 2016-2017"/>
        <s v="Sam Vokes 2017-2018"/>
        <s v="Sam Vokes 2018-2019"/>
        <s v="Samir Nasri 2015-2016"/>
        <s v="Santi Cazorla 2015-2016"/>
        <s v="Scott Arfield 2016-2017"/>
        <s v="Scott Arfield 2017-2018"/>
        <s v="Scott Dann 2015-2016"/>
        <s v="Scott Dann 2018-2019"/>
        <s v="Scott Dann 2017-2018"/>
        <s v="Scott Dann 2016-2017"/>
        <s v="Scott Malone 2017-2018"/>
        <s v="Scott McTominay 2017-2018"/>
        <s v="Scott McTominay 2018-2019"/>
        <s v="Scott Sinclair 2015-2016"/>
        <s v="Sead Kolasinac 2017-2018"/>
        <s v="Sead Kolasinac 2018-2019"/>
        <s v="Seamus Coleman 2016-2017"/>
        <s v="Seamus Coleman 2015-2016"/>
        <s v="Seamus Coleman 2018-2019"/>
        <s v="Seamus Coleman 2017-2018"/>
        <s v="Sean Morrison 2018-2019"/>
        <s v="Sebastián Coates 2015-2016"/>
        <s v="Sebastian Larsson 2016-2017"/>
        <s v="Sebastian Larsson 2015-2016"/>
        <s v="Sebastian Prödl 2016-2017"/>
        <s v="Sebastian Prödl 2015-2016"/>
        <s v="Sebastian Prödl 2017-2018"/>
        <s v="Sebastien Bassong 2015-2016"/>
        <s v="Serge Aurier 2017-2018"/>
        <s v="Sergio Agüero 2015-2016"/>
        <s v="Sergio Agüero 2016-2017"/>
        <s v="Sergio Agüero 2017-2018"/>
        <s v="Sergio Agüero 2018-2019"/>
        <s v="Shane Duffy 2018-2019"/>
        <s v="Shane Duffy 2017-2018"/>
        <s v="Shane Long 2015-2016"/>
        <s v="Shane Long 2016-2017"/>
        <s v="Shane Long 2017-2018"/>
        <s v="Shane Long 2018-2019"/>
        <s v="Shinji Okazaki 2015-2016"/>
        <s v="Shinji Okazaki 2016-2017"/>
        <s v="Shinji Okazaki 2017-2018"/>
        <s v="Shinji Okazaki 2018-2019"/>
        <s v="Shkodran Mustafi 2018-2019"/>
        <s v="Shkodran Mustafi 2016-2017"/>
        <s v="Shkodran Mustafi 2017-2018"/>
        <s v="Siem de Jong 2015-2016"/>
        <s v="Simon Francis 2017-2018"/>
        <s v="Simon Francis 2015-2016"/>
        <s v="Simon Francis 2016-2017"/>
        <s v="Simon Francis 2018-2019"/>
        <s v="Sofiane Boufal 2016-2017"/>
        <s v="Sofiane Boufal 2017-2018"/>
        <s v="Sofiane Feghouli 2016-2017"/>
        <s v="Sokratis 2018-2019"/>
        <s v="Sol Bamba 2018-2019"/>
        <s v="Solly March 2017-2018"/>
        <s v="Solly March 2018-2019"/>
        <s v="Son Heung-Min 2015-2016"/>
        <s v="Son Heung-Min 2016-2017"/>
        <s v="Son Heung-Min 2017-2018"/>
        <s v="Son Heung-Min 2018-2019"/>
        <s v="Stéphane Sessègnon 2015-2016"/>
        <s v="Stefan Johansen 2018-2019"/>
        <s v="Stefano Okaka 2016-2017"/>
        <s v="Stefano Okaka 2017-2018"/>
        <s v="Stephan Lichtsteiner 2018-2019"/>
        <s v="Stephen Ireland 2015-2016"/>
        <s v="Stephen Kingsley 2016-2017"/>
        <s v="Stephen Ward 2017-2018"/>
        <s v="Stephen Ward 2016-2017"/>
        <s v="Steve Cook 2016-2017"/>
        <s v="Steve Cook 2017-2018"/>
        <s v="Steve Cook 2015-2016"/>
        <s v="Steve Cook 2018-2019"/>
        <s v="Steve Mounie 2017-2018"/>
        <s v="Steve Mounie 2018-2019"/>
        <s v="Steven Davis 2015-2016"/>
        <s v="Steven Davis 2016-2017"/>
        <s v="Steven Davis 2017-2018"/>
        <s v="Steven Defour 2016-2017"/>
        <s v="Steven Defour 2017-2018"/>
        <s v="Steven Fletcher 2015-2016"/>
        <s v="Steven Naismith 2015-2016"/>
        <s v="Steven Pienaar 2016-2017"/>
        <s v="Steven Taylor 2015-2016"/>
        <s v="Stewart Downing 2016-2017"/>
        <s v="Stuart Armstrong 2018-2019"/>
        <s v="Sylvain Distin 2015-2016"/>
        <s v="Tammy Abraham 2017-2018"/>
        <s v="Terence Kongolo 2017-2018"/>
        <s v="Terence Kongolo 2018-2019"/>
        <s v="Theo Walcott 2017-2018"/>
        <s v="Theo Walcott 2015-2016"/>
        <s v="Theo Walcott 2016-2017"/>
        <s v="Theo Walcott 2018-2019"/>
        <s v="Tiemoué Bakayoko 2017-2018"/>
        <s v="Tim Ream 2018-2019"/>
        <s v="Timm Klose 2015-2016"/>
        <s v="Timothy Fosu-Mensah 2017-2018"/>
        <s v="Timothy Fosu-Mensah 2018-2019"/>
        <s v="Toby Alderweireld 2015-2016"/>
        <s v="Toby Alderweireld 2018-2019"/>
        <s v="Toby Alderweireld 2016-2017"/>
        <s v="Toby Alderweireld 2017-2018"/>
        <s v="Tom Cairney 2018-2019"/>
        <s v="Tom Carroll 2017-2018"/>
        <s v="Tom Carroll 2015-2016"/>
        <s v="Tom Carroll 2016-2017"/>
        <s v="Tom Cleverley 2017-2018"/>
        <s v="Tom Cleverley 2015-2016"/>
        <s v="Tom Cleverley 2016-2017"/>
        <s v="Tom Cleverley 2018-2019"/>
        <s v="Tom Davies 2017-2018"/>
        <s v="Tom Davies 2016-2017"/>
        <s v="Tom Davies 2018-2019"/>
        <s v="Tom Huddlestone 2016-2017"/>
        <s v="Tom Ince 2017-2018"/>
        <s v="Tomer Hemed 2017-2018"/>
        <s v="Tommy Elphick 2015-2016"/>
        <s v="Tommy Smith 2017-2018"/>
        <s v="Tommy Smith 2018-2019"/>
        <s v="Trent Alexander-Arnold 2018-2019"/>
        <s v="Trent Alexander-Arnold 2017-2018"/>
        <s v="Troy Deeney 2015-2016"/>
        <s v="Troy Deeney 2016-2017"/>
        <s v="Troy Deeney 2017-2018"/>
        <s v="Troy Deeney 2018-2019"/>
        <s v="Víctor Camarasa 2018-2019"/>
        <s v="Vadis Odjidja-Ofoe 2015-2016"/>
        <s v="Valon Behrami 2015-2016"/>
        <s v="Valon Behrami 2016-2017"/>
        <s v="Vicente Iborra 2017-2018"/>
        <s v="Victor Anichebe 2015-2016"/>
        <s v="Victor Anichebe 2016-2017"/>
        <s v="Victor Lindelöf 2018-2019"/>
        <s v="Victor Lindelöf 2017-2018"/>
        <s v="Victor Moses 2015-2016"/>
        <s v="Victor Moses 2016-2017"/>
        <s v="Victor Moses 2017-2018"/>
        <s v="Victor Wanyama 2015-2016"/>
        <s v="Victor Wanyama 2016-2017"/>
        <s v="Victor Wanyama 2017-2018"/>
        <s v="Victor Wanyama 2018-2019"/>
        <s v="Viktor Fischer 2016-2017"/>
        <s v="Vincent Janssen 2016-2017"/>
        <s v="Vincent Kompany 2015-2016"/>
        <s v="Vincent Kompany 2017-2018"/>
        <s v="Vincent Kompany 2018-2019"/>
        <s v="Vincent Kompany 2016-2017"/>
        <s v="Virgil van Dijk 2016-2017"/>
        <s v="Virgil van Dijk 2018-2019"/>
        <s v="Virgil van Dijk 2015-2016"/>
        <s v="Virgil van Dijk 2017-2018"/>
        <s v="Vurnon Anita 2015-2016"/>
        <s v="Wahbi Khazri 2015-2016"/>
        <s v="Wahbi Khazri 2016-2017"/>
        <s v="Wayne Rooney 2015-2016"/>
        <s v="Wayne Rooney 2016-2017"/>
        <s v="Wayne Rooney 2017-2018"/>
        <s v="Wayne Routledge 2017-2018"/>
        <s v="Wayne Routledge 2015-2016"/>
        <s v="Wayne Routledge 2016-2017"/>
        <s v="Wes Hoolahan 2015-2016"/>
        <s v="Wes Morgan 2018-2019"/>
        <s v="Wes Morgan 2017-2018"/>
        <s v="Wes Morgan 2015-2016"/>
        <s v="Wes Morgan 2016-2017"/>
        <s v="Wesley Hoedt 2018-2019"/>
        <s v="Wesley Hoedt 2017-2018"/>
        <s v="Wilfred Ndidi 2017-2018"/>
        <s v="Wilfred Ndidi 2018-2019"/>
        <s v="Wilfred Ndidi 2016-2017"/>
        <s v="Wilfried Bony 2015-2016"/>
        <s v="Wilfried Bony 2016-2017"/>
        <s v="Wilfried Bony 2017-2018"/>
        <s v="Wilfried Zaha 2015-2016"/>
        <s v="Wilfried Zaha 2016-2017"/>
        <s v="Wilfried Zaha 2017-2018"/>
        <s v="Wilfried Zaha 2018-2019"/>
        <s v="Will Hughes 2017-2018"/>
        <s v="Will Hughes 2018-2019"/>
        <s v="Willian 2016-2017"/>
        <s v="Willian 2015-2016"/>
        <s v="Willian 2018-2019"/>
        <s v="Willian 2017-2018"/>
        <s v="Willy Boly 2018-2019"/>
        <s v="Winston Reid 2015-2016"/>
        <s v="Winston Reid 2017-2018"/>
        <s v="Winston Reid 2016-2017"/>
        <s v="Xherdan Shaqiri 2015-2016"/>
        <s v="Xherdan Shaqiri 2016-2017"/>
        <s v="Xherdan Shaqiri 2017-2018"/>
        <s v="Xherdan Shaqiri 2018-2019"/>
        <s v="Yan Valery 2018-2019"/>
        <s v="Yann M'Vila 2015-2016"/>
        <s v="Yannick Bolasie 2015-2016"/>
        <s v="Yannick Bolasie 2016-2017"/>
        <s v="Yannick Bolasie 2017-2018"/>
        <s v="Yaya Toure 2016-2017"/>
        <s v="Yaya Toure 2015-2016"/>
        <s v="Yaya Toure 2017-2018"/>
        <s v="Yerry Mina 2018-2019"/>
        <s v="Yohan Benalouane 2016-2017"/>
        <s v="Yohan Cabaye 2015-2016"/>
        <s v="Yohan Cabaye 2016-2017"/>
        <s v="Yohan Cabaye 2017-2018"/>
        <s v="Yoshinori Muto 2018-2019"/>
        <s v="Younes Kaboul 2016-2017"/>
        <s v="Younes Kaboul 2015-2016"/>
        <s v="Youri Tielemans 2018-2019"/>
        <s v="Yves Bissouma 2018-2019"/>
        <s v="Zanka 2018-2019"/>
        <s v="Zanka 2017-2018"/>
        <s v="Zlatan Ibrahimovic 2016-2017"/>
        <m/>
      </sharedItems>
    </cacheField>
    <cacheField name="Born " numFmtId="0">
      <sharedItems containsString="0" containsBlank="1" containsNumber="1" containsInteger="1" minValue="1977" maxValue="2000"/>
    </cacheField>
    <cacheField name="Age" numFmtId="0">
      <sharedItems containsString="0" containsBlank="1" containsNumber="1" containsInteger="1" minValue="17" maxValue="38"/>
    </cacheField>
    <cacheField name="Team" numFmtId="0">
      <sharedItems containsBlank="1" count="29">
        <s v="Swansea City"/>
        <s v="Chelsea"/>
        <s v="Middlesbrough"/>
        <s v="West Ham United"/>
        <s v="Everton"/>
        <s v="Burnley"/>
        <s v="Huddersfield Town"/>
        <s v="Arsenal"/>
        <s v="Crystal Palace"/>
        <s v="Watford"/>
        <s v="Hull City"/>
        <s v="Fulham"/>
        <s v="Sunderland"/>
        <s v="Liverpool"/>
        <s v="AFC Bournemouth"/>
        <s v="Aston Villa"/>
        <s v="Wolves"/>
        <s v="Leicester City"/>
        <s v="West Bromwich Albion"/>
        <s v="Manchester City"/>
        <s v="Newcastle United"/>
        <s v="Norwich City"/>
        <s v="Manchester United"/>
        <s v="Brighton and Hove Albion"/>
        <s v="Cardiff City"/>
        <s v="Stoke City"/>
        <s v="Tottenham"/>
        <s v="Southampton"/>
        <m/>
      </sharedItems>
    </cacheField>
    <cacheField name="Nation" numFmtId="0">
      <sharedItems containsBlank="1"/>
    </cacheField>
    <cacheField name="Previous Market Value" numFmtId="0">
      <sharedItems containsString="0" containsBlank="1" containsNumber="1" containsInteger="1" minValue="110000" maxValue="165000000"/>
    </cacheField>
    <cacheField name="Market Value" numFmtId="0">
      <sharedItems containsString="0" containsBlank="1" containsNumber="1" containsInteger="1" minValue="100000" maxValue="165000000"/>
    </cacheField>
    <cacheField name="Position" numFmtId="0">
      <sharedItems containsBlank="1" count="4">
        <s v="FW"/>
        <s v="DF"/>
        <s v="MF"/>
        <m/>
      </sharedItems>
    </cacheField>
    <cacheField name="App" numFmtId="0">
      <sharedItems containsString="0" containsBlank="1" containsNumber="1" containsInteger="1" minValue="10" maxValue="38"/>
    </cacheField>
    <cacheField name="Minutes" numFmtId="0">
      <sharedItems containsString="0" containsBlank="1" containsNumber="1" containsInteger="1" minValue="125" maxValue="3420"/>
    </cacheField>
    <cacheField name="Goals" numFmtId="0">
      <sharedItems containsString="0" containsBlank="1" containsNumber="1" containsInteger="1" minValue="0" maxValue="32" count="28">
        <n v="0"/>
        <n v="11"/>
        <n v="5"/>
        <n v="9"/>
        <n v="1"/>
        <n v="2"/>
        <n v="4"/>
        <n v="3"/>
        <n v="7"/>
        <n v="8"/>
        <n v="14"/>
        <n v="13"/>
        <n v="24"/>
        <n v="12"/>
        <n v="6"/>
        <n v="10"/>
        <n v="15"/>
        <n v="18"/>
        <n v="20"/>
        <n v="16"/>
        <n v="25"/>
        <n v="29"/>
        <n v="30"/>
        <n v="17"/>
        <n v="32"/>
        <n v="22"/>
        <n v="21"/>
        <m/>
      </sharedItems>
    </cacheField>
    <cacheField name="Passes" numFmtId="0">
      <sharedItems containsString="0" containsBlank="1" containsNumber="1" containsInteger="1" minValue="30" maxValue="3118"/>
    </cacheField>
    <cacheField name="Assists" numFmtId="0">
      <sharedItems containsString="0" containsBlank="1" containsNumber="1" containsInteger="1" minValue="0" maxValue="19" count="20">
        <n v="0"/>
        <n v="6"/>
        <n v="4"/>
        <n v="1"/>
        <n v="7"/>
        <n v="2"/>
        <n v="3"/>
        <n v="8"/>
        <n v="5"/>
        <n v="10"/>
        <n v="11"/>
        <n v="9"/>
        <n v="12"/>
        <n v="13"/>
        <n v="15"/>
        <n v="18"/>
        <n v="16"/>
        <n v="19"/>
        <n v="14"/>
        <m/>
      </sharedItems>
    </cacheField>
    <cacheField name="Yellow" numFmtId="0">
      <sharedItems containsString="0" containsBlank="1" containsNumber="1" containsInteger="1" minValue="0" maxValue="14" count="15">
        <n v="0"/>
        <n v="7"/>
        <n v="5"/>
        <n v="1"/>
        <n v="2"/>
        <n v="4"/>
        <n v="3"/>
        <n v="10"/>
        <n v="6"/>
        <n v="8"/>
        <n v="9"/>
        <n v="12"/>
        <n v="11"/>
        <n v="14"/>
        <m/>
      </sharedItems>
    </cacheField>
    <cacheField name="Red" numFmtId="0">
      <sharedItems containsString="0" containsBlank="1" containsNumber="1" containsInteger="1" minValue="0" maxValue="3" count="5">
        <n v="0"/>
        <n v="1"/>
        <n v="2"/>
        <n v="3"/>
        <m/>
      </sharedItems>
    </cacheField>
    <cacheField name="SubOn" numFmtId="0">
      <sharedItems containsString="0" containsBlank="1" containsNumber="1" containsInteger="1" minValue="0" maxValue="24"/>
    </cacheField>
    <cacheField name="SubOff" numFmtId="0">
      <sharedItems containsString="0" containsBlank="1" containsNumber="1" containsInteger="1" minValue="0" maxValue="25"/>
    </cacheField>
    <cacheField name="Shots" numFmtId="0">
      <sharedItems containsString="0" containsBlank="1" containsNumber="1" containsInteger="1" minValue="0" maxValue="184"/>
    </cacheField>
    <cacheField name="SOT" numFmtId="0">
      <sharedItems containsString="0" containsBlank="1" containsNumber="1" containsInteger="1" minValue="0" maxValue="76"/>
    </cacheField>
    <cacheField name="HitPost " numFmtId="0">
      <sharedItems containsString="0" containsBlank="1" containsNumber="1" containsInteger="1" minValue="0" maxValue="9"/>
    </cacheField>
    <cacheField name="HeadClear" numFmtId="0">
      <sharedItems containsString="0" containsBlank="1" containsNumber="1" containsInteger="1" minValue="0" maxValue="237"/>
    </cacheField>
    <cacheField name="HeadGoal" numFmtId="0">
      <sharedItems containsString="0" containsBlank="1" containsNumber="1" containsInteger="1" minValue="0" maxValue="8"/>
    </cacheField>
    <cacheField name="PKScored" numFmtId="0">
      <sharedItems containsString="0" containsBlank="1" containsNumber="1" containsInteger="1" minValue="0" maxValue="10"/>
    </cacheField>
    <cacheField name="FKGoal" numFmtId="0">
      <sharedItems containsString="0" containsBlank="1" containsNumber="1" containsInteger="1" minValue="0" maxValue="3"/>
    </cacheField>
    <cacheField name="Offsides" numFmtId="0">
      <sharedItems containsString="0" containsBlank="1" containsNumber="1" containsInteger="1" minValue="0" maxValue="53"/>
    </cacheField>
    <cacheField name="ThrBall" numFmtId="0">
      <sharedItems containsString="0" containsBlank="1" containsNumber="1" containsInteger="1" minValue="0" maxValue="48"/>
    </cacheField>
    <cacheField name="Misses" numFmtId="0">
      <sharedItems containsString="0" containsBlank="1" containsNumber="1" containsInteger="1" minValue="0" maxValue="108"/>
    </cacheField>
    <cacheField name="Corners" numFmtId="0">
      <sharedItems containsString="0" containsBlank="1" containsNumber="1" containsInteger="1" minValue="0" maxValue="195"/>
    </cacheField>
    <cacheField name="Crosses" numFmtId="0">
      <sharedItems containsString="0" containsBlank="1" containsNumber="1" containsInteger="1" minValue="0" maxValue="304"/>
    </cacheField>
    <cacheField name="Blocks" numFmtId="0">
      <sharedItems containsString="0" containsBlank="1" containsNumber="1" containsInteger="1" minValue="0" maxValue="59"/>
    </cacheField>
    <cacheField name="Interceptions" numFmtId="0">
      <sharedItems containsString="0" containsBlank="1" containsNumber="1" containsInteger="1" minValue="0" maxValue="156"/>
    </cacheField>
    <cacheField name="Fouls" numFmtId="0">
      <sharedItems containsString="0" containsBlank="1" containsNumber="1" containsInteger="1" minValue="0" maxValue="81"/>
    </cacheField>
    <cacheField name="Last man " numFmtId="0">
      <sharedItems containsString="0" containsBlank="1" containsNumber="1" containsInteger="1" minValue="0" maxValue="3"/>
    </cacheField>
    <cacheField name="Tackles" numFmtId="0">
      <sharedItems containsString="0" containsBlank="1" containsNumber="1" containsInteger="1" minValue="0" maxValue="175"/>
    </cacheField>
    <cacheField name="ELG" numFmtId="0">
      <sharedItems containsString="0" containsBlank="1" containsNumber="1" containsInteger="1" minValue="0" maxValue="3"/>
    </cacheField>
    <cacheField name="OwnGoal" numFmtId="0">
      <sharedItems containsString="0" containsBlank="1" containsNumber="1" containsInteger="1" minValue="0" maxValue="4"/>
    </cacheField>
    <cacheField name="Clears" numFmtId="0">
      <sharedItems containsString="0" containsBlank="1" containsNumber="1" containsInteger="1" minValue="0" maxValue="352"/>
    </cacheField>
    <cacheField name="ABW" numFmtId="0">
      <sharedItems containsString="0" containsBlank="1" containsNumber="1" containsInteger="1" minValue="0" maxValue="322"/>
    </cacheField>
    <cacheField name="ABL" numFmtId="0">
      <sharedItems containsString="0" containsBlank="1" containsNumber="1" containsInteger="1" minValue="0" maxValue="2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9">
  <r>
    <x v="0"/>
    <x v="0"/>
    <x v="0"/>
    <n v="1987"/>
    <n v="27"/>
    <x v="0"/>
    <s v="Portugal"/>
    <n v="5500000"/>
    <n v="4500000"/>
    <x v="0"/>
    <n v="13"/>
    <n v="269"/>
    <x v="0"/>
    <n v="86"/>
    <x v="0"/>
    <x v="0"/>
    <x v="0"/>
    <n v="11"/>
    <n v="2"/>
    <n v="5"/>
    <n v="1"/>
    <n v="0"/>
    <n v="5"/>
    <n v="0"/>
    <n v="0"/>
    <n v="0"/>
    <n v="1"/>
    <n v="0"/>
    <n v="0"/>
    <n v="0"/>
    <n v="2"/>
    <n v="0"/>
    <n v="0"/>
    <n v="11"/>
    <n v="0"/>
    <n v="4"/>
    <n v="0"/>
    <n v="0"/>
    <n v="7"/>
    <n v="9"/>
    <n v="20"/>
  </r>
  <r>
    <x v="1"/>
    <x v="1"/>
    <x v="1"/>
    <n v="1992"/>
    <n v="25"/>
    <x v="1"/>
    <s v="Spain"/>
    <n v="44000000"/>
    <n v="58500000"/>
    <x v="0"/>
    <n v="31"/>
    <n v="2067"/>
    <x v="1"/>
    <n v="576"/>
    <x v="1"/>
    <x v="1"/>
    <x v="0"/>
    <n v="7"/>
    <n v="12"/>
    <n v="79"/>
    <n v="34"/>
    <n v="1"/>
    <n v="13"/>
    <n v="7"/>
    <n v="0"/>
    <n v="0"/>
    <n v="29"/>
    <n v="3"/>
    <n v="45"/>
    <n v="0"/>
    <n v="19"/>
    <n v="4"/>
    <n v="6"/>
    <n v="41"/>
    <n v="0"/>
    <n v="13"/>
    <n v="0"/>
    <n v="0"/>
    <n v="20"/>
    <n v="54"/>
    <n v="59"/>
  </r>
  <r>
    <x v="1"/>
    <x v="2"/>
    <x v="2"/>
    <n v="1992"/>
    <n v="25"/>
    <x v="1"/>
    <s v="Spain"/>
    <n v="58500000"/>
    <n v="45000000"/>
    <x v="0"/>
    <n v="16"/>
    <n v="943"/>
    <x v="2"/>
    <n v="229"/>
    <x v="0"/>
    <x v="0"/>
    <x v="0"/>
    <n v="5"/>
    <n v="7"/>
    <n v="35"/>
    <n v="16"/>
    <n v="0"/>
    <n v="4"/>
    <n v="0"/>
    <n v="0"/>
    <n v="0"/>
    <n v="20"/>
    <n v="1"/>
    <n v="19"/>
    <n v="0"/>
    <n v="3"/>
    <n v="1"/>
    <n v="0"/>
    <n v="19"/>
    <n v="0"/>
    <n v="8"/>
    <n v="0"/>
    <n v="0"/>
    <n v="6"/>
    <n v="18"/>
    <n v="28"/>
  </r>
  <r>
    <x v="2"/>
    <x v="3"/>
    <x v="3"/>
    <n v="1985"/>
    <n v="30"/>
    <x v="2"/>
    <s v="Spain"/>
    <n v="8250000"/>
    <n v="6750000"/>
    <x v="0"/>
    <n v="36"/>
    <n v="2877"/>
    <x v="3"/>
    <n v="862"/>
    <x v="2"/>
    <x v="2"/>
    <x v="0"/>
    <n v="3"/>
    <n v="13"/>
    <n v="69"/>
    <n v="23"/>
    <n v="0"/>
    <n v="46"/>
    <n v="1"/>
    <n v="0"/>
    <n v="0"/>
    <n v="17"/>
    <n v="3"/>
    <n v="5"/>
    <n v="0"/>
    <n v="8"/>
    <n v="3"/>
    <n v="10"/>
    <n v="45"/>
    <n v="0"/>
    <n v="18"/>
    <n v="0"/>
    <n v="0"/>
    <n v="65"/>
    <n v="175"/>
    <n v="177"/>
  </r>
  <r>
    <x v="3"/>
    <x v="2"/>
    <x v="4"/>
    <n v="1989"/>
    <n v="28"/>
    <x v="3"/>
    <s v="England"/>
    <n v="13200000"/>
    <n v="9900000"/>
    <x v="1"/>
    <n v="20"/>
    <n v="1590"/>
    <x v="0"/>
    <n v="812"/>
    <x v="3"/>
    <x v="3"/>
    <x v="0"/>
    <n v="2"/>
    <n v="2"/>
    <n v="11"/>
    <n v="0"/>
    <n v="0"/>
    <n v="23"/>
    <n v="0"/>
    <n v="0"/>
    <n v="0"/>
    <n v="1"/>
    <n v="0"/>
    <n v="11"/>
    <n v="8"/>
    <n v="75"/>
    <n v="7"/>
    <n v="23"/>
    <n v="2"/>
    <n v="1"/>
    <n v="29"/>
    <n v="0"/>
    <n v="0"/>
    <n v="42"/>
    <n v="25"/>
    <n v="18"/>
  </r>
  <r>
    <x v="3"/>
    <x v="1"/>
    <x v="5"/>
    <n v="1989"/>
    <n v="28"/>
    <x v="3"/>
    <s v="England"/>
    <n v="13200000"/>
    <n v="13200000"/>
    <x v="1"/>
    <n v="36"/>
    <n v="3071"/>
    <x v="4"/>
    <n v="1299"/>
    <x v="4"/>
    <x v="1"/>
    <x v="0"/>
    <n v="1"/>
    <n v="5"/>
    <n v="21"/>
    <n v="6"/>
    <n v="2"/>
    <n v="67"/>
    <n v="0"/>
    <n v="0"/>
    <n v="1"/>
    <n v="3"/>
    <n v="3"/>
    <n v="15"/>
    <n v="67"/>
    <n v="196"/>
    <n v="17"/>
    <n v="44"/>
    <n v="20"/>
    <n v="0"/>
    <n v="34"/>
    <n v="0"/>
    <n v="0"/>
    <n v="110"/>
    <n v="57"/>
    <n v="48"/>
  </r>
  <r>
    <x v="3"/>
    <x v="0"/>
    <x v="6"/>
    <n v="1989"/>
    <n v="25"/>
    <x v="3"/>
    <s v="England"/>
    <n v="9900000"/>
    <n v="13200000"/>
    <x v="1"/>
    <n v="37"/>
    <n v="3315"/>
    <x v="5"/>
    <n v="1377"/>
    <x v="2"/>
    <x v="3"/>
    <x v="0"/>
    <n v="0"/>
    <n v="1"/>
    <n v="28"/>
    <n v="7"/>
    <n v="1"/>
    <n v="52"/>
    <n v="0"/>
    <n v="0"/>
    <n v="0"/>
    <n v="1"/>
    <n v="1"/>
    <n v="0"/>
    <n v="0"/>
    <n v="121"/>
    <n v="17"/>
    <n v="70"/>
    <n v="22"/>
    <n v="0"/>
    <n v="38"/>
    <n v="3"/>
    <n v="0"/>
    <n v="88"/>
    <n v="40"/>
    <n v="34"/>
  </r>
  <r>
    <x v="3"/>
    <x v="3"/>
    <x v="7"/>
    <n v="1989"/>
    <n v="26"/>
    <x v="3"/>
    <s v="England"/>
    <n v="13200000"/>
    <n v="13200000"/>
    <x v="1"/>
    <n v="26"/>
    <n v="2117"/>
    <x v="0"/>
    <n v="758"/>
    <x v="5"/>
    <x v="4"/>
    <x v="1"/>
    <n v="2"/>
    <n v="3"/>
    <n v="11"/>
    <n v="2"/>
    <n v="0"/>
    <n v="27"/>
    <n v="0"/>
    <n v="0"/>
    <n v="0"/>
    <n v="4"/>
    <n v="0"/>
    <n v="1"/>
    <n v="0"/>
    <n v="97"/>
    <n v="6"/>
    <n v="25"/>
    <n v="11"/>
    <n v="0"/>
    <n v="21"/>
    <n v="1"/>
    <n v="0"/>
    <n v="61"/>
    <n v="36"/>
    <n v="33"/>
  </r>
  <r>
    <x v="4"/>
    <x v="0"/>
    <x v="8"/>
    <n v="1987"/>
    <n v="28"/>
    <x v="4"/>
    <s v="England"/>
    <n v="9350000"/>
    <n v="6600000"/>
    <x v="2"/>
    <n v="25"/>
    <n v="1539"/>
    <x v="2"/>
    <n v="477"/>
    <x v="0"/>
    <x v="3"/>
    <x v="0"/>
    <n v="8"/>
    <n v="8"/>
    <n v="18"/>
    <n v="11"/>
    <n v="0"/>
    <n v="5"/>
    <n v="0"/>
    <n v="0"/>
    <n v="0"/>
    <n v="1"/>
    <n v="0"/>
    <n v="0"/>
    <n v="1"/>
    <n v="34"/>
    <n v="0"/>
    <n v="8"/>
    <n v="13"/>
    <n v="0"/>
    <n v="35"/>
    <n v="0"/>
    <n v="0"/>
    <n v="15"/>
    <n v="1"/>
    <n v="4"/>
  </r>
  <r>
    <x v="4"/>
    <x v="3"/>
    <x v="9"/>
    <n v="1987"/>
    <n v="29"/>
    <x v="4"/>
    <s v="England"/>
    <n v="6600000"/>
    <n v="5500000"/>
    <x v="2"/>
    <n v="11"/>
    <n v="509"/>
    <x v="0"/>
    <n v="134"/>
    <x v="3"/>
    <x v="0"/>
    <x v="0"/>
    <n v="5"/>
    <n v="5"/>
    <n v="5"/>
    <n v="0"/>
    <n v="0"/>
    <n v="1"/>
    <n v="0"/>
    <n v="0"/>
    <n v="0"/>
    <n v="0"/>
    <n v="0"/>
    <n v="0"/>
    <n v="0"/>
    <n v="11"/>
    <n v="1"/>
    <n v="3"/>
    <n v="1"/>
    <n v="0"/>
    <n v="13"/>
    <n v="0"/>
    <n v="0"/>
    <n v="9"/>
    <n v="0"/>
    <n v="5"/>
  </r>
  <r>
    <x v="4"/>
    <x v="2"/>
    <x v="10"/>
    <n v="1987"/>
    <n v="31"/>
    <x v="5"/>
    <s v="England"/>
    <n v="5500000"/>
    <n v="5500000"/>
    <x v="2"/>
    <n v="16"/>
    <n v="1215"/>
    <x v="4"/>
    <n v="277"/>
    <x v="3"/>
    <x v="3"/>
    <x v="0"/>
    <n v="2"/>
    <n v="4"/>
    <n v="4"/>
    <n v="2"/>
    <n v="0"/>
    <n v="2"/>
    <n v="0"/>
    <n v="0"/>
    <n v="0"/>
    <n v="0"/>
    <n v="1"/>
    <n v="2"/>
    <n v="0"/>
    <n v="24"/>
    <n v="0"/>
    <n v="10"/>
    <n v="12"/>
    <n v="0"/>
    <n v="26"/>
    <n v="0"/>
    <n v="0"/>
    <n v="12"/>
    <n v="2"/>
    <n v="12"/>
  </r>
  <r>
    <x v="4"/>
    <x v="1"/>
    <x v="11"/>
    <n v="1987"/>
    <n v="30"/>
    <x v="5"/>
    <s v="England"/>
    <n v="5500000"/>
    <n v="5500000"/>
    <x v="2"/>
    <n v="29"/>
    <n v="1916"/>
    <x v="0"/>
    <n v="468"/>
    <x v="5"/>
    <x v="4"/>
    <x v="0"/>
    <n v="7"/>
    <n v="14"/>
    <n v="14"/>
    <n v="5"/>
    <n v="1"/>
    <n v="3"/>
    <n v="0"/>
    <n v="0"/>
    <n v="0"/>
    <n v="0"/>
    <n v="0"/>
    <n v="9"/>
    <n v="0"/>
    <n v="38"/>
    <n v="6"/>
    <n v="19"/>
    <n v="21"/>
    <n v="0"/>
    <n v="37"/>
    <n v="0"/>
    <n v="0"/>
    <n v="16"/>
    <n v="12"/>
    <n v="19"/>
  </r>
  <r>
    <x v="5"/>
    <x v="1"/>
    <x v="12"/>
    <n v="1990"/>
    <n v="27"/>
    <x v="6"/>
    <s v="Australia"/>
    <n v="5500000"/>
    <n v="11000000"/>
    <x v="2"/>
    <n v="36"/>
    <n v="3071"/>
    <x v="6"/>
    <n v="1902"/>
    <x v="6"/>
    <x v="2"/>
    <x v="0"/>
    <n v="2"/>
    <n v="5"/>
    <n v="29"/>
    <n v="7"/>
    <n v="1"/>
    <n v="9"/>
    <n v="0"/>
    <n v="1"/>
    <n v="0"/>
    <n v="2"/>
    <n v="4"/>
    <n v="22"/>
    <n v="78"/>
    <n v="185"/>
    <n v="5"/>
    <n v="38"/>
    <n v="26"/>
    <n v="0"/>
    <n v="102"/>
    <n v="0"/>
    <n v="0"/>
    <n v="48"/>
    <n v="0"/>
    <n v="39"/>
  </r>
  <r>
    <x v="5"/>
    <x v="2"/>
    <x v="13"/>
    <n v="1990"/>
    <n v="27"/>
    <x v="6"/>
    <s v="Australia"/>
    <n v="11000000"/>
    <n v="15400000"/>
    <x v="2"/>
    <n v="29"/>
    <n v="2327"/>
    <x v="7"/>
    <n v="1278"/>
    <x v="3"/>
    <x v="5"/>
    <x v="0"/>
    <n v="4"/>
    <n v="1"/>
    <n v="43"/>
    <n v="14"/>
    <n v="1"/>
    <n v="7"/>
    <n v="0"/>
    <n v="0"/>
    <n v="1"/>
    <n v="1"/>
    <n v="2"/>
    <n v="29"/>
    <n v="75"/>
    <n v="137"/>
    <n v="7"/>
    <n v="15"/>
    <n v="26"/>
    <n v="0"/>
    <n v="62"/>
    <n v="0"/>
    <n v="0"/>
    <n v="21"/>
    <n v="15"/>
    <n v="27"/>
  </r>
  <r>
    <x v="6"/>
    <x v="0"/>
    <x v="14"/>
    <n v="1990"/>
    <n v="24"/>
    <x v="7"/>
    <s v="Wales"/>
    <n v="30800000"/>
    <n v="33000000"/>
    <x v="2"/>
    <n v="31"/>
    <n v="2623"/>
    <x v="2"/>
    <n v="2154"/>
    <x v="2"/>
    <x v="5"/>
    <x v="0"/>
    <n v="2"/>
    <n v="2"/>
    <n v="69"/>
    <n v="21"/>
    <n v="2"/>
    <n v="9"/>
    <n v="0"/>
    <n v="0"/>
    <n v="0"/>
    <n v="5"/>
    <n v="20"/>
    <n v="9"/>
    <n v="9"/>
    <n v="50"/>
    <n v="11"/>
    <n v="56"/>
    <n v="47"/>
    <n v="0"/>
    <n v="78"/>
    <n v="0"/>
    <n v="0"/>
    <n v="20"/>
    <n v="27"/>
    <n v="26"/>
  </r>
  <r>
    <x v="6"/>
    <x v="3"/>
    <x v="15"/>
    <n v="1990"/>
    <n v="25"/>
    <x v="7"/>
    <s v="Wales"/>
    <n v="33000000"/>
    <n v="38500000"/>
    <x v="2"/>
    <n v="23"/>
    <n v="1229"/>
    <x v="4"/>
    <n v="920"/>
    <x v="2"/>
    <x v="6"/>
    <x v="0"/>
    <n v="10"/>
    <n v="3"/>
    <n v="42"/>
    <n v="12"/>
    <n v="0"/>
    <n v="3"/>
    <n v="0"/>
    <n v="0"/>
    <n v="0"/>
    <n v="2"/>
    <n v="3"/>
    <n v="2"/>
    <n v="0"/>
    <n v="19"/>
    <n v="3"/>
    <n v="11"/>
    <n v="15"/>
    <n v="0"/>
    <n v="21"/>
    <n v="0"/>
    <n v="0"/>
    <n v="14"/>
    <n v="7"/>
    <n v="10"/>
  </r>
  <r>
    <x v="6"/>
    <x v="1"/>
    <x v="16"/>
    <n v="1990"/>
    <n v="27"/>
    <x v="7"/>
    <s v="Wales"/>
    <n v="38500000"/>
    <n v="49500000"/>
    <x v="2"/>
    <n v="24"/>
    <n v="1846"/>
    <x v="8"/>
    <n v="1239"/>
    <x v="7"/>
    <x v="0"/>
    <x v="0"/>
    <n v="3"/>
    <n v="5"/>
    <n v="56"/>
    <n v="25"/>
    <n v="2"/>
    <n v="4"/>
    <n v="0"/>
    <n v="0"/>
    <n v="0"/>
    <n v="0"/>
    <n v="10"/>
    <n v="31"/>
    <n v="0"/>
    <n v="17"/>
    <n v="3"/>
    <n v="24"/>
    <n v="28"/>
    <n v="0"/>
    <n v="35"/>
    <n v="0"/>
    <n v="0"/>
    <n v="6"/>
    <n v="10"/>
    <n v="16"/>
  </r>
  <r>
    <x v="6"/>
    <x v="2"/>
    <x v="17"/>
    <n v="1990"/>
    <n v="27"/>
    <x v="7"/>
    <s v="Wales"/>
    <n v="49500000"/>
    <n v="44000000"/>
    <x v="2"/>
    <n v="28"/>
    <n v="1328"/>
    <x v="6"/>
    <n v="773"/>
    <x v="1"/>
    <x v="0"/>
    <x v="0"/>
    <n v="14"/>
    <n v="10"/>
    <n v="33"/>
    <n v="13"/>
    <n v="0"/>
    <n v="0"/>
    <n v="0"/>
    <n v="0"/>
    <n v="0"/>
    <n v="4"/>
    <n v="5"/>
    <n v="20"/>
    <n v="1"/>
    <n v="15"/>
    <n v="1"/>
    <n v="9"/>
    <n v="21"/>
    <n v="0"/>
    <n v="34"/>
    <n v="0"/>
    <n v="0"/>
    <n v="3"/>
    <n v="13"/>
    <n v="21"/>
  </r>
  <r>
    <x v="7"/>
    <x v="2"/>
    <x v="18"/>
    <n v="1997"/>
    <n v="21"/>
    <x v="8"/>
    <s v="England"/>
    <n v="900000"/>
    <n v="31500000"/>
    <x v="1"/>
    <n v="35"/>
    <n v="3135"/>
    <x v="0"/>
    <n v="1165"/>
    <x v="6"/>
    <x v="5"/>
    <x v="1"/>
    <n v="0"/>
    <n v="0"/>
    <n v="9"/>
    <n v="0"/>
    <n v="0"/>
    <n v="59"/>
    <n v="0"/>
    <n v="0"/>
    <n v="0"/>
    <n v="2"/>
    <n v="0"/>
    <n v="9"/>
    <n v="0"/>
    <n v="56"/>
    <n v="16"/>
    <n v="84"/>
    <n v="23"/>
    <n v="0"/>
    <n v="129"/>
    <n v="0"/>
    <n v="0"/>
    <n v="129"/>
    <n v="43"/>
    <n v="30"/>
  </r>
  <r>
    <x v="8"/>
    <x v="3"/>
    <x v="19"/>
    <n v="1993"/>
    <n v="23"/>
    <x v="9"/>
    <s v="France"/>
    <n v="6600000"/>
    <n v="6600000"/>
    <x v="2"/>
    <n v="20"/>
    <n v="1359"/>
    <x v="4"/>
    <n v="833"/>
    <x v="0"/>
    <x v="5"/>
    <x v="0"/>
    <n v="6"/>
    <n v="3"/>
    <n v="22"/>
    <n v="8"/>
    <n v="0"/>
    <n v="6"/>
    <n v="0"/>
    <n v="0"/>
    <n v="0"/>
    <n v="0"/>
    <n v="0"/>
    <n v="1"/>
    <n v="0"/>
    <n v="5"/>
    <n v="4"/>
    <n v="21"/>
    <n v="12"/>
    <n v="0"/>
    <n v="17"/>
    <n v="0"/>
    <n v="0"/>
    <n v="22"/>
    <n v="14"/>
    <n v="21"/>
  </r>
  <r>
    <x v="8"/>
    <x v="1"/>
    <x v="20"/>
    <n v="1993"/>
    <n v="24"/>
    <x v="9"/>
    <s v="France"/>
    <n v="6600000"/>
    <n v="16500000"/>
    <x v="2"/>
    <n v="37"/>
    <n v="3325"/>
    <x v="8"/>
    <n v="2244"/>
    <x v="6"/>
    <x v="7"/>
    <x v="0"/>
    <n v="0"/>
    <n v="1"/>
    <n v="47"/>
    <n v="17"/>
    <n v="1"/>
    <n v="26"/>
    <n v="0"/>
    <n v="0"/>
    <n v="0"/>
    <n v="2"/>
    <n v="2"/>
    <n v="30"/>
    <n v="0"/>
    <n v="26"/>
    <n v="10"/>
    <n v="54"/>
    <n v="44"/>
    <n v="0"/>
    <n v="79"/>
    <n v="0"/>
    <n v="0"/>
    <n v="55"/>
    <n v="43"/>
    <n v="52"/>
  </r>
  <r>
    <x v="8"/>
    <x v="2"/>
    <x v="21"/>
    <n v="1993"/>
    <n v="25"/>
    <x v="9"/>
    <s v="France"/>
    <n v="16500000"/>
    <n v="27500000"/>
    <x v="2"/>
    <n v="35"/>
    <n v="3062"/>
    <x v="2"/>
    <n v="1942"/>
    <x v="1"/>
    <x v="0"/>
    <x v="0"/>
    <n v="1"/>
    <n v="1"/>
    <n v="52"/>
    <n v="17"/>
    <n v="0"/>
    <n v="22"/>
    <n v="2"/>
    <n v="0"/>
    <n v="0"/>
    <n v="2"/>
    <n v="5"/>
    <n v="35"/>
    <n v="1"/>
    <n v="11"/>
    <n v="8"/>
    <n v="34"/>
    <n v="36"/>
    <n v="0"/>
    <n v="71"/>
    <n v="1"/>
    <n v="1"/>
    <n v="54"/>
    <n v="41"/>
    <n v="37"/>
  </r>
  <r>
    <x v="9"/>
    <x v="0"/>
    <x v="22"/>
    <n v="1994"/>
    <n v="21"/>
    <x v="1"/>
    <s v="Ghana"/>
    <n v="10000000"/>
    <n v="12000000"/>
    <x v="1"/>
    <n v="15"/>
    <n v="1016"/>
    <x v="0"/>
    <n v="526"/>
    <x v="3"/>
    <x v="3"/>
    <x v="0"/>
    <n v="4"/>
    <n v="3"/>
    <n v="6"/>
    <n v="2"/>
    <n v="0"/>
    <n v="16"/>
    <n v="0"/>
    <n v="0"/>
    <n v="0"/>
    <n v="2"/>
    <n v="0"/>
    <n v="0"/>
    <n v="0"/>
    <n v="31"/>
    <n v="4"/>
    <n v="23"/>
    <n v="14"/>
    <n v="0"/>
    <n v="47"/>
    <n v="1"/>
    <n v="0"/>
    <n v="32"/>
    <n v="8"/>
    <n v="13"/>
  </r>
  <r>
    <x v="10"/>
    <x v="3"/>
    <x v="23"/>
    <n v="1990"/>
    <n v="25"/>
    <x v="10"/>
    <s v="Uruguay"/>
    <n v="7200000"/>
    <n v="7200000"/>
    <x v="0"/>
    <n v="24"/>
    <n v="1428"/>
    <x v="6"/>
    <n v="252"/>
    <x v="6"/>
    <x v="0"/>
    <x v="0"/>
    <n v="8"/>
    <n v="10"/>
    <n v="39"/>
    <n v="18"/>
    <n v="0"/>
    <n v="1"/>
    <n v="1"/>
    <n v="0"/>
    <n v="0"/>
    <n v="11"/>
    <n v="1"/>
    <n v="0"/>
    <n v="0"/>
    <n v="1"/>
    <n v="0"/>
    <n v="3"/>
    <n v="19"/>
    <n v="0"/>
    <n v="8"/>
    <n v="0"/>
    <n v="0"/>
    <n v="3"/>
    <n v="22"/>
    <n v="50"/>
  </r>
  <r>
    <x v="11"/>
    <x v="2"/>
    <x v="24"/>
    <n v="1995"/>
    <n v="23"/>
    <x v="11"/>
    <s v="France"/>
    <n v="4400000"/>
    <n v="2480000"/>
    <x v="0"/>
    <n v="13"/>
    <n v="690"/>
    <x v="7"/>
    <n v="226"/>
    <x v="0"/>
    <x v="4"/>
    <x v="0"/>
    <n v="8"/>
    <n v="2"/>
    <n v="21"/>
    <n v="10"/>
    <n v="0"/>
    <n v="2"/>
    <n v="0"/>
    <n v="0"/>
    <n v="0"/>
    <n v="7"/>
    <n v="0"/>
    <n v="11"/>
    <n v="0"/>
    <n v="18"/>
    <n v="0"/>
    <n v="1"/>
    <n v="24"/>
    <n v="0"/>
    <n v="8"/>
    <n v="0"/>
    <n v="0"/>
    <n v="5"/>
    <n v="12"/>
    <n v="15"/>
  </r>
  <r>
    <x v="12"/>
    <x v="3"/>
    <x v="25"/>
    <n v="1989"/>
    <n v="27"/>
    <x v="2"/>
    <s v="England"/>
    <n v="2750000"/>
    <n v="3300000"/>
    <x v="2"/>
    <n v="34"/>
    <n v="2806"/>
    <x v="0"/>
    <n v="1450"/>
    <x v="5"/>
    <x v="7"/>
    <x v="0"/>
    <n v="2"/>
    <n v="4"/>
    <n v="11"/>
    <n v="2"/>
    <n v="0"/>
    <n v="16"/>
    <n v="0"/>
    <n v="0"/>
    <n v="0"/>
    <n v="0"/>
    <n v="2"/>
    <n v="0"/>
    <n v="6"/>
    <n v="23"/>
    <n v="21"/>
    <n v="66"/>
    <n v="52"/>
    <n v="0"/>
    <n v="79"/>
    <n v="1"/>
    <n v="0"/>
    <n v="40"/>
    <n v="20"/>
    <n v="17"/>
  </r>
  <r>
    <x v="13"/>
    <x v="3"/>
    <x v="26"/>
    <n v="1991"/>
    <n v="24"/>
    <x v="2"/>
    <s v="England"/>
    <n v="2000000"/>
    <n v="2700000"/>
    <x v="2"/>
    <n v="34"/>
    <n v="2700"/>
    <x v="0"/>
    <n v="1353"/>
    <x v="3"/>
    <x v="5"/>
    <x v="0"/>
    <n v="4"/>
    <n v="9"/>
    <n v="28"/>
    <n v="6"/>
    <n v="0"/>
    <n v="10"/>
    <n v="0"/>
    <n v="0"/>
    <n v="0"/>
    <n v="1"/>
    <n v="8"/>
    <n v="0"/>
    <n v="24"/>
    <n v="51"/>
    <n v="4"/>
    <n v="36"/>
    <n v="33"/>
    <n v="0"/>
    <n v="62"/>
    <n v="0"/>
    <n v="0"/>
    <n v="22"/>
    <n v="17"/>
    <n v="41"/>
  </r>
  <r>
    <x v="14"/>
    <x v="0"/>
    <x v="27"/>
    <n v="1987"/>
    <n v="28"/>
    <x v="12"/>
    <s v="England"/>
    <n v="6750000"/>
    <n v="6750000"/>
    <x v="2"/>
    <n v="19"/>
    <n v="1142"/>
    <x v="5"/>
    <n v="562"/>
    <x v="8"/>
    <x v="6"/>
    <x v="0"/>
    <n v="8"/>
    <n v="3"/>
    <n v="16"/>
    <n v="3"/>
    <n v="2"/>
    <n v="1"/>
    <n v="0"/>
    <n v="1"/>
    <n v="1"/>
    <n v="1"/>
    <n v="8"/>
    <n v="0"/>
    <n v="14"/>
    <n v="43"/>
    <n v="2"/>
    <n v="10"/>
    <n v="7"/>
    <n v="0"/>
    <n v="10"/>
    <n v="0"/>
    <n v="0"/>
    <n v="7"/>
    <n v="2"/>
    <n v="5"/>
  </r>
  <r>
    <x v="15"/>
    <x v="0"/>
    <x v="28"/>
    <n v="1988"/>
    <n v="27"/>
    <x v="13"/>
    <s v="England"/>
    <n v="22000000"/>
    <n v="20900000"/>
    <x v="2"/>
    <n v="30"/>
    <n v="2110"/>
    <x v="6"/>
    <n v="989"/>
    <x v="1"/>
    <x v="4"/>
    <x v="0"/>
    <n v="7"/>
    <n v="13"/>
    <n v="44"/>
    <n v="15"/>
    <n v="0"/>
    <n v="19"/>
    <n v="0"/>
    <n v="0"/>
    <n v="0"/>
    <n v="14"/>
    <n v="9"/>
    <n v="3"/>
    <n v="19"/>
    <n v="63"/>
    <n v="2"/>
    <n v="20"/>
    <n v="27"/>
    <n v="0"/>
    <n v="59"/>
    <n v="0"/>
    <n v="0"/>
    <n v="35"/>
    <n v="23"/>
    <n v="36"/>
  </r>
  <r>
    <x v="15"/>
    <x v="3"/>
    <x v="29"/>
    <n v="1988"/>
    <n v="28"/>
    <x v="13"/>
    <s v="England"/>
    <n v="20900000"/>
    <n v="27500000"/>
    <x v="2"/>
    <n v="31"/>
    <n v="2346"/>
    <x v="9"/>
    <n v="1407"/>
    <x v="4"/>
    <x v="6"/>
    <x v="0"/>
    <n v="4"/>
    <n v="17"/>
    <n v="50"/>
    <n v="20"/>
    <n v="2"/>
    <n v="10"/>
    <n v="1"/>
    <n v="0"/>
    <n v="0"/>
    <n v="12"/>
    <n v="4"/>
    <n v="0"/>
    <n v="5"/>
    <n v="48"/>
    <n v="2"/>
    <n v="20"/>
    <n v="17"/>
    <n v="0"/>
    <n v="51"/>
    <n v="0"/>
    <n v="0"/>
    <n v="21"/>
    <n v="22"/>
    <n v="43"/>
  </r>
  <r>
    <x v="15"/>
    <x v="2"/>
    <x v="30"/>
    <n v="1988"/>
    <n v="30"/>
    <x v="13"/>
    <s v="England"/>
    <n v="27500000"/>
    <n v="16500000"/>
    <x v="2"/>
    <n v="13"/>
    <n v="465"/>
    <x v="0"/>
    <n v="302"/>
    <x v="0"/>
    <x v="3"/>
    <x v="0"/>
    <n v="8"/>
    <n v="5"/>
    <n v="5"/>
    <n v="2"/>
    <n v="0"/>
    <n v="0"/>
    <n v="0"/>
    <n v="0"/>
    <n v="0"/>
    <n v="0"/>
    <n v="1"/>
    <n v="3"/>
    <n v="4"/>
    <n v="8"/>
    <n v="1"/>
    <n v="5"/>
    <n v="4"/>
    <n v="0"/>
    <n v="16"/>
    <n v="0"/>
    <n v="0"/>
    <n v="0"/>
    <n v="9"/>
    <n v="14"/>
  </r>
  <r>
    <x v="15"/>
    <x v="1"/>
    <x v="31"/>
    <n v="1988"/>
    <n v="29"/>
    <x v="13"/>
    <s v="England"/>
    <n v="27500000"/>
    <n v="27500000"/>
    <x v="2"/>
    <n v="12"/>
    <n v="235"/>
    <x v="0"/>
    <n v="220"/>
    <x v="0"/>
    <x v="3"/>
    <x v="0"/>
    <n v="11"/>
    <n v="2"/>
    <n v="11"/>
    <n v="0"/>
    <n v="0"/>
    <n v="0"/>
    <n v="0"/>
    <n v="0"/>
    <n v="0"/>
    <n v="0"/>
    <n v="0"/>
    <n v="11"/>
    <n v="1"/>
    <n v="8"/>
    <n v="0"/>
    <n v="1"/>
    <n v="4"/>
    <n v="1"/>
    <n v="3"/>
    <n v="0"/>
    <n v="0"/>
    <n v="1"/>
    <n v="3"/>
    <n v="4"/>
  </r>
  <r>
    <x v="16"/>
    <x v="2"/>
    <x v="32"/>
    <n v="1994"/>
    <n v="24"/>
    <x v="9"/>
    <s v="Italy"/>
    <n v="6300000"/>
    <n v="6300000"/>
    <x v="1"/>
    <n v="14"/>
    <n v="1004"/>
    <x v="0"/>
    <n v="436"/>
    <x v="3"/>
    <x v="2"/>
    <x v="0"/>
    <n v="3"/>
    <n v="2"/>
    <n v="3"/>
    <n v="0"/>
    <n v="1"/>
    <n v="22"/>
    <n v="0"/>
    <n v="0"/>
    <n v="0"/>
    <n v="1"/>
    <n v="0"/>
    <n v="3"/>
    <n v="16"/>
    <n v="31"/>
    <n v="4"/>
    <n v="17"/>
    <n v="17"/>
    <n v="0"/>
    <n v="30"/>
    <n v="0"/>
    <n v="0"/>
    <n v="36"/>
    <n v="23"/>
    <n v="15"/>
  </r>
  <r>
    <x v="17"/>
    <x v="2"/>
    <x v="33"/>
    <n v="1991"/>
    <n v="27"/>
    <x v="14"/>
    <s v="England"/>
    <n v="4500000"/>
    <n v="6300000"/>
    <x v="1"/>
    <n v="25"/>
    <n v="2072"/>
    <x v="0"/>
    <n v="872"/>
    <x v="0"/>
    <x v="2"/>
    <x v="1"/>
    <n v="0"/>
    <n v="6"/>
    <n v="7"/>
    <n v="0"/>
    <n v="0"/>
    <n v="33"/>
    <n v="0"/>
    <n v="0"/>
    <n v="0"/>
    <n v="0"/>
    <n v="0"/>
    <n v="7"/>
    <n v="6"/>
    <n v="22"/>
    <n v="7"/>
    <n v="31"/>
    <n v="18"/>
    <n v="0"/>
    <n v="46"/>
    <n v="0"/>
    <n v="0"/>
    <n v="57"/>
    <n v="28"/>
    <n v="31"/>
  </r>
  <r>
    <x v="17"/>
    <x v="0"/>
    <x v="34"/>
    <n v="1991"/>
    <n v="24"/>
    <x v="14"/>
    <s v="England"/>
    <n v="450000"/>
    <n v="1800000"/>
    <x v="1"/>
    <n v="31"/>
    <n v="2096"/>
    <x v="5"/>
    <n v="911"/>
    <x v="0"/>
    <x v="2"/>
    <x v="0"/>
    <n v="9"/>
    <n v="2"/>
    <n v="15"/>
    <n v="4"/>
    <n v="0"/>
    <n v="25"/>
    <n v="0"/>
    <n v="0"/>
    <n v="0"/>
    <n v="2"/>
    <n v="1"/>
    <n v="0"/>
    <n v="4"/>
    <n v="56"/>
    <n v="5"/>
    <n v="44"/>
    <n v="33"/>
    <n v="0"/>
    <n v="71"/>
    <n v="0"/>
    <n v="0"/>
    <n v="49"/>
    <n v="21"/>
    <n v="32"/>
  </r>
  <r>
    <x v="17"/>
    <x v="3"/>
    <x v="35"/>
    <n v="1991"/>
    <n v="25"/>
    <x v="14"/>
    <s v="England"/>
    <n v="1800000"/>
    <n v="4500000"/>
    <x v="1"/>
    <n v="36"/>
    <n v="3099"/>
    <x v="4"/>
    <n v="1452"/>
    <x v="8"/>
    <x v="8"/>
    <x v="0"/>
    <n v="2"/>
    <n v="0"/>
    <n v="26"/>
    <n v="6"/>
    <n v="2"/>
    <n v="36"/>
    <n v="0"/>
    <n v="0"/>
    <n v="0"/>
    <n v="3"/>
    <n v="2"/>
    <n v="1"/>
    <n v="8"/>
    <n v="55"/>
    <n v="13"/>
    <n v="54"/>
    <n v="45"/>
    <n v="0"/>
    <n v="85"/>
    <n v="0"/>
    <n v="0"/>
    <n v="71"/>
    <n v="31"/>
    <n v="50"/>
  </r>
  <r>
    <x v="17"/>
    <x v="1"/>
    <x v="36"/>
    <n v="1991"/>
    <n v="26"/>
    <x v="14"/>
    <s v="England"/>
    <n v="4500000"/>
    <n v="4500000"/>
    <x v="1"/>
    <n v="27"/>
    <n v="2069"/>
    <x v="4"/>
    <n v="912"/>
    <x v="6"/>
    <x v="8"/>
    <x v="0"/>
    <n v="5"/>
    <n v="2"/>
    <n v="13"/>
    <n v="3"/>
    <n v="0"/>
    <n v="23"/>
    <n v="0"/>
    <n v="0"/>
    <n v="0"/>
    <n v="0"/>
    <n v="1"/>
    <n v="10"/>
    <n v="6"/>
    <n v="35"/>
    <n v="8"/>
    <n v="31"/>
    <n v="23"/>
    <n v="0"/>
    <n v="49"/>
    <n v="0"/>
    <n v="0"/>
    <n v="56"/>
    <n v="15"/>
    <n v="28"/>
  </r>
  <r>
    <x v="18"/>
    <x v="2"/>
    <x v="37"/>
    <n v="1996"/>
    <n v="22"/>
    <x v="6"/>
    <s v="France"/>
    <n v="7700000"/>
    <n v="7200000"/>
    <x v="0"/>
    <n v="12"/>
    <n v="553"/>
    <x v="0"/>
    <n v="147"/>
    <x v="0"/>
    <x v="3"/>
    <x v="0"/>
    <n v="6"/>
    <n v="5"/>
    <n v="7"/>
    <n v="3"/>
    <n v="0"/>
    <n v="0"/>
    <n v="0"/>
    <n v="0"/>
    <n v="0"/>
    <n v="2"/>
    <n v="1"/>
    <n v="4"/>
    <n v="1"/>
    <n v="14"/>
    <n v="0"/>
    <n v="1"/>
    <n v="7"/>
    <n v="0"/>
    <n v="6"/>
    <n v="0"/>
    <n v="0"/>
    <n v="1"/>
    <n v="6"/>
    <n v="15"/>
  </r>
  <r>
    <x v="19"/>
    <x v="3"/>
    <x v="38"/>
    <n v="1990"/>
    <n v="26"/>
    <x v="10"/>
    <s v="Norway"/>
    <n v="1350000"/>
    <n v="1350000"/>
    <x v="0"/>
    <n v="22"/>
    <n v="1169"/>
    <x v="5"/>
    <n v="320"/>
    <x v="0"/>
    <x v="3"/>
    <x v="0"/>
    <n v="9"/>
    <n v="6"/>
    <n v="23"/>
    <n v="6"/>
    <n v="0"/>
    <n v="5"/>
    <n v="0"/>
    <n v="0"/>
    <n v="0"/>
    <n v="10"/>
    <n v="3"/>
    <n v="0"/>
    <n v="0"/>
    <n v="4"/>
    <n v="1"/>
    <n v="7"/>
    <n v="19"/>
    <n v="0"/>
    <n v="24"/>
    <n v="0"/>
    <n v="0"/>
    <n v="7"/>
    <n v="35"/>
    <n v="39"/>
  </r>
  <r>
    <x v="20"/>
    <x v="0"/>
    <x v="39"/>
    <n v="1996"/>
    <n v="19"/>
    <x v="15"/>
    <s v="Spain"/>
    <n v="5500000"/>
    <n v="6300000"/>
    <x v="0"/>
    <n v="10"/>
    <n v="184"/>
    <x v="0"/>
    <n v="30"/>
    <x v="0"/>
    <x v="3"/>
    <x v="0"/>
    <n v="10"/>
    <n v="1"/>
    <n v="2"/>
    <n v="0"/>
    <n v="0"/>
    <n v="0"/>
    <n v="0"/>
    <n v="0"/>
    <n v="0"/>
    <n v="0"/>
    <n v="0"/>
    <n v="0"/>
    <n v="0"/>
    <n v="21"/>
    <n v="0"/>
    <n v="0"/>
    <n v="4"/>
    <n v="0"/>
    <n v="0"/>
    <n v="0"/>
    <n v="0"/>
    <n v="0"/>
    <n v="0"/>
    <n v="2"/>
  </r>
  <r>
    <x v="20"/>
    <x v="2"/>
    <x v="40"/>
    <n v="1996"/>
    <n v="22"/>
    <x v="16"/>
    <s v="Spain"/>
    <n v="16500000"/>
    <n v="13500000"/>
    <x v="0"/>
    <n v="29"/>
    <n v="892"/>
    <x v="0"/>
    <n v="270"/>
    <x v="0"/>
    <x v="0"/>
    <x v="0"/>
    <n v="21"/>
    <n v="8"/>
    <n v="19"/>
    <n v="7"/>
    <n v="0"/>
    <n v="4"/>
    <n v="0"/>
    <n v="0"/>
    <n v="0"/>
    <n v="6"/>
    <n v="0"/>
    <n v="12"/>
    <n v="0"/>
    <n v="35"/>
    <n v="0"/>
    <n v="6"/>
    <n v="15"/>
    <n v="0"/>
    <n v="16"/>
    <n v="0"/>
    <n v="0"/>
    <n v="6"/>
    <n v="22"/>
    <n v="36"/>
  </r>
  <r>
    <x v="20"/>
    <x v="3"/>
    <x v="41"/>
    <n v="1996"/>
    <n v="20"/>
    <x v="2"/>
    <s v="Spain"/>
    <n v="6300000"/>
    <n v="7200000"/>
    <x v="1"/>
    <n v="27"/>
    <n v="1535"/>
    <x v="0"/>
    <n v="369"/>
    <x v="3"/>
    <x v="3"/>
    <x v="0"/>
    <n v="11"/>
    <n v="7"/>
    <n v="11"/>
    <n v="2"/>
    <n v="0"/>
    <n v="1"/>
    <n v="0"/>
    <n v="0"/>
    <n v="0"/>
    <n v="1"/>
    <n v="6"/>
    <n v="1"/>
    <n v="0"/>
    <n v="79"/>
    <n v="2"/>
    <n v="6"/>
    <n v="20"/>
    <n v="0"/>
    <n v="30"/>
    <n v="0"/>
    <n v="0"/>
    <n v="5"/>
    <n v="15"/>
    <n v="23"/>
  </r>
  <r>
    <x v="21"/>
    <x v="2"/>
    <x v="42"/>
    <n v="1997"/>
    <n v="20"/>
    <x v="4"/>
    <s v="England"/>
    <n v="10800000"/>
    <n v="18000000"/>
    <x v="0"/>
    <n v="21"/>
    <n v="601"/>
    <x v="0"/>
    <n v="253"/>
    <x v="5"/>
    <x v="0"/>
    <x v="0"/>
    <n v="18"/>
    <n v="1"/>
    <n v="12"/>
    <n v="3"/>
    <n v="1"/>
    <n v="0"/>
    <n v="0"/>
    <n v="0"/>
    <n v="0"/>
    <n v="2"/>
    <n v="1"/>
    <n v="9"/>
    <n v="7"/>
    <n v="15"/>
    <n v="0"/>
    <n v="7"/>
    <n v="8"/>
    <n v="0"/>
    <n v="15"/>
    <n v="0"/>
    <n v="0"/>
    <n v="2"/>
    <n v="6"/>
    <n v="5"/>
  </r>
  <r>
    <x v="22"/>
    <x v="3"/>
    <x v="43"/>
    <n v="1985"/>
    <n v="31"/>
    <x v="9"/>
    <s v="Algeria"/>
    <n v="1100000"/>
    <n v="1100000"/>
    <x v="2"/>
    <n v="17"/>
    <n v="796"/>
    <x v="0"/>
    <n v="393"/>
    <x v="3"/>
    <x v="4"/>
    <x v="0"/>
    <n v="6"/>
    <n v="5"/>
    <n v="15"/>
    <n v="3"/>
    <n v="0"/>
    <n v="5"/>
    <n v="0"/>
    <n v="0"/>
    <n v="0"/>
    <n v="1"/>
    <n v="3"/>
    <n v="0"/>
    <n v="10"/>
    <n v="30"/>
    <n v="1"/>
    <n v="9"/>
    <n v="20"/>
    <n v="0"/>
    <n v="22"/>
    <n v="0"/>
    <n v="0"/>
    <n v="10"/>
    <n v="19"/>
    <n v="10"/>
  </r>
  <r>
    <x v="22"/>
    <x v="0"/>
    <x v="44"/>
    <n v="1985"/>
    <n v="29"/>
    <x v="9"/>
    <s v="Algeria"/>
    <n v="1100000"/>
    <n v="1100000"/>
    <x v="2"/>
    <n v="18"/>
    <n v="421"/>
    <x v="0"/>
    <n v="251"/>
    <x v="0"/>
    <x v="4"/>
    <x v="0"/>
    <n v="15"/>
    <n v="2"/>
    <n v="13"/>
    <n v="3"/>
    <n v="0"/>
    <n v="1"/>
    <n v="0"/>
    <n v="0"/>
    <n v="0"/>
    <n v="0"/>
    <n v="1"/>
    <n v="0"/>
    <n v="17"/>
    <n v="43"/>
    <n v="1"/>
    <n v="16"/>
    <n v="13"/>
    <n v="0"/>
    <n v="13"/>
    <n v="0"/>
    <n v="0"/>
    <n v="1"/>
    <n v="12"/>
    <n v="15"/>
  </r>
  <r>
    <x v="23"/>
    <x v="3"/>
    <x v="45"/>
    <n v="1995"/>
    <n v="21"/>
    <x v="12"/>
    <s v="Belgium"/>
    <n v="7700000"/>
    <n v="7700000"/>
    <x v="2"/>
    <n v="25"/>
    <n v="1629"/>
    <x v="0"/>
    <n v="356"/>
    <x v="6"/>
    <x v="6"/>
    <x v="0"/>
    <n v="7"/>
    <n v="8"/>
    <n v="26"/>
    <n v="7"/>
    <n v="0"/>
    <n v="11"/>
    <n v="0"/>
    <n v="0"/>
    <n v="0"/>
    <n v="3"/>
    <n v="4"/>
    <n v="0"/>
    <n v="41"/>
    <n v="66"/>
    <n v="1"/>
    <n v="9"/>
    <n v="26"/>
    <n v="0"/>
    <n v="17"/>
    <n v="0"/>
    <n v="0"/>
    <n v="19"/>
    <n v="14"/>
    <n v="39"/>
  </r>
  <r>
    <x v="24"/>
    <x v="1"/>
    <x v="46"/>
    <n v="1986"/>
    <n v="31"/>
    <x v="9"/>
    <s v="Jamaica"/>
    <n v="900000"/>
    <n v="1350000"/>
    <x v="1"/>
    <n v="28"/>
    <n v="2208"/>
    <x v="0"/>
    <n v="961"/>
    <x v="0"/>
    <x v="5"/>
    <x v="0"/>
    <n v="4"/>
    <n v="3"/>
    <n v="10"/>
    <n v="2"/>
    <n v="0"/>
    <n v="79"/>
    <n v="0"/>
    <n v="0"/>
    <n v="0"/>
    <n v="0"/>
    <n v="0"/>
    <n v="8"/>
    <n v="0"/>
    <n v="4"/>
    <n v="16"/>
    <n v="45"/>
    <n v="32"/>
    <n v="1"/>
    <n v="45"/>
    <n v="2"/>
    <n v="0"/>
    <n v="129"/>
    <n v="90"/>
    <n v="75"/>
  </r>
  <r>
    <x v="24"/>
    <x v="2"/>
    <x v="47"/>
    <n v="1986"/>
    <n v="31"/>
    <x v="9"/>
    <s v="Jamaica"/>
    <n v="1350000"/>
    <n v="2700000"/>
    <x v="1"/>
    <n v="26"/>
    <n v="1924"/>
    <x v="0"/>
    <n v="882"/>
    <x v="0"/>
    <x v="6"/>
    <x v="0"/>
    <n v="6"/>
    <n v="0"/>
    <n v="7"/>
    <n v="1"/>
    <n v="0"/>
    <n v="51"/>
    <n v="0"/>
    <n v="0"/>
    <n v="0"/>
    <n v="1"/>
    <n v="0"/>
    <n v="6"/>
    <n v="0"/>
    <n v="1"/>
    <n v="15"/>
    <n v="25"/>
    <n v="19"/>
    <n v="2"/>
    <n v="35"/>
    <n v="1"/>
    <n v="0"/>
    <n v="119"/>
    <n v="59"/>
    <n v="58"/>
  </r>
  <r>
    <x v="25"/>
    <x v="1"/>
    <x v="48"/>
    <n v="1989"/>
    <n v="28"/>
    <x v="17"/>
    <s v="Portugal"/>
    <n v="22500000"/>
    <n v="18000000"/>
    <x v="2"/>
    <n v="12"/>
    <n v="761"/>
    <x v="0"/>
    <n v="433"/>
    <x v="3"/>
    <x v="6"/>
    <x v="0"/>
    <n v="3"/>
    <n v="4"/>
    <n v="11"/>
    <n v="2"/>
    <n v="0"/>
    <n v="0"/>
    <n v="0"/>
    <n v="0"/>
    <n v="0"/>
    <n v="0"/>
    <n v="3"/>
    <n v="9"/>
    <n v="0"/>
    <n v="4"/>
    <n v="2"/>
    <n v="14"/>
    <n v="9"/>
    <n v="0"/>
    <n v="22"/>
    <n v="0"/>
    <n v="0"/>
    <n v="0"/>
    <n v="11"/>
    <n v="19"/>
  </r>
  <r>
    <x v="26"/>
    <x v="3"/>
    <x v="49"/>
    <n v="1987"/>
    <n v="29"/>
    <x v="10"/>
    <s v="Egypt"/>
    <n v="4400000"/>
    <n v="4400000"/>
    <x v="1"/>
    <n v="33"/>
    <n v="2520"/>
    <x v="0"/>
    <n v="1371"/>
    <x v="5"/>
    <x v="6"/>
    <x v="1"/>
    <n v="5"/>
    <n v="1"/>
    <n v="9"/>
    <n v="2"/>
    <n v="0"/>
    <n v="53"/>
    <n v="0"/>
    <n v="0"/>
    <n v="0"/>
    <n v="1"/>
    <n v="1"/>
    <n v="0"/>
    <n v="0"/>
    <n v="123"/>
    <n v="8"/>
    <n v="49"/>
    <n v="22"/>
    <n v="0"/>
    <n v="42"/>
    <n v="0"/>
    <n v="1"/>
    <n v="90"/>
    <n v="59"/>
    <n v="38"/>
  </r>
  <r>
    <x v="27"/>
    <x v="1"/>
    <x v="50"/>
    <n v="1991"/>
    <n v="26"/>
    <x v="18"/>
    <s v="Egypt"/>
    <n v="1650000"/>
    <n v="5500000"/>
    <x v="1"/>
    <n v="38"/>
    <n v="3387"/>
    <x v="5"/>
    <n v="1186"/>
    <x v="0"/>
    <x v="5"/>
    <x v="0"/>
    <n v="0"/>
    <n v="1"/>
    <n v="14"/>
    <n v="4"/>
    <n v="0"/>
    <n v="152"/>
    <n v="2"/>
    <n v="0"/>
    <n v="0"/>
    <n v="2"/>
    <n v="1"/>
    <n v="10"/>
    <n v="0"/>
    <n v="10"/>
    <n v="37"/>
    <n v="60"/>
    <n v="24"/>
    <n v="0"/>
    <n v="58"/>
    <n v="1"/>
    <n v="0"/>
    <n v="270"/>
    <n v="103"/>
    <n v="84"/>
  </r>
  <r>
    <x v="28"/>
    <x v="3"/>
    <x v="51"/>
    <n v="1992"/>
    <n v="23"/>
    <x v="17"/>
    <s v="Nigeria"/>
    <n v="16500000"/>
    <n v="15300000"/>
    <x v="0"/>
    <n v="21"/>
    <n v="753"/>
    <x v="5"/>
    <n v="214"/>
    <x v="0"/>
    <x v="3"/>
    <x v="0"/>
    <n v="14"/>
    <n v="6"/>
    <n v="17"/>
    <n v="6"/>
    <n v="0"/>
    <n v="2"/>
    <n v="0"/>
    <n v="0"/>
    <n v="0"/>
    <n v="1"/>
    <n v="0"/>
    <n v="1"/>
    <n v="2"/>
    <n v="26"/>
    <n v="0"/>
    <n v="10"/>
    <n v="13"/>
    <n v="0"/>
    <n v="13"/>
    <n v="0"/>
    <n v="0"/>
    <n v="2"/>
    <n v="10"/>
    <n v="31"/>
  </r>
  <r>
    <x v="29"/>
    <x v="2"/>
    <x v="52"/>
    <n v="1997"/>
    <n v="20"/>
    <x v="7"/>
    <s v="England"/>
    <n v="7700000"/>
    <n v="13200000"/>
    <x v="2"/>
    <n v="16"/>
    <n v="986"/>
    <x v="4"/>
    <n v="451"/>
    <x v="3"/>
    <x v="3"/>
    <x v="1"/>
    <n v="5"/>
    <n v="2"/>
    <n v="5"/>
    <n v="3"/>
    <n v="0"/>
    <n v="9"/>
    <n v="0"/>
    <n v="0"/>
    <n v="0"/>
    <n v="1"/>
    <n v="0"/>
    <n v="2"/>
    <n v="0"/>
    <n v="18"/>
    <n v="4"/>
    <n v="19"/>
    <n v="8"/>
    <n v="1"/>
    <n v="33"/>
    <n v="0"/>
    <n v="0"/>
    <n v="11"/>
    <n v="6"/>
    <n v="12"/>
  </r>
  <r>
    <x v="29"/>
    <x v="1"/>
    <x v="53"/>
    <n v="1997"/>
    <n v="20"/>
    <x v="7"/>
    <s v="England"/>
    <n v="1650000"/>
    <n v="7700000"/>
    <x v="2"/>
    <n v="15"/>
    <n v="908"/>
    <x v="0"/>
    <n v="536"/>
    <x v="0"/>
    <x v="3"/>
    <x v="0"/>
    <n v="7"/>
    <n v="0"/>
    <n v="0"/>
    <n v="0"/>
    <n v="1"/>
    <n v="8"/>
    <n v="0"/>
    <n v="0"/>
    <n v="0"/>
    <n v="0"/>
    <n v="0"/>
    <n v="0"/>
    <n v="0"/>
    <n v="20"/>
    <n v="1"/>
    <n v="12"/>
    <n v="10"/>
    <n v="2"/>
    <n v="25"/>
    <n v="0"/>
    <n v="0"/>
    <n v="22"/>
    <n v="6"/>
    <n v="14"/>
  </r>
  <r>
    <x v="30"/>
    <x v="0"/>
    <x v="54"/>
    <n v="1984"/>
    <n v="30"/>
    <x v="15"/>
    <s v="Scotland"/>
    <n v="2000000"/>
    <n v="2000000"/>
    <x v="1"/>
    <n v="28"/>
    <n v="2330"/>
    <x v="0"/>
    <n v="843"/>
    <x v="3"/>
    <x v="8"/>
    <x v="1"/>
    <n v="2"/>
    <n v="1"/>
    <n v="9"/>
    <n v="0"/>
    <n v="0"/>
    <n v="32"/>
    <n v="0"/>
    <n v="0"/>
    <n v="0"/>
    <n v="3"/>
    <n v="1"/>
    <n v="1"/>
    <n v="0"/>
    <n v="121"/>
    <n v="10"/>
    <n v="52"/>
    <n v="28"/>
    <n v="0"/>
    <n v="55"/>
    <n v="2"/>
    <n v="2"/>
    <n v="52"/>
    <n v="34"/>
    <n v="16"/>
  </r>
  <r>
    <x v="31"/>
    <x v="0"/>
    <x v="55"/>
    <n v="1992"/>
    <n v="23"/>
    <x v="13"/>
    <s v="Spain"/>
    <n v="16500000"/>
    <n v="16500000"/>
    <x v="1"/>
    <n v="28"/>
    <n v="2547"/>
    <x v="4"/>
    <n v="1323"/>
    <x v="2"/>
    <x v="6"/>
    <x v="0"/>
    <n v="4"/>
    <n v="3"/>
    <n v="36"/>
    <n v="8"/>
    <n v="1"/>
    <n v="12"/>
    <n v="0"/>
    <n v="0"/>
    <n v="0"/>
    <n v="6"/>
    <n v="1"/>
    <n v="1"/>
    <n v="31"/>
    <n v="138"/>
    <n v="5"/>
    <n v="63"/>
    <n v="29"/>
    <n v="0"/>
    <n v="92"/>
    <n v="0"/>
    <n v="0"/>
    <n v="48"/>
    <n v="14"/>
    <n v="15"/>
  </r>
  <r>
    <x v="31"/>
    <x v="1"/>
    <x v="56"/>
    <n v="1992"/>
    <n v="25"/>
    <x v="13"/>
    <s v="Spain"/>
    <n v="11000000"/>
    <n v="11000000"/>
    <x v="1"/>
    <n v="16"/>
    <n v="1264"/>
    <x v="0"/>
    <n v="783"/>
    <x v="0"/>
    <x v="3"/>
    <x v="0"/>
    <n v="2"/>
    <n v="0"/>
    <n v="12"/>
    <n v="2"/>
    <n v="0"/>
    <n v="16"/>
    <n v="0"/>
    <n v="0"/>
    <n v="0"/>
    <n v="0"/>
    <n v="1"/>
    <n v="10"/>
    <n v="3"/>
    <n v="51"/>
    <n v="2"/>
    <n v="12"/>
    <n v="8"/>
    <n v="0"/>
    <n v="35"/>
    <n v="0"/>
    <n v="0"/>
    <n v="39"/>
    <n v="10"/>
    <n v="17"/>
  </r>
  <r>
    <x v="31"/>
    <x v="3"/>
    <x v="57"/>
    <n v="1992"/>
    <n v="24"/>
    <x v="13"/>
    <s v="Spain"/>
    <n v="16500000"/>
    <n v="11000000"/>
    <x v="1"/>
    <n v="12"/>
    <n v="298"/>
    <x v="0"/>
    <n v="182"/>
    <x v="3"/>
    <x v="3"/>
    <x v="0"/>
    <n v="10"/>
    <n v="0"/>
    <n v="3"/>
    <n v="0"/>
    <n v="1"/>
    <n v="6"/>
    <n v="0"/>
    <n v="0"/>
    <n v="0"/>
    <n v="0"/>
    <n v="0"/>
    <n v="0"/>
    <n v="3"/>
    <n v="13"/>
    <n v="0"/>
    <n v="2"/>
    <n v="2"/>
    <n v="0"/>
    <n v="6"/>
    <n v="0"/>
    <n v="0"/>
    <n v="17"/>
    <n v="2"/>
    <n v="4"/>
  </r>
  <r>
    <x v="32"/>
    <x v="0"/>
    <x v="58"/>
    <n v="1990"/>
    <n v="25"/>
    <x v="0"/>
    <s v="Italy"/>
    <n v="5400000"/>
    <n v="5400000"/>
    <x v="0"/>
    <n v="10"/>
    <n v="669"/>
    <x v="5"/>
    <n v="199"/>
    <x v="0"/>
    <x v="4"/>
    <x v="0"/>
    <n v="3"/>
    <n v="5"/>
    <n v="15"/>
    <n v="7"/>
    <n v="1"/>
    <n v="3"/>
    <n v="0"/>
    <n v="0"/>
    <n v="0"/>
    <n v="6"/>
    <n v="1"/>
    <n v="3"/>
    <n v="0"/>
    <n v="5"/>
    <n v="1"/>
    <n v="7"/>
    <n v="17"/>
    <n v="0"/>
    <n v="7"/>
    <n v="0"/>
    <n v="0"/>
    <n v="4"/>
    <n v="5"/>
    <n v="16"/>
  </r>
  <r>
    <x v="33"/>
    <x v="1"/>
    <x v="59"/>
    <n v="1991"/>
    <n v="26"/>
    <x v="17"/>
    <s v="Austria"/>
    <n v="10800000"/>
    <n v="9000000"/>
    <x v="1"/>
    <n v="11"/>
    <n v="767"/>
    <x v="0"/>
    <n v="337"/>
    <x v="0"/>
    <x v="4"/>
    <x v="0"/>
    <n v="4"/>
    <n v="1"/>
    <n v="0"/>
    <n v="0"/>
    <n v="0"/>
    <n v="25"/>
    <n v="0"/>
    <n v="0"/>
    <n v="0"/>
    <n v="0"/>
    <n v="0"/>
    <n v="0"/>
    <n v="0"/>
    <n v="1"/>
    <n v="8"/>
    <n v="16"/>
    <n v="7"/>
    <n v="0"/>
    <n v="13"/>
    <n v="0"/>
    <n v="0"/>
    <n v="42"/>
    <n v="13"/>
    <n v="9"/>
  </r>
  <r>
    <x v="34"/>
    <x v="3"/>
    <x v="60"/>
    <n v="1985"/>
    <n v="30"/>
    <x v="19"/>
    <s v="Serbia"/>
    <n v="9900000"/>
    <n v="9000000"/>
    <x v="1"/>
    <n v="29"/>
    <n v="2533"/>
    <x v="4"/>
    <n v="1859"/>
    <x v="3"/>
    <x v="8"/>
    <x v="0"/>
    <n v="2"/>
    <n v="0"/>
    <n v="32"/>
    <n v="10"/>
    <n v="0"/>
    <n v="106"/>
    <n v="0"/>
    <n v="0"/>
    <n v="1"/>
    <n v="0"/>
    <n v="6"/>
    <n v="0"/>
    <n v="2"/>
    <n v="27"/>
    <n v="10"/>
    <n v="46"/>
    <n v="34"/>
    <n v="0"/>
    <n v="47"/>
    <n v="0"/>
    <n v="1"/>
    <n v="155"/>
    <n v="84"/>
    <n v="41"/>
  </r>
  <r>
    <x v="34"/>
    <x v="0"/>
    <x v="61"/>
    <n v="1985"/>
    <n v="29"/>
    <x v="19"/>
    <s v="Serbia"/>
    <n v="9900000"/>
    <n v="9900000"/>
    <x v="1"/>
    <n v="29"/>
    <n v="2281"/>
    <x v="7"/>
    <n v="1361"/>
    <x v="6"/>
    <x v="6"/>
    <x v="0"/>
    <n v="4"/>
    <n v="2"/>
    <n v="39"/>
    <n v="10"/>
    <n v="3"/>
    <n v="48"/>
    <n v="0"/>
    <n v="0"/>
    <n v="0"/>
    <n v="3"/>
    <n v="1"/>
    <n v="2"/>
    <n v="43"/>
    <n v="149"/>
    <n v="8"/>
    <n v="46"/>
    <n v="20"/>
    <n v="0"/>
    <n v="34"/>
    <n v="0"/>
    <n v="0"/>
    <n v="71"/>
    <n v="47"/>
    <n v="25"/>
  </r>
  <r>
    <x v="35"/>
    <x v="0"/>
    <x v="62"/>
    <n v="1994"/>
    <n v="21"/>
    <x v="20"/>
    <s v="Serbia"/>
    <n v="9900000"/>
    <n v="13800000"/>
    <x v="0"/>
    <n v="34"/>
    <n v="2113"/>
    <x v="3"/>
    <n v="721"/>
    <x v="2"/>
    <x v="5"/>
    <x v="2"/>
    <n v="12"/>
    <n v="8"/>
    <n v="79"/>
    <n v="30"/>
    <n v="2"/>
    <n v="26"/>
    <n v="4"/>
    <n v="2"/>
    <n v="0"/>
    <n v="16"/>
    <n v="4"/>
    <n v="8"/>
    <n v="0"/>
    <n v="7"/>
    <n v="6"/>
    <n v="7"/>
    <n v="50"/>
    <n v="0"/>
    <n v="24"/>
    <n v="0"/>
    <n v="0"/>
    <n v="32"/>
    <n v="85"/>
    <n v="112"/>
  </r>
  <r>
    <x v="35"/>
    <x v="2"/>
    <x v="63"/>
    <n v="1994"/>
    <n v="24"/>
    <x v="11"/>
    <s v="Serbia"/>
    <n v="13500000"/>
    <n v="22500000"/>
    <x v="0"/>
    <n v="37"/>
    <n v="3281"/>
    <x v="1"/>
    <n v="1026"/>
    <x v="6"/>
    <x v="1"/>
    <x v="0"/>
    <n v="0"/>
    <n v="2"/>
    <n v="131"/>
    <n v="48"/>
    <n v="5"/>
    <n v="48"/>
    <n v="6"/>
    <n v="0"/>
    <n v="0"/>
    <n v="34"/>
    <n v="4"/>
    <n v="83"/>
    <n v="0"/>
    <n v="6"/>
    <n v="8"/>
    <n v="6"/>
    <n v="61"/>
    <n v="0"/>
    <n v="19"/>
    <n v="0"/>
    <n v="0"/>
    <n v="53"/>
    <n v="240"/>
    <n v="245"/>
  </r>
  <r>
    <x v="36"/>
    <x v="0"/>
    <x v="64"/>
    <n v="1996"/>
    <n v="19"/>
    <x v="7"/>
    <s v="Nigeria"/>
    <n v="1100000"/>
    <n v="3600000"/>
    <x v="0"/>
    <n v="13"/>
    <n v="632"/>
    <x v="5"/>
    <n v="368"/>
    <x v="0"/>
    <x v="0"/>
    <x v="0"/>
    <n v="5"/>
    <n v="7"/>
    <n v="15"/>
    <n v="7"/>
    <n v="1"/>
    <n v="1"/>
    <n v="0"/>
    <n v="0"/>
    <n v="0"/>
    <n v="0"/>
    <n v="3"/>
    <n v="0"/>
    <n v="0"/>
    <n v="8"/>
    <n v="0"/>
    <n v="3"/>
    <n v="3"/>
    <n v="0"/>
    <n v="8"/>
    <n v="0"/>
    <n v="0"/>
    <n v="1"/>
    <n v="2"/>
    <n v="6"/>
  </r>
  <r>
    <x v="36"/>
    <x v="3"/>
    <x v="65"/>
    <n v="1996"/>
    <n v="20"/>
    <x v="7"/>
    <s v="Nigeria"/>
    <n v="3600000"/>
    <n v="9000000"/>
    <x v="0"/>
    <n v="26"/>
    <n v="1462"/>
    <x v="7"/>
    <n v="896"/>
    <x v="6"/>
    <x v="3"/>
    <x v="0"/>
    <n v="8"/>
    <n v="14"/>
    <n v="39"/>
    <n v="11"/>
    <n v="0"/>
    <n v="1"/>
    <n v="1"/>
    <n v="0"/>
    <n v="0"/>
    <n v="3"/>
    <n v="6"/>
    <n v="0"/>
    <n v="2"/>
    <n v="18"/>
    <n v="4"/>
    <n v="8"/>
    <n v="7"/>
    <n v="0"/>
    <n v="19"/>
    <n v="0"/>
    <n v="0"/>
    <n v="4"/>
    <n v="4"/>
    <n v="10"/>
  </r>
  <r>
    <x v="36"/>
    <x v="1"/>
    <x v="66"/>
    <n v="1996"/>
    <n v="21"/>
    <x v="7"/>
    <s v="Nigeria"/>
    <n v="9000000"/>
    <n v="13500000"/>
    <x v="0"/>
    <n v="26"/>
    <n v="1843"/>
    <x v="7"/>
    <n v="1137"/>
    <x v="8"/>
    <x v="3"/>
    <x v="0"/>
    <n v="4"/>
    <n v="17"/>
    <n v="45"/>
    <n v="23"/>
    <n v="1"/>
    <n v="4"/>
    <n v="0"/>
    <n v="0"/>
    <n v="0"/>
    <n v="0"/>
    <n v="12"/>
    <n v="22"/>
    <n v="1"/>
    <n v="20"/>
    <n v="1"/>
    <n v="7"/>
    <n v="11"/>
    <n v="0"/>
    <n v="19"/>
    <n v="0"/>
    <n v="0"/>
    <n v="8"/>
    <n v="3"/>
    <n v="14"/>
  </r>
  <r>
    <x v="36"/>
    <x v="2"/>
    <x v="67"/>
    <n v="1996"/>
    <n v="22"/>
    <x v="7"/>
    <s v="Nigeria"/>
    <n v="13500000"/>
    <n v="22900000"/>
    <x v="0"/>
    <n v="35"/>
    <n v="1972"/>
    <x v="7"/>
    <n v="951"/>
    <x v="1"/>
    <x v="0"/>
    <x v="0"/>
    <n v="13"/>
    <n v="15"/>
    <n v="35"/>
    <n v="14"/>
    <n v="0"/>
    <n v="4"/>
    <n v="0"/>
    <n v="0"/>
    <n v="0"/>
    <n v="2"/>
    <n v="3"/>
    <n v="21"/>
    <n v="1"/>
    <n v="57"/>
    <n v="1"/>
    <n v="12"/>
    <n v="8"/>
    <n v="0"/>
    <n v="28"/>
    <n v="1"/>
    <n v="0"/>
    <n v="10"/>
    <n v="4"/>
    <n v="21"/>
  </r>
  <r>
    <x v="37"/>
    <x v="0"/>
    <x v="68"/>
    <n v="1993"/>
    <n v="21"/>
    <x v="7"/>
    <s v="England"/>
    <n v="22000000"/>
    <n v="22000000"/>
    <x v="2"/>
    <n v="22"/>
    <n v="919"/>
    <x v="4"/>
    <n v="439"/>
    <x v="0"/>
    <x v="0"/>
    <x v="0"/>
    <n v="13"/>
    <n v="8"/>
    <n v="23"/>
    <n v="0"/>
    <n v="2"/>
    <n v="2"/>
    <n v="0"/>
    <n v="0"/>
    <n v="0"/>
    <n v="2"/>
    <n v="5"/>
    <n v="1"/>
    <n v="6"/>
    <n v="43"/>
    <n v="5"/>
    <n v="12"/>
    <n v="11"/>
    <n v="0"/>
    <n v="23"/>
    <n v="1"/>
    <n v="0"/>
    <n v="9"/>
    <n v="9"/>
    <n v="10"/>
  </r>
  <r>
    <x v="37"/>
    <x v="3"/>
    <x v="69"/>
    <n v="1993"/>
    <n v="22"/>
    <x v="7"/>
    <s v="England"/>
    <n v="22000000"/>
    <n v="24200000"/>
    <x v="2"/>
    <n v="29"/>
    <n v="1562"/>
    <x v="5"/>
    <n v="774"/>
    <x v="4"/>
    <x v="3"/>
    <x v="0"/>
    <n v="13"/>
    <n v="11"/>
    <n v="28"/>
    <n v="8"/>
    <n v="1"/>
    <n v="11"/>
    <n v="0"/>
    <n v="0"/>
    <n v="0"/>
    <n v="0"/>
    <n v="11"/>
    <n v="3"/>
    <n v="15"/>
    <n v="68"/>
    <n v="2"/>
    <n v="11"/>
    <n v="30"/>
    <n v="2"/>
    <n v="37"/>
    <n v="1"/>
    <n v="0"/>
    <n v="22"/>
    <n v="15"/>
    <n v="30"/>
  </r>
  <r>
    <x v="37"/>
    <x v="1"/>
    <x v="70"/>
    <n v="1993"/>
    <n v="24"/>
    <x v="13"/>
    <s v="England"/>
    <n v="24200000"/>
    <n v="44000000"/>
    <x v="2"/>
    <n v="35"/>
    <n v="1726"/>
    <x v="7"/>
    <n v="836"/>
    <x v="4"/>
    <x v="6"/>
    <x v="0"/>
    <n v="18"/>
    <n v="10"/>
    <n v="47"/>
    <n v="17"/>
    <n v="1"/>
    <n v="6"/>
    <n v="0"/>
    <n v="0"/>
    <n v="0"/>
    <n v="3"/>
    <n v="13"/>
    <n v="30"/>
    <n v="32"/>
    <n v="86"/>
    <n v="2"/>
    <n v="26"/>
    <n v="17"/>
    <n v="0"/>
    <n v="37"/>
    <n v="0"/>
    <n v="0"/>
    <n v="13"/>
    <n v="15"/>
    <n v="33"/>
  </r>
  <r>
    <x v="38"/>
    <x v="2"/>
    <x v="71"/>
    <n v="1993"/>
    <n v="25"/>
    <x v="6"/>
    <s v="England"/>
    <n v="11000000"/>
    <n v="9900000"/>
    <x v="2"/>
    <n v="30"/>
    <n v="2089"/>
    <x v="5"/>
    <n v="896"/>
    <x v="0"/>
    <x v="4"/>
    <x v="0"/>
    <n v="4"/>
    <n v="15"/>
    <n v="47"/>
    <n v="13"/>
    <n v="0"/>
    <n v="2"/>
    <n v="0"/>
    <n v="0"/>
    <n v="0"/>
    <n v="7"/>
    <n v="1"/>
    <n v="34"/>
    <n v="23"/>
    <n v="78"/>
    <n v="2"/>
    <n v="17"/>
    <n v="13"/>
    <n v="0"/>
    <n v="36"/>
    <n v="0"/>
    <n v="0"/>
    <n v="7"/>
    <n v="14"/>
    <n v="35"/>
  </r>
  <r>
    <x v="38"/>
    <x v="1"/>
    <x v="72"/>
    <n v="1993"/>
    <n v="24"/>
    <x v="6"/>
    <s v="England"/>
    <n v="5500000"/>
    <n v="11000000"/>
    <x v="2"/>
    <n v="14"/>
    <n v="1002"/>
    <x v="4"/>
    <n v="344"/>
    <x v="3"/>
    <x v="3"/>
    <x v="0"/>
    <n v="2"/>
    <n v="6"/>
    <n v="20"/>
    <n v="4"/>
    <n v="0"/>
    <n v="1"/>
    <n v="0"/>
    <n v="0"/>
    <n v="0"/>
    <n v="0"/>
    <n v="1"/>
    <n v="16"/>
    <n v="23"/>
    <n v="48"/>
    <n v="1"/>
    <n v="5"/>
    <n v="5"/>
    <n v="0"/>
    <n v="19"/>
    <n v="0"/>
    <n v="0"/>
    <n v="8"/>
    <n v="2"/>
    <n v="19"/>
  </r>
  <r>
    <x v="39"/>
    <x v="2"/>
    <x v="73"/>
    <n v="1995"/>
    <n v="22"/>
    <x v="8"/>
    <s v="Norway"/>
    <n v="6300000"/>
    <n v="5400000"/>
    <x v="0"/>
    <n v="12"/>
    <n v="173"/>
    <x v="0"/>
    <n v="59"/>
    <x v="0"/>
    <x v="0"/>
    <x v="0"/>
    <n v="12"/>
    <n v="0"/>
    <n v="4"/>
    <n v="0"/>
    <n v="0"/>
    <n v="3"/>
    <n v="0"/>
    <n v="0"/>
    <n v="0"/>
    <n v="0"/>
    <n v="0"/>
    <n v="4"/>
    <n v="0"/>
    <n v="0"/>
    <n v="0"/>
    <n v="0"/>
    <n v="4"/>
    <n v="0"/>
    <n v="2"/>
    <n v="0"/>
    <n v="0"/>
    <n v="3"/>
    <n v="18"/>
    <n v="9"/>
  </r>
  <r>
    <x v="40"/>
    <x v="0"/>
    <x v="74"/>
    <n v="1986"/>
    <n v="29"/>
    <x v="21"/>
    <s v="Norway"/>
    <n v="3150000"/>
    <n v="3150000"/>
    <x v="2"/>
    <n v="23"/>
    <n v="1952"/>
    <x v="5"/>
    <n v="1064"/>
    <x v="0"/>
    <x v="7"/>
    <x v="0"/>
    <n v="0"/>
    <n v="3"/>
    <n v="20"/>
    <n v="3"/>
    <n v="0"/>
    <n v="35"/>
    <n v="0"/>
    <n v="0"/>
    <n v="0"/>
    <n v="0"/>
    <n v="0"/>
    <n v="0"/>
    <n v="0"/>
    <n v="2"/>
    <n v="4"/>
    <n v="42"/>
    <n v="39"/>
    <n v="0"/>
    <n v="48"/>
    <n v="0"/>
    <n v="0"/>
    <n v="51"/>
    <n v="31"/>
    <n v="24"/>
  </r>
  <r>
    <x v="41"/>
    <x v="1"/>
    <x v="75"/>
    <n v="1991"/>
    <n v="26"/>
    <x v="7"/>
    <s v="France"/>
    <n v="38500000"/>
    <n v="54000000"/>
    <x v="0"/>
    <n v="32"/>
    <n v="2211"/>
    <x v="10"/>
    <n v="722"/>
    <x v="2"/>
    <x v="3"/>
    <x v="0"/>
    <n v="6"/>
    <n v="16"/>
    <n v="68"/>
    <n v="35"/>
    <n v="2"/>
    <n v="1"/>
    <n v="2"/>
    <n v="2"/>
    <n v="0"/>
    <n v="23"/>
    <n v="9"/>
    <n v="33"/>
    <n v="0"/>
    <n v="16"/>
    <n v="3"/>
    <n v="7"/>
    <n v="28"/>
    <n v="0"/>
    <n v="24"/>
    <n v="0"/>
    <n v="0"/>
    <n v="4"/>
    <n v="29"/>
    <n v="61"/>
  </r>
  <r>
    <x v="41"/>
    <x v="2"/>
    <x v="76"/>
    <n v="1991"/>
    <n v="27"/>
    <x v="7"/>
    <s v="France"/>
    <n v="54000000"/>
    <n v="63000000"/>
    <x v="0"/>
    <n v="35"/>
    <n v="2505"/>
    <x v="11"/>
    <n v="771"/>
    <x v="7"/>
    <x v="4"/>
    <x v="0"/>
    <n v="8"/>
    <n v="9"/>
    <n v="81"/>
    <n v="30"/>
    <n v="1"/>
    <n v="22"/>
    <n v="0"/>
    <n v="0"/>
    <n v="1"/>
    <n v="24"/>
    <n v="10"/>
    <n v="51"/>
    <n v="0"/>
    <n v="29"/>
    <n v="1"/>
    <n v="15"/>
    <n v="51"/>
    <n v="0"/>
    <n v="35"/>
    <n v="0"/>
    <n v="0"/>
    <n v="29"/>
    <n v="47"/>
    <n v="93"/>
  </r>
  <r>
    <x v="42"/>
    <x v="0"/>
    <x v="77"/>
    <n v="1987"/>
    <n v="28"/>
    <x v="3"/>
    <s v="Cameroon"/>
    <n v="13200000"/>
    <n v="6600000"/>
    <x v="2"/>
    <n v="12"/>
    <n v="658"/>
    <x v="0"/>
    <n v="448"/>
    <x v="0"/>
    <x v="3"/>
    <x v="0"/>
    <n v="4"/>
    <n v="5"/>
    <n v="6"/>
    <n v="0"/>
    <n v="0"/>
    <n v="0"/>
    <n v="0"/>
    <n v="0"/>
    <n v="0"/>
    <n v="0"/>
    <n v="1"/>
    <n v="0"/>
    <n v="0"/>
    <n v="3"/>
    <n v="0"/>
    <n v="12"/>
    <n v="13"/>
    <n v="0"/>
    <n v="41"/>
    <n v="0"/>
    <n v="0"/>
    <n v="6"/>
    <n v="5"/>
    <n v="2"/>
  </r>
  <r>
    <x v="43"/>
    <x v="3"/>
    <x v="78"/>
    <n v="1988"/>
    <n v="28"/>
    <x v="7"/>
    <s v="Chile"/>
    <n v="49500000"/>
    <n v="58500000"/>
    <x v="0"/>
    <n v="38"/>
    <n v="3223"/>
    <x v="12"/>
    <n v="1643"/>
    <x v="9"/>
    <x v="8"/>
    <x v="0"/>
    <n v="2"/>
    <n v="8"/>
    <n v="129"/>
    <n v="49"/>
    <n v="5"/>
    <n v="0"/>
    <n v="3"/>
    <n v="0"/>
    <n v="2"/>
    <n v="27"/>
    <n v="48"/>
    <n v="8"/>
    <n v="6"/>
    <n v="66"/>
    <n v="1"/>
    <n v="24"/>
    <n v="49"/>
    <n v="0"/>
    <n v="53"/>
    <n v="0"/>
    <n v="0"/>
    <n v="4"/>
    <n v="14"/>
    <n v="51"/>
  </r>
  <r>
    <x v="43"/>
    <x v="0"/>
    <x v="79"/>
    <n v="1988"/>
    <n v="26"/>
    <x v="7"/>
    <s v="Chile"/>
    <n v="49500000"/>
    <n v="49500000"/>
    <x v="0"/>
    <n v="30"/>
    <n v="2446"/>
    <x v="11"/>
    <n v="1434"/>
    <x v="2"/>
    <x v="3"/>
    <x v="0"/>
    <n v="2"/>
    <n v="12"/>
    <n v="107"/>
    <n v="38"/>
    <n v="5"/>
    <n v="3"/>
    <n v="2"/>
    <n v="0"/>
    <n v="1"/>
    <n v="13"/>
    <n v="36"/>
    <n v="11"/>
    <n v="15"/>
    <n v="64"/>
    <n v="3"/>
    <n v="24"/>
    <n v="32"/>
    <n v="0"/>
    <n v="47"/>
    <n v="0"/>
    <n v="0"/>
    <n v="6"/>
    <n v="22"/>
    <n v="42"/>
  </r>
  <r>
    <x v="43"/>
    <x v="1"/>
    <x v="80"/>
    <n v="1988"/>
    <n v="29"/>
    <x v="7"/>
    <s v="Chile"/>
    <n v="58500000"/>
    <n v="49500000"/>
    <x v="0"/>
    <n v="31"/>
    <n v="2553"/>
    <x v="3"/>
    <n v="1455"/>
    <x v="1"/>
    <x v="2"/>
    <x v="0"/>
    <n v="2"/>
    <n v="11"/>
    <n v="88"/>
    <n v="35"/>
    <n v="4"/>
    <n v="0"/>
    <n v="1"/>
    <n v="1"/>
    <n v="0"/>
    <n v="26"/>
    <n v="29"/>
    <n v="53"/>
    <n v="54"/>
    <n v="97"/>
    <n v="2"/>
    <n v="23"/>
    <n v="31"/>
    <n v="0"/>
    <n v="41"/>
    <n v="0"/>
    <n v="0"/>
    <n v="0"/>
    <n v="21"/>
    <n v="43"/>
  </r>
  <r>
    <x v="43"/>
    <x v="2"/>
    <x v="81"/>
    <n v="1988"/>
    <n v="29"/>
    <x v="22"/>
    <s v="Chile"/>
    <n v="49500000"/>
    <n v="31500000"/>
    <x v="0"/>
    <n v="20"/>
    <n v="877"/>
    <x v="4"/>
    <n v="382"/>
    <x v="6"/>
    <x v="0"/>
    <x v="0"/>
    <n v="11"/>
    <n v="8"/>
    <n v="17"/>
    <n v="9"/>
    <n v="0"/>
    <n v="0"/>
    <n v="0"/>
    <n v="0"/>
    <n v="0"/>
    <n v="8"/>
    <n v="6"/>
    <n v="8"/>
    <n v="5"/>
    <n v="24"/>
    <n v="0"/>
    <n v="9"/>
    <n v="14"/>
    <n v="0"/>
    <n v="17"/>
    <n v="0"/>
    <n v="0"/>
    <n v="0"/>
    <n v="7"/>
    <n v="22"/>
  </r>
  <r>
    <x v="44"/>
    <x v="1"/>
    <x v="82"/>
    <n v="1994"/>
    <n v="23"/>
    <x v="0"/>
    <s v="England"/>
    <n v="5400000"/>
    <n v="13500000"/>
    <x v="1"/>
    <n v="38"/>
    <n v="3420"/>
    <x v="5"/>
    <n v="1744"/>
    <x v="3"/>
    <x v="6"/>
    <x v="0"/>
    <n v="0"/>
    <n v="0"/>
    <n v="20"/>
    <n v="6"/>
    <n v="0"/>
    <n v="126"/>
    <n v="0"/>
    <n v="0"/>
    <n v="0"/>
    <n v="0"/>
    <n v="1"/>
    <n v="14"/>
    <n v="0"/>
    <n v="2"/>
    <n v="32"/>
    <n v="35"/>
    <n v="19"/>
    <n v="0"/>
    <n v="32"/>
    <n v="1"/>
    <n v="0"/>
    <n v="222"/>
    <n v="122"/>
    <n v="74"/>
  </r>
  <r>
    <x v="44"/>
    <x v="3"/>
    <x v="83"/>
    <n v="1994"/>
    <n v="22"/>
    <x v="0"/>
    <s v="England"/>
    <n v="270000"/>
    <n v="5400000"/>
    <x v="1"/>
    <n v="27"/>
    <n v="2430"/>
    <x v="6"/>
    <n v="1218"/>
    <x v="0"/>
    <x v="3"/>
    <x v="0"/>
    <n v="0"/>
    <n v="0"/>
    <n v="22"/>
    <n v="5"/>
    <n v="2"/>
    <n v="95"/>
    <n v="3"/>
    <n v="0"/>
    <n v="0"/>
    <n v="0"/>
    <n v="1"/>
    <n v="1"/>
    <n v="0"/>
    <n v="1"/>
    <n v="27"/>
    <n v="30"/>
    <n v="10"/>
    <n v="0"/>
    <n v="29"/>
    <n v="1"/>
    <n v="2"/>
    <n v="169"/>
    <n v="84"/>
    <n v="52"/>
  </r>
  <r>
    <x v="44"/>
    <x v="2"/>
    <x v="84"/>
    <n v="1994"/>
    <n v="24"/>
    <x v="11"/>
    <s v="England"/>
    <n v="13500000"/>
    <n v="13500000"/>
    <x v="1"/>
    <n v="15"/>
    <n v="1130"/>
    <x v="0"/>
    <n v="477"/>
    <x v="0"/>
    <x v="4"/>
    <x v="0"/>
    <n v="2"/>
    <n v="2"/>
    <n v="2"/>
    <n v="1"/>
    <n v="0"/>
    <n v="38"/>
    <n v="0"/>
    <n v="0"/>
    <n v="0"/>
    <n v="0"/>
    <n v="0"/>
    <n v="1"/>
    <n v="0"/>
    <n v="3"/>
    <n v="17"/>
    <n v="19"/>
    <n v="6"/>
    <n v="0"/>
    <n v="11"/>
    <n v="0"/>
    <n v="0"/>
    <n v="64"/>
    <n v="32"/>
    <n v="21"/>
  </r>
  <r>
    <x v="45"/>
    <x v="3"/>
    <x v="85"/>
    <n v="1990"/>
    <n v="26"/>
    <x v="10"/>
    <s v="Senegal"/>
    <n v="8800000"/>
    <n v="5500000"/>
    <x v="2"/>
    <n v="15"/>
    <n v="1277"/>
    <x v="0"/>
    <n v="563"/>
    <x v="0"/>
    <x v="1"/>
    <x v="0"/>
    <n v="0"/>
    <n v="4"/>
    <n v="10"/>
    <n v="3"/>
    <n v="1"/>
    <n v="8"/>
    <n v="0"/>
    <n v="0"/>
    <n v="0"/>
    <n v="1"/>
    <n v="2"/>
    <n v="2"/>
    <n v="0"/>
    <n v="6"/>
    <n v="6"/>
    <n v="20"/>
    <n v="34"/>
    <n v="0"/>
    <n v="37"/>
    <n v="0"/>
    <n v="0"/>
    <n v="16"/>
    <n v="14"/>
    <n v="25"/>
  </r>
  <r>
    <x v="46"/>
    <x v="2"/>
    <x v="86"/>
    <n v="1993"/>
    <n v="24"/>
    <x v="23"/>
    <s v="Iran"/>
    <n v="16200000"/>
    <n v="13500000"/>
    <x v="2"/>
    <n v="19"/>
    <n v="1019"/>
    <x v="0"/>
    <n v="277"/>
    <x v="0"/>
    <x v="4"/>
    <x v="0"/>
    <n v="7"/>
    <n v="9"/>
    <n v="21"/>
    <n v="6"/>
    <n v="2"/>
    <n v="0"/>
    <n v="0"/>
    <n v="0"/>
    <n v="0"/>
    <n v="6"/>
    <n v="1"/>
    <n v="15"/>
    <n v="5"/>
    <n v="23"/>
    <n v="0"/>
    <n v="11"/>
    <n v="19"/>
    <n v="0"/>
    <n v="32"/>
    <n v="0"/>
    <n v="0"/>
    <n v="2"/>
    <n v="11"/>
    <n v="18"/>
  </r>
  <r>
    <x v="47"/>
    <x v="3"/>
    <x v="87"/>
    <n v="1988"/>
    <n v="28"/>
    <x v="18"/>
    <s v="Cameroon"/>
    <n v="3600000"/>
    <n v="4050000"/>
    <x v="1"/>
    <n v="32"/>
    <n v="2637"/>
    <x v="0"/>
    <n v="735"/>
    <x v="5"/>
    <x v="9"/>
    <x v="0"/>
    <n v="3"/>
    <n v="3"/>
    <n v="6"/>
    <n v="1"/>
    <n v="0"/>
    <n v="57"/>
    <n v="0"/>
    <n v="0"/>
    <n v="0"/>
    <n v="2"/>
    <n v="0"/>
    <n v="0"/>
    <n v="0"/>
    <n v="78"/>
    <n v="8"/>
    <n v="60"/>
    <n v="50"/>
    <n v="0"/>
    <n v="72"/>
    <n v="0"/>
    <n v="0"/>
    <n v="101"/>
    <n v="21"/>
    <n v="19"/>
  </r>
  <r>
    <x v="47"/>
    <x v="0"/>
    <x v="88"/>
    <n v="1988"/>
    <n v="27"/>
    <x v="9"/>
    <s v="Cameroon"/>
    <n v="3600000"/>
    <n v="3600000"/>
    <x v="1"/>
    <n v="28"/>
    <n v="2474"/>
    <x v="0"/>
    <n v="860"/>
    <x v="3"/>
    <x v="9"/>
    <x v="0"/>
    <n v="3"/>
    <n v="9"/>
    <n v="7"/>
    <n v="1"/>
    <n v="0"/>
    <n v="26"/>
    <n v="0"/>
    <n v="0"/>
    <n v="0"/>
    <n v="0"/>
    <n v="1"/>
    <n v="0"/>
    <n v="0"/>
    <n v="85"/>
    <n v="7"/>
    <n v="60"/>
    <n v="36"/>
    <n v="0"/>
    <n v="84"/>
    <n v="1"/>
    <n v="0"/>
    <n v="70"/>
    <n v="13"/>
    <n v="20"/>
  </r>
  <r>
    <x v="47"/>
    <x v="1"/>
    <x v="89"/>
    <n v="1988"/>
    <n v="29"/>
    <x v="18"/>
    <s v="Cameroon"/>
    <n v="4050000"/>
    <n v="4050000"/>
    <x v="1"/>
    <n v="29"/>
    <n v="2308"/>
    <x v="0"/>
    <n v="753"/>
    <x v="3"/>
    <x v="1"/>
    <x v="0"/>
    <n v="4"/>
    <n v="2"/>
    <n v="0"/>
    <n v="0"/>
    <n v="0"/>
    <n v="47"/>
    <n v="0"/>
    <n v="0"/>
    <n v="0"/>
    <n v="0"/>
    <n v="0"/>
    <n v="0"/>
    <n v="0"/>
    <n v="88"/>
    <n v="9"/>
    <n v="27"/>
    <n v="20"/>
    <n v="0"/>
    <n v="64"/>
    <n v="0"/>
    <n v="0"/>
    <n v="83"/>
    <n v="22"/>
    <n v="19"/>
  </r>
  <r>
    <x v="48"/>
    <x v="0"/>
    <x v="90"/>
    <n v="1986"/>
    <n v="28"/>
    <x v="9"/>
    <s v="Switzerland"/>
    <n v="2750000"/>
    <n v="3750000"/>
    <x v="2"/>
    <n v="32"/>
    <n v="1984"/>
    <x v="5"/>
    <n v="938"/>
    <x v="0"/>
    <x v="5"/>
    <x v="0"/>
    <n v="7"/>
    <n v="20"/>
    <n v="39"/>
    <n v="10"/>
    <n v="1"/>
    <n v="9"/>
    <n v="0"/>
    <n v="0"/>
    <n v="1"/>
    <n v="1"/>
    <n v="2"/>
    <n v="1"/>
    <n v="13"/>
    <n v="55"/>
    <n v="3"/>
    <n v="32"/>
    <n v="38"/>
    <n v="1"/>
    <n v="83"/>
    <n v="0"/>
    <n v="0"/>
    <n v="24"/>
    <n v="22"/>
    <n v="31"/>
  </r>
  <r>
    <x v="49"/>
    <x v="0"/>
    <x v="91"/>
    <n v="1987"/>
    <n v="27"/>
    <x v="15"/>
    <s v="France"/>
    <n v="2700000"/>
    <n v="1800000"/>
    <x v="1"/>
    <n v="18"/>
    <n v="1603"/>
    <x v="0"/>
    <n v="647"/>
    <x v="0"/>
    <x v="6"/>
    <x v="1"/>
    <n v="0"/>
    <n v="0"/>
    <n v="4"/>
    <n v="3"/>
    <n v="0"/>
    <n v="31"/>
    <n v="0"/>
    <n v="0"/>
    <n v="0"/>
    <n v="0"/>
    <n v="0"/>
    <n v="0"/>
    <n v="0"/>
    <n v="81"/>
    <n v="3"/>
    <n v="40"/>
    <n v="13"/>
    <n v="0"/>
    <n v="26"/>
    <n v="0"/>
    <n v="0"/>
    <n v="75"/>
    <n v="22"/>
    <n v="12"/>
  </r>
  <r>
    <x v="50"/>
    <x v="0"/>
    <x v="92"/>
    <n v="1989"/>
    <n v="25"/>
    <x v="22"/>
    <s v="Spain"/>
    <n v="30800000"/>
    <n v="30800000"/>
    <x v="2"/>
    <n v="27"/>
    <n v="1532"/>
    <x v="7"/>
    <n v="1097"/>
    <x v="0"/>
    <x v="5"/>
    <x v="0"/>
    <n v="10"/>
    <n v="11"/>
    <n v="24"/>
    <n v="6"/>
    <n v="0"/>
    <n v="5"/>
    <n v="1"/>
    <n v="1"/>
    <n v="0"/>
    <n v="1"/>
    <n v="7"/>
    <n v="1"/>
    <n v="7"/>
    <n v="34"/>
    <n v="6"/>
    <n v="24"/>
    <n v="28"/>
    <n v="0"/>
    <n v="56"/>
    <n v="0"/>
    <n v="0"/>
    <n v="17"/>
    <n v="7"/>
    <n v="7"/>
  </r>
  <r>
    <x v="50"/>
    <x v="3"/>
    <x v="93"/>
    <n v="1989"/>
    <n v="26"/>
    <x v="22"/>
    <s v="Spain"/>
    <n v="30800000"/>
    <n v="33000000"/>
    <x v="2"/>
    <n v="31"/>
    <n v="2464"/>
    <x v="4"/>
    <n v="2089"/>
    <x v="1"/>
    <x v="2"/>
    <x v="1"/>
    <n v="4"/>
    <n v="5"/>
    <n v="38"/>
    <n v="6"/>
    <n v="2"/>
    <n v="17"/>
    <n v="0"/>
    <n v="0"/>
    <n v="0"/>
    <n v="0"/>
    <n v="12"/>
    <n v="1"/>
    <n v="2"/>
    <n v="50"/>
    <n v="7"/>
    <n v="81"/>
    <n v="47"/>
    <n v="0"/>
    <n v="84"/>
    <n v="0"/>
    <n v="0"/>
    <n v="51"/>
    <n v="27"/>
    <n v="17"/>
  </r>
  <r>
    <x v="50"/>
    <x v="1"/>
    <x v="94"/>
    <n v="1989"/>
    <n v="28"/>
    <x v="22"/>
    <s v="Spain"/>
    <n v="33000000"/>
    <n v="33000000"/>
    <x v="2"/>
    <n v="26"/>
    <n v="1260"/>
    <x v="0"/>
    <n v="1043"/>
    <x v="5"/>
    <x v="2"/>
    <x v="0"/>
    <n v="13"/>
    <n v="6"/>
    <n v="12"/>
    <n v="1"/>
    <n v="0"/>
    <n v="4"/>
    <n v="0"/>
    <n v="0"/>
    <n v="0"/>
    <n v="2"/>
    <n v="4"/>
    <n v="11"/>
    <n v="1"/>
    <n v="15"/>
    <n v="6"/>
    <n v="34"/>
    <n v="28"/>
    <n v="0"/>
    <n v="56"/>
    <n v="0"/>
    <n v="0"/>
    <n v="20"/>
    <n v="9"/>
    <n v="10"/>
  </r>
  <r>
    <x v="50"/>
    <x v="2"/>
    <x v="95"/>
    <n v="1989"/>
    <n v="28"/>
    <x v="22"/>
    <s v="Spain"/>
    <n v="33000000"/>
    <n v="27500000"/>
    <x v="2"/>
    <n v="22"/>
    <n v="1404"/>
    <x v="5"/>
    <n v="980"/>
    <x v="6"/>
    <x v="5"/>
    <x v="0"/>
    <n v="6"/>
    <n v="7"/>
    <n v="21"/>
    <n v="8"/>
    <n v="0"/>
    <n v="10"/>
    <n v="0"/>
    <n v="0"/>
    <n v="0"/>
    <n v="0"/>
    <n v="3"/>
    <n v="13"/>
    <n v="2"/>
    <n v="6"/>
    <n v="6"/>
    <n v="37"/>
    <n v="21"/>
    <n v="0"/>
    <n v="54"/>
    <n v="0"/>
    <n v="0"/>
    <n v="21"/>
    <n v="5"/>
    <n v="14"/>
  </r>
  <r>
    <x v="51"/>
    <x v="0"/>
    <x v="96"/>
    <n v="1989"/>
    <n v="25"/>
    <x v="0"/>
    <s v="Ghana"/>
    <n v="14300000"/>
    <n v="16200000"/>
    <x v="0"/>
    <n v="34"/>
    <n v="2937"/>
    <x v="13"/>
    <n v="1056"/>
    <x v="0"/>
    <x v="2"/>
    <x v="0"/>
    <n v="0"/>
    <n v="15"/>
    <n v="67"/>
    <n v="27"/>
    <n v="2"/>
    <n v="9"/>
    <n v="4"/>
    <n v="0"/>
    <n v="1"/>
    <n v="9"/>
    <n v="7"/>
    <n v="7"/>
    <n v="1"/>
    <n v="23"/>
    <n v="2"/>
    <n v="23"/>
    <n v="35"/>
    <n v="0"/>
    <n v="55"/>
    <n v="0"/>
    <n v="0"/>
    <n v="13"/>
    <n v="45"/>
    <n v="89"/>
  </r>
  <r>
    <x v="51"/>
    <x v="3"/>
    <x v="97"/>
    <n v="1989"/>
    <n v="26"/>
    <x v="3"/>
    <s v="Ghana"/>
    <n v="16200000"/>
    <n v="16200000"/>
    <x v="0"/>
    <n v="25"/>
    <n v="1440"/>
    <x v="14"/>
    <n v="431"/>
    <x v="6"/>
    <x v="3"/>
    <x v="0"/>
    <n v="9"/>
    <n v="11"/>
    <n v="34"/>
    <n v="13"/>
    <n v="2"/>
    <n v="6"/>
    <n v="2"/>
    <n v="0"/>
    <n v="0"/>
    <n v="5"/>
    <n v="0"/>
    <n v="5"/>
    <n v="0"/>
    <n v="7"/>
    <n v="0"/>
    <n v="10"/>
    <n v="14"/>
    <n v="0"/>
    <n v="17"/>
    <n v="0"/>
    <n v="0"/>
    <n v="10"/>
    <n v="21"/>
    <n v="56"/>
  </r>
  <r>
    <x v="51"/>
    <x v="1"/>
    <x v="98"/>
    <n v="1989"/>
    <n v="28"/>
    <x v="0"/>
    <s v="Ghana"/>
    <n v="16200000"/>
    <n v="13500000"/>
    <x v="0"/>
    <n v="30"/>
    <n v="1843"/>
    <x v="7"/>
    <n v="582"/>
    <x v="2"/>
    <x v="2"/>
    <x v="0"/>
    <n v="11"/>
    <n v="8"/>
    <n v="26"/>
    <n v="12"/>
    <n v="1"/>
    <n v="8"/>
    <n v="0"/>
    <n v="0"/>
    <n v="0"/>
    <n v="6"/>
    <n v="5"/>
    <n v="14"/>
    <n v="0"/>
    <n v="16"/>
    <n v="1"/>
    <n v="9"/>
    <n v="24"/>
    <n v="0"/>
    <n v="34"/>
    <n v="0"/>
    <n v="0"/>
    <n v="11"/>
    <n v="46"/>
    <n v="99"/>
  </r>
  <r>
    <x v="52"/>
    <x v="1"/>
    <x v="99"/>
    <n v="1991"/>
    <n v="26"/>
    <x v="9"/>
    <s v="Peru"/>
    <n v="5400000"/>
    <n v="5400000"/>
    <x v="2"/>
    <n v="28"/>
    <n v="1536"/>
    <x v="4"/>
    <n v="709"/>
    <x v="5"/>
    <x v="4"/>
    <x v="0"/>
    <n v="12"/>
    <n v="8"/>
    <n v="24"/>
    <n v="3"/>
    <n v="0"/>
    <n v="5"/>
    <n v="1"/>
    <n v="0"/>
    <n v="0"/>
    <n v="4"/>
    <n v="2"/>
    <n v="21"/>
    <n v="4"/>
    <n v="54"/>
    <n v="0"/>
    <n v="15"/>
    <n v="13"/>
    <n v="0"/>
    <n v="31"/>
    <n v="0"/>
    <n v="0"/>
    <n v="11"/>
    <n v="13"/>
    <n v="41"/>
  </r>
  <r>
    <x v="53"/>
    <x v="2"/>
    <x v="100"/>
    <n v="1993"/>
    <n v="25"/>
    <x v="4"/>
    <s v="Portugal"/>
    <n v="13500000"/>
    <n v="25200000"/>
    <x v="2"/>
    <n v="27"/>
    <n v="1986"/>
    <x v="0"/>
    <n v="1200"/>
    <x v="0"/>
    <x v="0"/>
    <x v="0"/>
    <n v="3"/>
    <n v="9"/>
    <n v="21"/>
    <n v="5"/>
    <n v="0"/>
    <n v="11"/>
    <n v="0"/>
    <n v="0"/>
    <n v="0"/>
    <n v="0"/>
    <n v="1"/>
    <n v="16"/>
    <n v="0"/>
    <n v="16"/>
    <n v="4"/>
    <n v="20"/>
    <n v="49"/>
    <n v="0"/>
    <n v="39"/>
    <n v="0"/>
    <n v="0"/>
    <n v="18"/>
    <n v="38"/>
    <n v="32"/>
  </r>
  <r>
    <x v="54"/>
    <x v="2"/>
    <x v="101"/>
    <n v="1990"/>
    <n v="27"/>
    <x v="11"/>
    <s v="Germany"/>
    <n v="13500000"/>
    <n v="10800000"/>
    <x v="2"/>
    <n v="24"/>
    <n v="1649"/>
    <x v="14"/>
    <n v="523"/>
    <x v="0"/>
    <x v="0"/>
    <x v="0"/>
    <n v="3"/>
    <n v="14"/>
    <n v="55"/>
    <n v="18"/>
    <n v="1"/>
    <n v="6"/>
    <n v="0"/>
    <n v="0"/>
    <n v="0"/>
    <n v="11"/>
    <n v="2"/>
    <n v="37"/>
    <n v="2"/>
    <n v="41"/>
    <n v="1"/>
    <n v="8"/>
    <n v="17"/>
    <n v="0"/>
    <n v="29"/>
    <n v="0"/>
    <n v="0"/>
    <n v="16"/>
    <n v="15"/>
    <n v="18"/>
  </r>
  <r>
    <x v="55"/>
    <x v="3"/>
    <x v="102"/>
    <n v="1991"/>
    <n v="25"/>
    <x v="5"/>
    <s v="England"/>
    <n v="450000"/>
    <n v="9000000"/>
    <x v="0"/>
    <n v="32"/>
    <n v="2267"/>
    <x v="3"/>
    <n v="371"/>
    <x v="6"/>
    <x v="4"/>
    <x v="0"/>
    <n v="6"/>
    <n v="14"/>
    <n v="47"/>
    <n v="19"/>
    <n v="0"/>
    <n v="0"/>
    <n v="0"/>
    <n v="2"/>
    <n v="1"/>
    <n v="35"/>
    <n v="0"/>
    <n v="6"/>
    <n v="0"/>
    <n v="26"/>
    <n v="1"/>
    <n v="4"/>
    <n v="17"/>
    <n v="0"/>
    <n v="10"/>
    <n v="0"/>
    <n v="0"/>
    <n v="1"/>
    <n v="4"/>
    <n v="27"/>
  </r>
  <r>
    <x v="55"/>
    <x v="1"/>
    <x v="103"/>
    <n v="1991"/>
    <n v="26"/>
    <x v="9"/>
    <s v="England"/>
    <n v="9000000"/>
    <n v="13500000"/>
    <x v="0"/>
    <n v="31"/>
    <n v="1496"/>
    <x v="2"/>
    <n v="299"/>
    <x v="5"/>
    <x v="3"/>
    <x v="0"/>
    <n v="15"/>
    <n v="12"/>
    <n v="34"/>
    <n v="13"/>
    <n v="0"/>
    <n v="2"/>
    <n v="2"/>
    <n v="0"/>
    <n v="0"/>
    <n v="12"/>
    <n v="2"/>
    <n v="21"/>
    <n v="0"/>
    <n v="9"/>
    <n v="0"/>
    <n v="4"/>
    <n v="11"/>
    <n v="0"/>
    <n v="2"/>
    <n v="0"/>
    <n v="0"/>
    <n v="3"/>
    <n v="17"/>
    <n v="53"/>
  </r>
  <r>
    <x v="55"/>
    <x v="2"/>
    <x v="104"/>
    <n v="1991"/>
    <n v="27"/>
    <x v="9"/>
    <s v="England"/>
    <n v="13500000"/>
    <n v="13500000"/>
    <x v="0"/>
    <n v="29"/>
    <n v="1360"/>
    <x v="8"/>
    <n v="236"/>
    <x v="5"/>
    <x v="4"/>
    <x v="0"/>
    <n v="16"/>
    <n v="8"/>
    <n v="35"/>
    <n v="17"/>
    <n v="0"/>
    <n v="2"/>
    <n v="0"/>
    <n v="0"/>
    <n v="0"/>
    <n v="15"/>
    <n v="0"/>
    <n v="18"/>
    <n v="0"/>
    <n v="8"/>
    <n v="1"/>
    <n v="2"/>
    <n v="12"/>
    <n v="0"/>
    <n v="3"/>
    <n v="0"/>
    <n v="0"/>
    <n v="4"/>
    <n v="17"/>
    <n v="54"/>
  </r>
  <r>
    <x v="56"/>
    <x v="0"/>
    <x v="105"/>
    <n v="1993"/>
    <n v="22"/>
    <x v="21"/>
    <s v="England"/>
    <n v="4500000"/>
    <n v="2700000"/>
    <x v="1"/>
    <n v="10"/>
    <n v="823"/>
    <x v="0"/>
    <n v="307"/>
    <x v="0"/>
    <x v="3"/>
    <x v="0"/>
    <n v="0"/>
    <n v="0"/>
    <n v="2"/>
    <n v="0"/>
    <n v="0"/>
    <n v="15"/>
    <n v="0"/>
    <n v="0"/>
    <n v="0"/>
    <n v="0"/>
    <n v="0"/>
    <n v="0"/>
    <n v="0"/>
    <n v="25"/>
    <n v="0"/>
    <n v="8"/>
    <n v="3"/>
    <n v="0"/>
    <n v="19"/>
    <n v="0"/>
    <n v="0"/>
    <n v="23"/>
    <n v="10"/>
    <n v="10"/>
  </r>
  <r>
    <x v="57"/>
    <x v="2"/>
    <x v="106"/>
    <n v="1995"/>
    <n v="22"/>
    <x v="11"/>
    <s v="Cameroon"/>
    <n v="27500000"/>
    <n v="27500000"/>
    <x v="2"/>
    <n v="22"/>
    <n v="1519"/>
    <x v="0"/>
    <n v="1043"/>
    <x v="0"/>
    <x v="0"/>
    <x v="0"/>
    <n v="6"/>
    <n v="6"/>
    <n v="21"/>
    <n v="5"/>
    <n v="0"/>
    <n v="14"/>
    <n v="0"/>
    <n v="0"/>
    <n v="0"/>
    <n v="2"/>
    <n v="0"/>
    <n v="16"/>
    <n v="0"/>
    <n v="2"/>
    <n v="6"/>
    <n v="34"/>
    <n v="23"/>
    <n v="0"/>
    <n v="48"/>
    <n v="0"/>
    <n v="0"/>
    <n v="29"/>
    <n v="22"/>
    <n v="31"/>
  </r>
  <r>
    <x v="58"/>
    <x v="3"/>
    <x v="107"/>
    <n v="1988"/>
    <n v="28"/>
    <x v="10"/>
    <s v="Italy"/>
    <n v="6600000"/>
    <n v="5500000"/>
    <x v="1"/>
    <n v="16"/>
    <n v="1329"/>
    <x v="5"/>
    <n v="550"/>
    <x v="5"/>
    <x v="4"/>
    <x v="0"/>
    <n v="0"/>
    <n v="1"/>
    <n v="8"/>
    <n v="5"/>
    <n v="0"/>
    <n v="70"/>
    <n v="1"/>
    <n v="0"/>
    <n v="0"/>
    <n v="0"/>
    <n v="0"/>
    <n v="1"/>
    <n v="0"/>
    <n v="2"/>
    <n v="12"/>
    <n v="22"/>
    <n v="13"/>
    <n v="0"/>
    <n v="28"/>
    <n v="1"/>
    <n v="0"/>
    <n v="114"/>
    <n v="43"/>
    <n v="35"/>
  </r>
  <r>
    <x v="59"/>
    <x v="1"/>
    <x v="108"/>
    <n v="1996"/>
    <n v="21"/>
    <x v="1"/>
    <s v="Denmark"/>
    <n v="19800000"/>
    <n v="44000000"/>
    <x v="1"/>
    <n v="27"/>
    <n v="2070"/>
    <x v="0"/>
    <n v="1349"/>
    <x v="0"/>
    <x v="0"/>
    <x v="0"/>
    <n v="4"/>
    <n v="6"/>
    <n v="12"/>
    <n v="1"/>
    <n v="2"/>
    <n v="60"/>
    <n v="0"/>
    <n v="0"/>
    <n v="0"/>
    <n v="1"/>
    <n v="1"/>
    <n v="11"/>
    <n v="0"/>
    <n v="0"/>
    <n v="17"/>
    <n v="38"/>
    <n v="8"/>
    <n v="0"/>
    <n v="26"/>
    <n v="1"/>
    <n v="0"/>
    <n v="104"/>
    <n v="56"/>
    <n v="29"/>
  </r>
  <r>
    <x v="60"/>
    <x v="2"/>
    <x v="109"/>
    <n v="1996"/>
    <n v="22"/>
    <x v="22"/>
    <s v="Brazil"/>
    <n v="6600000"/>
    <n v="11000000"/>
    <x v="2"/>
    <n v="15"/>
    <n v="594"/>
    <x v="4"/>
    <n v="353"/>
    <x v="3"/>
    <x v="2"/>
    <x v="0"/>
    <n v="9"/>
    <n v="5"/>
    <n v="8"/>
    <n v="2"/>
    <n v="0"/>
    <n v="3"/>
    <n v="0"/>
    <n v="0"/>
    <n v="0"/>
    <n v="1"/>
    <n v="1"/>
    <n v="6"/>
    <n v="6"/>
    <n v="12"/>
    <n v="2"/>
    <n v="11"/>
    <n v="12"/>
    <n v="0"/>
    <n v="8"/>
    <n v="1"/>
    <n v="0"/>
    <n v="7"/>
    <n v="3"/>
    <n v="13"/>
  </r>
  <r>
    <x v="61"/>
    <x v="1"/>
    <x v="110"/>
    <n v="1994"/>
    <n v="23"/>
    <x v="13"/>
    <s v="Scotland"/>
    <n v="6300000"/>
    <n v="22500000"/>
    <x v="1"/>
    <n v="22"/>
    <n v="1943"/>
    <x v="4"/>
    <n v="1421"/>
    <x v="8"/>
    <x v="4"/>
    <x v="0"/>
    <n v="0"/>
    <n v="3"/>
    <n v="12"/>
    <n v="2"/>
    <n v="0"/>
    <n v="16"/>
    <n v="0"/>
    <n v="0"/>
    <n v="0"/>
    <n v="5"/>
    <n v="3"/>
    <n v="10"/>
    <n v="0"/>
    <n v="88"/>
    <n v="2"/>
    <n v="26"/>
    <n v="15"/>
    <n v="1"/>
    <n v="31"/>
    <n v="0"/>
    <n v="0"/>
    <n v="49"/>
    <n v="15"/>
    <n v="10"/>
  </r>
  <r>
    <x v="61"/>
    <x v="2"/>
    <x v="111"/>
    <n v="1994"/>
    <n v="24"/>
    <x v="13"/>
    <s v="Scotland"/>
    <n v="22500000"/>
    <n v="54000000"/>
    <x v="1"/>
    <n v="36"/>
    <n v="3219"/>
    <x v="0"/>
    <n v="2396"/>
    <x v="10"/>
    <x v="5"/>
    <x v="0"/>
    <n v="0"/>
    <n v="3"/>
    <n v="16"/>
    <n v="5"/>
    <n v="1"/>
    <n v="23"/>
    <n v="0"/>
    <n v="0"/>
    <n v="0"/>
    <n v="1"/>
    <n v="2"/>
    <n v="11"/>
    <n v="4"/>
    <n v="135"/>
    <n v="6"/>
    <n v="30"/>
    <n v="18"/>
    <n v="0"/>
    <n v="80"/>
    <n v="0"/>
    <n v="0"/>
    <n v="47"/>
    <n v="24"/>
    <n v="29"/>
  </r>
  <r>
    <x v="61"/>
    <x v="3"/>
    <x v="112"/>
    <n v="1994"/>
    <n v="22"/>
    <x v="10"/>
    <s v="Scotland"/>
    <n v="6300000"/>
    <n v="6300000"/>
    <x v="1"/>
    <n v="33"/>
    <n v="2736"/>
    <x v="4"/>
    <n v="1229"/>
    <x v="5"/>
    <x v="2"/>
    <x v="0"/>
    <n v="2"/>
    <n v="2"/>
    <n v="7"/>
    <n v="1"/>
    <n v="1"/>
    <n v="28"/>
    <n v="0"/>
    <n v="0"/>
    <n v="0"/>
    <n v="1"/>
    <n v="0"/>
    <n v="0"/>
    <n v="9"/>
    <n v="119"/>
    <n v="15"/>
    <n v="55"/>
    <n v="18"/>
    <n v="3"/>
    <n v="53"/>
    <n v="0"/>
    <n v="0"/>
    <n v="75"/>
    <n v="9"/>
    <n v="13"/>
  </r>
  <r>
    <x v="62"/>
    <x v="0"/>
    <x v="113"/>
    <n v="1986"/>
    <n v="28"/>
    <x v="14"/>
    <s v="England"/>
    <n v="1100000"/>
    <n v="2200000"/>
    <x v="2"/>
    <n v="38"/>
    <n v="3420"/>
    <x v="0"/>
    <n v="2287"/>
    <x v="6"/>
    <x v="5"/>
    <x v="0"/>
    <n v="0"/>
    <n v="0"/>
    <n v="17"/>
    <n v="0"/>
    <n v="0"/>
    <n v="36"/>
    <n v="0"/>
    <n v="0"/>
    <n v="0"/>
    <n v="0"/>
    <n v="5"/>
    <n v="0"/>
    <n v="4"/>
    <n v="9"/>
    <n v="11"/>
    <n v="109"/>
    <n v="26"/>
    <n v="0"/>
    <n v="51"/>
    <n v="0"/>
    <n v="0"/>
    <n v="63"/>
    <n v="48"/>
    <n v="57"/>
  </r>
  <r>
    <x v="62"/>
    <x v="3"/>
    <x v="114"/>
    <n v="1986"/>
    <n v="29"/>
    <x v="14"/>
    <s v="England"/>
    <n v="2200000"/>
    <n v="2200000"/>
    <x v="2"/>
    <n v="22"/>
    <n v="1792"/>
    <x v="0"/>
    <n v="1318"/>
    <x v="3"/>
    <x v="3"/>
    <x v="0"/>
    <n v="0"/>
    <n v="3"/>
    <n v="8"/>
    <n v="2"/>
    <n v="0"/>
    <n v="23"/>
    <n v="0"/>
    <n v="0"/>
    <n v="0"/>
    <n v="0"/>
    <n v="5"/>
    <n v="0"/>
    <n v="5"/>
    <n v="6"/>
    <n v="4"/>
    <n v="43"/>
    <n v="17"/>
    <n v="0"/>
    <n v="15"/>
    <n v="0"/>
    <n v="0"/>
    <n v="38"/>
    <n v="17"/>
    <n v="29"/>
  </r>
  <r>
    <x v="62"/>
    <x v="2"/>
    <x v="115"/>
    <n v="1986"/>
    <n v="31"/>
    <x v="14"/>
    <s v="England"/>
    <n v="2750000"/>
    <n v="2750000"/>
    <x v="2"/>
    <n v="18"/>
    <n v="1439"/>
    <x v="0"/>
    <n v="838"/>
    <x v="0"/>
    <x v="4"/>
    <x v="0"/>
    <n v="2"/>
    <n v="1"/>
    <n v="9"/>
    <n v="0"/>
    <n v="0"/>
    <n v="22"/>
    <n v="0"/>
    <n v="0"/>
    <n v="0"/>
    <n v="0"/>
    <n v="2"/>
    <n v="9"/>
    <n v="0"/>
    <n v="0"/>
    <n v="7"/>
    <n v="10"/>
    <n v="7"/>
    <n v="0"/>
    <n v="11"/>
    <n v="0"/>
    <n v="0"/>
    <n v="32"/>
    <n v="19"/>
    <n v="14"/>
  </r>
  <r>
    <x v="62"/>
    <x v="1"/>
    <x v="116"/>
    <n v="1986"/>
    <n v="31"/>
    <x v="14"/>
    <s v="England"/>
    <n v="2200000"/>
    <n v="2750000"/>
    <x v="2"/>
    <n v="25"/>
    <n v="1852"/>
    <x v="5"/>
    <n v="1177"/>
    <x v="8"/>
    <x v="4"/>
    <x v="0"/>
    <n v="5"/>
    <n v="1"/>
    <n v="18"/>
    <n v="6"/>
    <n v="0"/>
    <n v="27"/>
    <n v="0"/>
    <n v="0"/>
    <n v="0"/>
    <n v="0"/>
    <n v="2"/>
    <n v="12"/>
    <n v="18"/>
    <n v="21"/>
    <n v="12"/>
    <n v="16"/>
    <n v="9"/>
    <n v="0"/>
    <n v="16"/>
    <n v="0"/>
    <n v="0"/>
    <n v="49"/>
    <n v="0"/>
    <n v="45"/>
  </r>
  <r>
    <x v="63"/>
    <x v="0"/>
    <x v="117"/>
    <n v="1991"/>
    <n v="24"/>
    <x v="20"/>
    <s v="England"/>
    <n v="8800000"/>
    <n v="9900000"/>
    <x v="0"/>
    <n v="16"/>
    <n v="1153"/>
    <x v="6"/>
    <n v="392"/>
    <x v="5"/>
    <x v="0"/>
    <x v="0"/>
    <n v="4"/>
    <n v="3"/>
    <n v="29"/>
    <n v="16"/>
    <n v="2"/>
    <n v="2"/>
    <n v="0"/>
    <n v="0"/>
    <n v="1"/>
    <n v="0"/>
    <n v="0"/>
    <n v="0"/>
    <n v="29"/>
    <n v="87"/>
    <n v="0"/>
    <n v="11"/>
    <n v="7"/>
    <n v="0"/>
    <n v="29"/>
    <n v="0"/>
    <n v="0"/>
    <n v="10"/>
    <n v="0"/>
    <n v="8"/>
  </r>
  <r>
    <x v="63"/>
    <x v="3"/>
    <x v="118"/>
    <n v="1991"/>
    <n v="25"/>
    <x v="8"/>
    <s v="England"/>
    <n v="12100000"/>
    <n v="13200000"/>
    <x v="2"/>
    <n v="36"/>
    <n v="2526"/>
    <x v="7"/>
    <n v="685"/>
    <x v="2"/>
    <x v="5"/>
    <x v="0"/>
    <n v="6"/>
    <n v="15"/>
    <n v="56"/>
    <n v="13"/>
    <n v="0"/>
    <n v="6"/>
    <n v="0"/>
    <n v="0"/>
    <n v="0"/>
    <n v="3"/>
    <n v="0"/>
    <n v="2"/>
    <n v="38"/>
    <n v="236"/>
    <n v="3"/>
    <n v="43"/>
    <n v="18"/>
    <n v="0"/>
    <n v="77"/>
    <n v="0"/>
    <n v="0"/>
    <n v="19"/>
    <n v="3"/>
    <n v="13"/>
  </r>
  <r>
    <x v="63"/>
    <x v="2"/>
    <x v="119"/>
    <n v="1991"/>
    <n v="27"/>
    <x v="8"/>
    <s v="England"/>
    <n v="16500000"/>
    <n v="16500000"/>
    <x v="2"/>
    <n v="38"/>
    <n v="3016"/>
    <x v="14"/>
    <n v="1027"/>
    <x v="2"/>
    <x v="0"/>
    <x v="0"/>
    <n v="4"/>
    <n v="13"/>
    <n v="63"/>
    <n v="19"/>
    <n v="3"/>
    <n v="5"/>
    <n v="0"/>
    <n v="0"/>
    <n v="0"/>
    <n v="9"/>
    <n v="0"/>
    <n v="44"/>
    <n v="38"/>
    <n v="161"/>
    <n v="5"/>
    <n v="38"/>
    <n v="10"/>
    <n v="0"/>
    <n v="62"/>
    <n v="0"/>
    <n v="0"/>
    <n v="16"/>
    <n v="4"/>
    <n v="13"/>
  </r>
  <r>
    <x v="63"/>
    <x v="1"/>
    <x v="120"/>
    <n v="1991"/>
    <n v="26"/>
    <x v="8"/>
    <s v="England"/>
    <n v="13200000"/>
    <n v="16500000"/>
    <x v="2"/>
    <n v="36"/>
    <n v="3129"/>
    <x v="5"/>
    <n v="1023"/>
    <x v="4"/>
    <x v="6"/>
    <x v="0"/>
    <n v="1"/>
    <n v="9"/>
    <n v="62"/>
    <n v="14"/>
    <n v="0"/>
    <n v="5"/>
    <n v="0"/>
    <n v="0"/>
    <n v="0"/>
    <n v="6"/>
    <n v="3"/>
    <n v="48"/>
    <n v="49"/>
    <n v="176"/>
    <n v="1"/>
    <n v="35"/>
    <n v="10"/>
    <n v="0"/>
    <n v="60"/>
    <n v="0"/>
    <n v="0"/>
    <n v="21"/>
    <n v="4"/>
    <n v="13"/>
  </r>
  <r>
    <x v="64"/>
    <x v="2"/>
    <x v="121"/>
    <n v="1989"/>
    <n v="29"/>
    <x v="3"/>
    <s v="England"/>
    <n v="9000000"/>
    <n v="7200000"/>
    <x v="0"/>
    <n v="12"/>
    <n v="455"/>
    <x v="0"/>
    <n v="136"/>
    <x v="0"/>
    <x v="4"/>
    <x v="0"/>
    <n v="9"/>
    <n v="2"/>
    <n v="14"/>
    <n v="6"/>
    <n v="1"/>
    <n v="7"/>
    <n v="0"/>
    <n v="0"/>
    <n v="0"/>
    <n v="3"/>
    <n v="0"/>
    <n v="8"/>
    <n v="0"/>
    <n v="1"/>
    <n v="2"/>
    <n v="1"/>
    <n v="11"/>
    <n v="0"/>
    <n v="4"/>
    <n v="0"/>
    <n v="0"/>
    <n v="8"/>
    <n v="46"/>
    <n v="43"/>
  </r>
  <r>
    <x v="64"/>
    <x v="0"/>
    <x v="122"/>
    <n v="1989"/>
    <n v="26"/>
    <x v="3"/>
    <s v="England"/>
    <n v="9000000"/>
    <n v="9000000"/>
    <x v="0"/>
    <n v="27"/>
    <n v="1434"/>
    <x v="3"/>
    <n v="435"/>
    <x v="0"/>
    <x v="4"/>
    <x v="0"/>
    <n v="14"/>
    <n v="5"/>
    <n v="56"/>
    <n v="25"/>
    <n v="1"/>
    <n v="21"/>
    <n v="5"/>
    <n v="1"/>
    <n v="0"/>
    <n v="7"/>
    <n v="2"/>
    <n v="5"/>
    <n v="0"/>
    <n v="8"/>
    <n v="7"/>
    <n v="7"/>
    <n v="38"/>
    <n v="0"/>
    <n v="9"/>
    <n v="0"/>
    <n v="0"/>
    <n v="28"/>
    <n v="113"/>
    <n v="88"/>
  </r>
  <r>
    <x v="64"/>
    <x v="3"/>
    <x v="123"/>
    <n v="1989"/>
    <n v="27"/>
    <x v="3"/>
    <s v="England"/>
    <n v="9000000"/>
    <n v="9000000"/>
    <x v="0"/>
    <n v="18"/>
    <n v="1313"/>
    <x v="8"/>
    <n v="435"/>
    <x v="3"/>
    <x v="6"/>
    <x v="0"/>
    <n v="3"/>
    <n v="6"/>
    <n v="39"/>
    <n v="14"/>
    <n v="0"/>
    <n v="34"/>
    <n v="2"/>
    <n v="0"/>
    <n v="0"/>
    <n v="4"/>
    <n v="1"/>
    <n v="1"/>
    <n v="1"/>
    <n v="10"/>
    <n v="2"/>
    <n v="6"/>
    <n v="24"/>
    <n v="0"/>
    <n v="5"/>
    <n v="0"/>
    <n v="0"/>
    <n v="38"/>
    <n v="164"/>
    <n v="92"/>
  </r>
  <r>
    <x v="64"/>
    <x v="1"/>
    <x v="124"/>
    <n v="1989"/>
    <n v="28"/>
    <x v="3"/>
    <s v="England"/>
    <n v="9000000"/>
    <n v="9000000"/>
    <x v="0"/>
    <n v="16"/>
    <n v="746"/>
    <x v="7"/>
    <n v="248"/>
    <x v="0"/>
    <x v="2"/>
    <x v="1"/>
    <n v="9"/>
    <n v="3"/>
    <n v="28"/>
    <n v="8"/>
    <n v="1"/>
    <n v="14"/>
    <n v="1"/>
    <n v="0"/>
    <n v="0"/>
    <n v="6"/>
    <n v="0"/>
    <n v="20"/>
    <n v="0"/>
    <n v="10"/>
    <n v="2"/>
    <n v="2"/>
    <n v="28"/>
    <n v="0"/>
    <n v="3"/>
    <n v="0"/>
    <n v="0"/>
    <n v="15"/>
    <n v="76"/>
    <n v="53"/>
  </r>
  <r>
    <x v="65"/>
    <x v="0"/>
    <x v="125"/>
    <n v="1988"/>
    <n v="26"/>
    <x v="17"/>
    <s v="Wales"/>
    <n v="3300000"/>
    <n v="3850000"/>
    <x v="2"/>
    <n v="25"/>
    <n v="1049"/>
    <x v="5"/>
    <n v="476"/>
    <x v="3"/>
    <x v="4"/>
    <x v="0"/>
    <n v="16"/>
    <n v="1"/>
    <n v="20"/>
    <n v="4"/>
    <n v="0"/>
    <n v="15"/>
    <n v="0"/>
    <n v="0"/>
    <n v="0"/>
    <n v="0"/>
    <n v="1"/>
    <n v="3"/>
    <n v="2"/>
    <n v="10"/>
    <n v="4"/>
    <n v="29"/>
    <n v="7"/>
    <n v="0"/>
    <n v="27"/>
    <n v="0"/>
    <n v="0"/>
    <n v="24"/>
    <n v="17"/>
    <n v="18"/>
  </r>
  <r>
    <x v="65"/>
    <x v="3"/>
    <x v="126"/>
    <n v="1988"/>
    <n v="27"/>
    <x v="17"/>
    <s v="Wales"/>
    <n v="3850000"/>
    <n v="3300000"/>
    <x v="2"/>
    <n v="23"/>
    <n v="1445"/>
    <x v="4"/>
    <n v="644"/>
    <x v="0"/>
    <x v="5"/>
    <x v="0"/>
    <n v="8"/>
    <n v="5"/>
    <n v="14"/>
    <n v="7"/>
    <n v="0"/>
    <n v="22"/>
    <n v="0"/>
    <n v="0"/>
    <n v="0"/>
    <n v="1"/>
    <n v="1"/>
    <n v="0"/>
    <n v="0"/>
    <n v="14"/>
    <n v="12"/>
    <n v="27"/>
    <n v="18"/>
    <n v="0"/>
    <n v="38"/>
    <n v="0"/>
    <n v="0"/>
    <n v="32"/>
    <n v="25"/>
    <n v="20"/>
  </r>
  <r>
    <x v="65"/>
    <x v="1"/>
    <x v="127"/>
    <n v="1988"/>
    <n v="29"/>
    <x v="0"/>
    <s v="Wales"/>
    <n v="3300000"/>
    <n v="3300000"/>
    <x v="2"/>
    <n v="22"/>
    <n v="1253"/>
    <x v="7"/>
    <n v="560"/>
    <x v="0"/>
    <x v="4"/>
    <x v="0"/>
    <n v="8"/>
    <n v="7"/>
    <n v="14"/>
    <n v="5"/>
    <n v="0"/>
    <n v="11"/>
    <n v="0"/>
    <n v="0"/>
    <n v="0"/>
    <n v="0"/>
    <n v="1"/>
    <n v="9"/>
    <n v="0"/>
    <n v="13"/>
    <n v="2"/>
    <n v="11"/>
    <n v="9"/>
    <n v="0"/>
    <n v="26"/>
    <n v="1"/>
    <n v="0"/>
    <n v="26"/>
    <n v="15"/>
    <n v="14"/>
  </r>
  <r>
    <x v="66"/>
    <x v="0"/>
    <x v="128"/>
    <n v="1982"/>
    <n v="33"/>
    <x v="0"/>
    <s v="Spain"/>
    <n v="1650000"/>
    <n v="1650000"/>
    <x v="1"/>
    <n v="20"/>
    <n v="1821"/>
    <x v="0"/>
    <n v="1278"/>
    <x v="0"/>
    <x v="8"/>
    <x v="0"/>
    <n v="3"/>
    <n v="4"/>
    <n v="14"/>
    <n v="0"/>
    <n v="1"/>
    <n v="38"/>
    <n v="0"/>
    <n v="0"/>
    <n v="0"/>
    <n v="2"/>
    <n v="0"/>
    <n v="1"/>
    <n v="0"/>
    <n v="47"/>
    <n v="7"/>
    <n v="59"/>
    <n v="19"/>
    <n v="0"/>
    <n v="43"/>
    <n v="0"/>
    <n v="0"/>
    <n v="72"/>
    <n v="36"/>
    <n v="25"/>
  </r>
  <r>
    <x v="66"/>
    <x v="3"/>
    <x v="129"/>
    <n v="1982"/>
    <n v="34"/>
    <x v="0"/>
    <s v="Spain"/>
    <n v="1650000"/>
    <n v="1100000"/>
    <x v="1"/>
    <n v="18"/>
    <n v="823"/>
    <x v="4"/>
    <n v="545"/>
    <x v="0"/>
    <x v="3"/>
    <x v="0"/>
    <n v="10"/>
    <n v="1"/>
    <n v="5"/>
    <n v="3"/>
    <n v="0"/>
    <n v="20"/>
    <n v="0"/>
    <n v="0"/>
    <n v="0"/>
    <n v="1"/>
    <n v="0"/>
    <n v="0"/>
    <n v="0"/>
    <n v="11"/>
    <n v="3"/>
    <n v="26"/>
    <n v="10"/>
    <n v="0"/>
    <n v="32"/>
    <n v="0"/>
    <n v="0"/>
    <n v="31"/>
    <n v="13"/>
    <n v="13"/>
  </r>
  <r>
    <x v="67"/>
    <x v="3"/>
    <x v="130"/>
    <n v="1988"/>
    <n v="28"/>
    <x v="3"/>
    <s v="Italy"/>
    <n v="8100000"/>
    <n v="8100000"/>
    <x v="1"/>
    <n v="20"/>
    <n v="1755"/>
    <x v="0"/>
    <n v="805"/>
    <x v="0"/>
    <x v="4"/>
    <x v="0"/>
    <n v="0"/>
    <n v="1"/>
    <n v="3"/>
    <n v="1"/>
    <n v="0"/>
    <n v="58"/>
    <n v="0"/>
    <n v="0"/>
    <n v="0"/>
    <n v="0"/>
    <n v="0"/>
    <n v="0"/>
    <n v="0"/>
    <n v="4"/>
    <n v="14"/>
    <n v="37"/>
    <n v="13"/>
    <n v="0"/>
    <n v="27"/>
    <n v="1"/>
    <n v="0"/>
    <n v="96"/>
    <n v="44"/>
    <n v="18"/>
  </r>
  <r>
    <x v="67"/>
    <x v="2"/>
    <x v="131"/>
    <n v="1988"/>
    <n v="30"/>
    <x v="3"/>
    <s v="Italy"/>
    <n v="8100000"/>
    <n v="7200000"/>
    <x v="1"/>
    <n v="24"/>
    <n v="1871"/>
    <x v="4"/>
    <n v="795"/>
    <x v="3"/>
    <x v="4"/>
    <x v="0"/>
    <n v="4"/>
    <n v="0"/>
    <n v="14"/>
    <n v="5"/>
    <n v="0"/>
    <n v="45"/>
    <n v="0"/>
    <n v="0"/>
    <n v="0"/>
    <n v="0"/>
    <n v="1"/>
    <n v="9"/>
    <n v="0"/>
    <n v="0"/>
    <n v="19"/>
    <n v="35"/>
    <n v="15"/>
    <n v="0"/>
    <n v="31"/>
    <n v="0"/>
    <n v="0"/>
    <n v="99"/>
    <n v="79"/>
    <n v="37"/>
  </r>
  <r>
    <x v="67"/>
    <x v="0"/>
    <x v="132"/>
    <n v="1988"/>
    <n v="27"/>
    <x v="3"/>
    <s v="Italy"/>
    <n v="8100000"/>
    <n v="8100000"/>
    <x v="1"/>
    <n v="28"/>
    <n v="2328"/>
    <x v="0"/>
    <n v="945"/>
    <x v="0"/>
    <x v="2"/>
    <x v="0"/>
    <n v="1"/>
    <n v="2"/>
    <n v="6"/>
    <n v="0"/>
    <n v="0"/>
    <n v="98"/>
    <n v="0"/>
    <n v="0"/>
    <n v="0"/>
    <n v="0"/>
    <n v="0"/>
    <n v="0"/>
    <n v="0"/>
    <n v="1"/>
    <n v="19"/>
    <n v="50"/>
    <n v="21"/>
    <n v="0"/>
    <n v="43"/>
    <n v="1"/>
    <n v="0"/>
    <n v="161"/>
    <n v="62"/>
    <n v="31"/>
  </r>
  <r>
    <x v="67"/>
    <x v="1"/>
    <x v="133"/>
    <n v="1988"/>
    <n v="29"/>
    <x v="3"/>
    <s v="Italy"/>
    <n v="8100000"/>
    <n v="8100000"/>
    <x v="1"/>
    <n v="32"/>
    <n v="2880"/>
    <x v="4"/>
    <n v="1013"/>
    <x v="0"/>
    <x v="6"/>
    <x v="0"/>
    <n v="0"/>
    <n v="0"/>
    <n v="2"/>
    <n v="2"/>
    <n v="0"/>
    <n v="103"/>
    <n v="1"/>
    <n v="0"/>
    <n v="0"/>
    <n v="0"/>
    <n v="1"/>
    <n v="0"/>
    <n v="0"/>
    <n v="2"/>
    <n v="27"/>
    <n v="58"/>
    <n v="15"/>
    <n v="0"/>
    <n v="30"/>
    <n v="0"/>
    <n v="0"/>
    <n v="191"/>
    <n v="80"/>
    <n v="73"/>
  </r>
  <r>
    <x v="68"/>
    <x v="2"/>
    <x v="134"/>
    <n v="1991"/>
    <n v="26"/>
    <x v="23"/>
    <s v="France"/>
    <n v="7200000"/>
    <n v="7200000"/>
    <x v="0"/>
    <n v="30"/>
    <n v="1833"/>
    <x v="5"/>
    <n v="616"/>
    <x v="1"/>
    <x v="5"/>
    <x v="1"/>
    <n v="12"/>
    <n v="7"/>
    <n v="27"/>
    <n v="9"/>
    <n v="0"/>
    <n v="2"/>
    <n v="0"/>
    <n v="0"/>
    <n v="0"/>
    <n v="3"/>
    <n v="1"/>
    <n v="18"/>
    <n v="46"/>
    <n v="107"/>
    <n v="0"/>
    <n v="29"/>
    <n v="22"/>
    <n v="0"/>
    <n v="33"/>
    <n v="0"/>
    <n v="0"/>
    <n v="6"/>
    <n v="16"/>
    <n v="8"/>
  </r>
  <r>
    <x v="68"/>
    <x v="1"/>
    <x v="135"/>
    <n v="1991"/>
    <n v="26"/>
    <x v="23"/>
    <s v="France"/>
    <n v="7200000"/>
    <n v="7200000"/>
    <x v="2"/>
    <n v="33"/>
    <n v="2426"/>
    <x v="7"/>
    <n v="984"/>
    <x v="3"/>
    <x v="5"/>
    <x v="1"/>
    <n v="6"/>
    <n v="10"/>
    <n v="46"/>
    <n v="12"/>
    <n v="2"/>
    <n v="6"/>
    <n v="0"/>
    <n v="0"/>
    <n v="0"/>
    <n v="8"/>
    <n v="4"/>
    <n v="34"/>
    <n v="27"/>
    <n v="98"/>
    <n v="3"/>
    <n v="23"/>
    <n v="22"/>
    <n v="0"/>
    <n v="39"/>
    <n v="0"/>
    <n v="0"/>
    <n v="13"/>
    <n v="16"/>
    <n v="19"/>
  </r>
  <r>
    <x v="69"/>
    <x v="0"/>
    <x v="136"/>
    <n v="1995"/>
    <n v="19"/>
    <x v="22"/>
    <s v="France"/>
    <n v="8800000"/>
    <n v="28500000"/>
    <x v="0"/>
    <n v="29"/>
    <n v="2632"/>
    <x v="1"/>
    <n v="923"/>
    <x v="2"/>
    <x v="4"/>
    <x v="0"/>
    <n v="2"/>
    <n v="2"/>
    <n v="57"/>
    <n v="25"/>
    <n v="1"/>
    <n v="11"/>
    <n v="1"/>
    <n v="0"/>
    <n v="0"/>
    <n v="17"/>
    <n v="6"/>
    <n v="3"/>
    <n v="1"/>
    <n v="49"/>
    <n v="4"/>
    <n v="9"/>
    <n v="40"/>
    <n v="0"/>
    <n v="21"/>
    <n v="0"/>
    <n v="0"/>
    <n v="18"/>
    <n v="56"/>
    <n v="91"/>
  </r>
  <r>
    <x v="69"/>
    <x v="3"/>
    <x v="137"/>
    <n v="1995"/>
    <n v="20"/>
    <x v="22"/>
    <s v="France"/>
    <n v="28500000"/>
    <n v="27000000"/>
    <x v="0"/>
    <n v="25"/>
    <n v="1559"/>
    <x v="6"/>
    <n v="608"/>
    <x v="1"/>
    <x v="4"/>
    <x v="0"/>
    <n v="7"/>
    <n v="11"/>
    <n v="42"/>
    <n v="18"/>
    <n v="2"/>
    <n v="5"/>
    <n v="0"/>
    <n v="0"/>
    <n v="0"/>
    <n v="6"/>
    <n v="6"/>
    <n v="1"/>
    <n v="6"/>
    <n v="56"/>
    <n v="1"/>
    <n v="9"/>
    <n v="26"/>
    <n v="0"/>
    <n v="17"/>
    <n v="0"/>
    <n v="0"/>
    <n v="9"/>
    <n v="21"/>
    <n v="37"/>
  </r>
  <r>
    <x v="69"/>
    <x v="1"/>
    <x v="138"/>
    <n v="1995"/>
    <n v="22"/>
    <x v="22"/>
    <s v="France"/>
    <n v="27000000"/>
    <n v="58500000"/>
    <x v="0"/>
    <n v="30"/>
    <n v="1581"/>
    <x v="3"/>
    <n v="731"/>
    <x v="8"/>
    <x v="3"/>
    <x v="0"/>
    <n v="12"/>
    <n v="13"/>
    <n v="49"/>
    <n v="16"/>
    <n v="0"/>
    <n v="4"/>
    <n v="1"/>
    <n v="1"/>
    <n v="0"/>
    <n v="8"/>
    <n v="4"/>
    <n v="33"/>
    <n v="6"/>
    <n v="48"/>
    <n v="1"/>
    <n v="3"/>
    <n v="17"/>
    <n v="0"/>
    <n v="15"/>
    <n v="0"/>
    <n v="0"/>
    <n v="6"/>
    <n v="14"/>
    <n v="25"/>
  </r>
  <r>
    <x v="69"/>
    <x v="2"/>
    <x v="139"/>
    <n v="1995"/>
    <n v="22"/>
    <x v="22"/>
    <s v="France"/>
    <n v="58500000"/>
    <n v="54000000"/>
    <x v="0"/>
    <n v="27"/>
    <n v="1624"/>
    <x v="15"/>
    <n v="707"/>
    <x v="5"/>
    <x v="4"/>
    <x v="0"/>
    <n v="9"/>
    <n v="11"/>
    <n v="39"/>
    <n v="23"/>
    <n v="0"/>
    <n v="3"/>
    <n v="0"/>
    <n v="0"/>
    <n v="0"/>
    <n v="6"/>
    <n v="7"/>
    <n v="16"/>
    <n v="1"/>
    <n v="34"/>
    <n v="0"/>
    <n v="3"/>
    <n v="14"/>
    <n v="0"/>
    <n v="9"/>
    <n v="0"/>
    <n v="0"/>
    <n v="8"/>
    <n v="18"/>
    <n v="18"/>
  </r>
  <r>
    <x v="70"/>
    <x v="3"/>
    <x v="140"/>
    <n v="1987"/>
    <n v="29"/>
    <x v="2"/>
    <s v="Spain"/>
    <n v="3850000"/>
    <n v="3300000"/>
    <x v="1"/>
    <n v="26"/>
    <n v="2196"/>
    <x v="0"/>
    <n v="1027"/>
    <x v="0"/>
    <x v="2"/>
    <x v="0"/>
    <n v="0"/>
    <n v="3"/>
    <n v="3"/>
    <n v="0"/>
    <n v="0"/>
    <n v="35"/>
    <n v="0"/>
    <n v="0"/>
    <n v="0"/>
    <n v="1"/>
    <n v="1"/>
    <n v="0"/>
    <n v="0"/>
    <n v="71"/>
    <n v="13"/>
    <n v="59"/>
    <n v="27"/>
    <n v="0"/>
    <n v="72"/>
    <n v="0"/>
    <n v="0"/>
    <n v="70"/>
    <n v="21"/>
    <n v="22"/>
  </r>
  <r>
    <x v="71"/>
    <x v="1"/>
    <x v="141"/>
    <n v="1993"/>
    <n v="24"/>
    <x v="1"/>
    <s v="Germany"/>
    <n v="22500000"/>
    <n v="36000000"/>
    <x v="1"/>
    <n v="27"/>
    <n v="2336"/>
    <x v="5"/>
    <n v="1709"/>
    <x v="3"/>
    <x v="5"/>
    <x v="0"/>
    <n v="2"/>
    <n v="0"/>
    <n v="15"/>
    <n v="4"/>
    <n v="0"/>
    <n v="52"/>
    <n v="2"/>
    <n v="0"/>
    <n v="0"/>
    <n v="2"/>
    <n v="3"/>
    <n v="11"/>
    <n v="0"/>
    <n v="10"/>
    <n v="15"/>
    <n v="24"/>
    <n v="26"/>
    <n v="0"/>
    <n v="31"/>
    <n v="0"/>
    <n v="0"/>
    <n v="101"/>
    <n v="59"/>
    <n v="39"/>
  </r>
  <r>
    <x v="71"/>
    <x v="2"/>
    <x v="142"/>
    <n v="1993"/>
    <n v="25"/>
    <x v="1"/>
    <s v="Germany"/>
    <n v="36000000"/>
    <n v="45000000"/>
    <x v="1"/>
    <n v="33"/>
    <n v="2874"/>
    <x v="4"/>
    <n v="2537"/>
    <x v="0"/>
    <x v="0"/>
    <x v="0"/>
    <n v="0"/>
    <n v="3"/>
    <n v="26"/>
    <n v="6"/>
    <n v="1"/>
    <n v="58"/>
    <n v="0"/>
    <n v="0"/>
    <n v="0"/>
    <n v="1"/>
    <n v="8"/>
    <n v="20"/>
    <n v="0"/>
    <n v="0"/>
    <n v="8"/>
    <n v="32"/>
    <n v="28"/>
    <n v="0"/>
    <n v="34"/>
    <n v="0"/>
    <n v="0"/>
    <n v="95"/>
    <n v="83"/>
    <n v="75"/>
  </r>
  <r>
    <x v="72"/>
    <x v="0"/>
    <x v="143"/>
    <n v="1985"/>
    <n v="29"/>
    <x v="22"/>
    <s v="Ecuador"/>
    <n v="9000000"/>
    <n v="7200000"/>
    <x v="1"/>
    <n v="14"/>
    <n v="855"/>
    <x v="0"/>
    <n v="584"/>
    <x v="6"/>
    <x v="3"/>
    <x v="0"/>
    <n v="6"/>
    <n v="2"/>
    <n v="6"/>
    <n v="1"/>
    <n v="0"/>
    <n v="8"/>
    <n v="0"/>
    <n v="0"/>
    <n v="0"/>
    <n v="2"/>
    <n v="1"/>
    <n v="0"/>
    <n v="0"/>
    <n v="35"/>
    <n v="6"/>
    <n v="15"/>
    <n v="16"/>
    <n v="0"/>
    <n v="27"/>
    <n v="0"/>
    <n v="0"/>
    <n v="18"/>
    <n v="18"/>
    <n v="8"/>
  </r>
  <r>
    <x v="72"/>
    <x v="3"/>
    <x v="144"/>
    <n v="1985"/>
    <n v="30"/>
    <x v="22"/>
    <s v="Ecuador"/>
    <n v="7200000"/>
    <n v="9000000"/>
    <x v="1"/>
    <n v="28"/>
    <n v="2483"/>
    <x v="4"/>
    <n v="1370"/>
    <x v="6"/>
    <x v="2"/>
    <x v="0"/>
    <n v="0"/>
    <n v="0"/>
    <n v="9"/>
    <n v="4"/>
    <n v="0"/>
    <n v="27"/>
    <n v="0"/>
    <n v="0"/>
    <n v="0"/>
    <n v="7"/>
    <n v="0"/>
    <n v="1"/>
    <n v="3"/>
    <n v="142"/>
    <n v="7"/>
    <n v="43"/>
    <n v="33"/>
    <n v="0"/>
    <n v="67"/>
    <n v="0"/>
    <n v="0"/>
    <n v="58"/>
    <n v="22"/>
    <n v="25"/>
  </r>
  <r>
    <x v="72"/>
    <x v="1"/>
    <x v="145"/>
    <n v="1985"/>
    <n v="32"/>
    <x v="22"/>
    <s v="Ecuador"/>
    <n v="9000000"/>
    <n v="4500000"/>
    <x v="1"/>
    <n v="31"/>
    <n v="2742"/>
    <x v="7"/>
    <n v="1602"/>
    <x v="3"/>
    <x v="1"/>
    <x v="0"/>
    <n v="0"/>
    <n v="3"/>
    <n v="16"/>
    <n v="3"/>
    <n v="0"/>
    <n v="25"/>
    <n v="0"/>
    <n v="0"/>
    <n v="0"/>
    <n v="4"/>
    <n v="3"/>
    <n v="13"/>
    <n v="0"/>
    <n v="79"/>
    <n v="6"/>
    <n v="48"/>
    <n v="38"/>
    <n v="0"/>
    <n v="57"/>
    <n v="0"/>
    <n v="0"/>
    <n v="60"/>
    <n v="22"/>
    <n v="25"/>
  </r>
  <r>
    <x v="73"/>
    <x v="2"/>
    <x v="146"/>
    <n v="1989"/>
    <n v="29"/>
    <x v="24"/>
    <s v="Iceland"/>
    <n v="2250000"/>
    <n v="1900000"/>
    <x v="1"/>
    <n v="28"/>
    <n v="2275"/>
    <x v="4"/>
    <n v="749"/>
    <x v="3"/>
    <x v="2"/>
    <x v="0"/>
    <n v="1"/>
    <n v="9"/>
    <n v="20"/>
    <n v="4"/>
    <n v="0"/>
    <n v="22"/>
    <n v="0"/>
    <n v="0"/>
    <n v="0"/>
    <n v="0"/>
    <n v="4"/>
    <n v="16"/>
    <n v="0"/>
    <n v="12"/>
    <n v="12"/>
    <n v="38"/>
    <n v="26"/>
    <n v="0"/>
    <n v="51"/>
    <n v="0"/>
    <n v="0"/>
    <n v="54"/>
    <n v="47"/>
    <n v="33"/>
  </r>
  <r>
    <x v="74"/>
    <x v="0"/>
    <x v="147"/>
    <n v="1983"/>
    <n v="31"/>
    <x v="4"/>
    <s v="Cote D'Ivoire"/>
    <n v="1350000"/>
    <n v="2250000"/>
    <x v="0"/>
    <n v="25"/>
    <n v="1458"/>
    <x v="2"/>
    <n v="580"/>
    <x v="2"/>
    <x v="3"/>
    <x v="0"/>
    <n v="9"/>
    <n v="10"/>
    <n v="36"/>
    <n v="14"/>
    <n v="0"/>
    <n v="4"/>
    <n v="1"/>
    <n v="0"/>
    <n v="0"/>
    <n v="4"/>
    <n v="2"/>
    <n v="6"/>
    <n v="0"/>
    <n v="9"/>
    <n v="1"/>
    <n v="9"/>
    <n v="15"/>
    <n v="0"/>
    <n v="25"/>
    <n v="0"/>
    <n v="0"/>
    <n v="7"/>
    <n v="15"/>
    <n v="46"/>
  </r>
  <r>
    <x v="75"/>
    <x v="1"/>
    <x v="148"/>
    <n v="1993"/>
    <n v="24"/>
    <x v="3"/>
    <s v="The Democratic Republic Of Congo"/>
    <n v="6300000"/>
    <n v="6300000"/>
    <x v="1"/>
    <n v="27"/>
    <n v="1871"/>
    <x v="0"/>
    <n v="683"/>
    <x v="6"/>
    <x v="2"/>
    <x v="0"/>
    <n v="6"/>
    <n v="8"/>
    <n v="3"/>
    <n v="3"/>
    <n v="0"/>
    <n v="11"/>
    <n v="0"/>
    <n v="0"/>
    <n v="0"/>
    <n v="2"/>
    <n v="1"/>
    <n v="0"/>
    <n v="0"/>
    <n v="100"/>
    <n v="2"/>
    <n v="26"/>
    <n v="30"/>
    <n v="0"/>
    <n v="58"/>
    <n v="0"/>
    <n v="0"/>
    <n v="33"/>
    <n v="23"/>
    <n v="20"/>
  </r>
  <r>
    <x v="75"/>
    <x v="3"/>
    <x v="149"/>
    <n v="1993"/>
    <n v="22"/>
    <x v="3"/>
    <s v="The Democratic Republic Of Congo"/>
    <n v="6300000"/>
    <n v="6300000"/>
    <x v="1"/>
    <n v="13"/>
    <n v="971"/>
    <x v="0"/>
    <n v="468"/>
    <x v="3"/>
    <x v="3"/>
    <x v="0"/>
    <n v="2"/>
    <n v="2"/>
    <n v="4"/>
    <n v="0"/>
    <n v="0"/>
    <n v="15"/>
    <n v="0"/>
    <n v="0"/>
    <n v="0"/>
    <n v="0"/>
    <n v="0"/>
    <n v="0"/>
    <n v="0"/>
    <n v="30"/>
    <n v="1"/>
    <n v="26"/>
    <n v="16"/>
    <n v="0"/>
    <n v="40"/>
    <n v="0"/>
    <n v="0"/>
    <n v="27"/>
    <n v="16"/>
    <n v="15"/>
  </r>
  <r>
    <x v="75"/>
    <x v="2"/>
    <x v="150"/>
    <n v="1993"/>
    <n v="24"/>
    <x v="3"/>
    <s v="The Democratic Republic Of Congo"/>
    <n v="6300000"/>
    <n v="6300000"/>
    <x v="1"/>
    <n v="23"/>
    <n v="1757"/>
    <x v="0"/>
    <n v="880"/>
    <x v="3"/>
    <x v="4"/>
    <x v="0"/>
    <n v="4"/>
    <n v="1"/>
    <n v="4"/>
    <n v="1"/>
    <n v="0"/>
    <n v="33"/>
    <n v="0"/>
    <n v="0"/>
    <n v="0"/>
    <n v="0"/>
    <n v="1"/>
    <n v="3"/>
    <n v="1"/>
    <n v="37"/>
    <n v="6"/>
    <n v="36"/>
    <n v="16"/>
    <n v="0"/>
    <n v="57"/>
    <n v="0"/>
    <n v="0"/>
    <n v="56"/>
    <n v="21"/>
    <n v="21"/>
  </r>
  <r>
    <x v="76"/>
    <x v="3"/>
    <x v="151"/>
    <n v="1989"/>
    <n v="26"/>
    <x v="5"/>
    <s v="Austria"/>
    <n v="2200000"/>
    <n v="2250000"/>
    <x v="0"/>
    <n v="28"/>
    <n v="1775"/>
    <x v="14"/>
    <n v="448"/>
    <x v="5"/>
    <x v="8"/>
    <x v="1"/>
    <n v="8"/>
    <n v="12"/>
    <n v="45"/>
    <n v="19"/>
    <n v="0"/>
    <n v="15"/>
    <n v="0"/>
    <n v="2"/>
    <n v="0"/>
    <n v="21"/>
    <n v="3"/>
    <n v="2"/>
    <n v="0"/>
    <n v="7"/>
    <n v="8"/>
    <n v="4"/>
    <n v="53"/>
    <n v="0"/>
    <n v="21"/>
    <n v="0"/>
    <n v="0"/>
    <n v="25"/>
    <n v="101"/>
    <n v="175"/>
  </r>
  <r>
    <x v="76"/>
    <x v="1"/>
    <x v="152"/>
    <n v="1989"/>
    <n v="28"/>
    <x v="5"/>
    <s v="Austria"/>
    <n v="2250000"/>
    <n v="7200000"/>
    <x v="0"/>
    <n v="36"/>
    <n v="2157"/>
    <x v="3"/>
    <n v="510"/>
    <x v="0"/>
    <x v="7"/>
    <x v="0"/>
    <n v="15"/>
    <n v="7"/>
    <n v="60"/>
    <n v="22"/>
    <n v="0"/>
    <n v="12"/>
    <n v="1"/>
    <n v="0"/>
    <n v="0"/>
    <n v="26"/>
    <n v="3"/>
    <n v="38"/>
    <n v="0"/>
    <n v="16"/>
    <n v="5"/>
    <n v="2"/>
    <n v="53"/>
    <n v="0"/>
    <n v="21"/>
    <n v="0"/>
    <n v="0"/>
    <n v="18"/>
    <n v="89"/>
    <n v="227"/>
  </r>
  <r>
    <x v="76"/>
    <x v="2"/>
    <x v="153"/>
    <n v="1989"/>
    <n v="28"/>
    <x v="5"/>
    <s v="Austria"/>
    <n v="7200000"/>
    <n v="9000000"/>
    <x v="0"/>
    <n v="37"/>
    <n v="2386"/>
    <x v="13"/>
    <n v="518"/>
    <x v="5"/>
    <x v="9"/>
    <x v="0"/>
    <n v="11"/>
    <n v="10"/>
    <n v="65"/>
    <n v="30"/>
    <n v="2"/>
    <n v="16"/>
    <n v="2"/>
    <n v="2"/>
    <n v="0"/>
    <n v="22"/>
    <n v="5"/>
    <n v="35"/>
    <n v="1"/>
    <n v="6"/>
    <n v="8"/>
    <n v="2"/>
    <n v="54"/>
    <n v="0"/>
    <n v="28"/>
    <n v="0"/>
    <n v="1"/>
    <n v="24"/>
    <n v="132"/>
    <n v="228"/>
  </r>
  <r>
    <x v="77"/>
    <x v="3"/>
    <x v="154"/>
    <n v="1995"/>
    <n v="20"/>
    <x v="3"/>
    <s v="England"/>
    <n v="550000"/>
    <n v="3150000"/>
    <x v="0"/>
    <n v="16"/>
    <n v="354"/>
    <x v="0"/>
    <n v="91"/>
    <x v="0"/>
    <x v="4"/>
    <x v="0"/>
    <n v="14"/>
    <n v="0"/>
    <n v="9"/>
    <n v="5"/>
    <n v="0"/>
    <n v="3"/>
    <n v="0"/>
    <n v="0"/>
    <n v="0"/>
    <n v="1"/>
    <n v="0"/>
    <n v="1"/>
    <n v="0"/>
    <n v="6"/>
    <n v="0"/>
    <n v="0"/>
    <n v="9"/>
    <n v="0"/>
    <n v="3"/>
    <n v="0"/>
    <n v="0"/>
    <n v="3"/>
    <n v="12"/>
    <n v="27"/>
  </r>
  <r>
    <x v="78"/>
    <x v="0"/>
    <x v="155"/>
    <n v="1990"/>
    <n v="25"/>
    <x v="15"/>
    <s v="England"/>
    <n v="4400000"/>
    <n v="4400000"/>
    <x v="2"/>
    <n v="30"/>
    <n v="2719"/>
    <x v="5"/>
    <n v="1512"/>
    <x v="5"/>
    <x v="8"/>
    <x v="0"/>
    <n v="0"/>
    <n v="3"/>
    <n v="38"/>
    <n v="9"/>
    <n v="0"/>
    <n v="8"/>
    <n v="0"/>
    <n v="0"/>
    <n v="0"/>
    <n v="0"/>
    <n v="0"/>
    <n v="0"/>
    <n v="53"/>
    <n v="94"/>
    <n v="12"/>
    <n v="58"/>
    <n v="30"/>
    <n v="0"/>
    <n v="62"/>
    <n v="0"/>
    <n v="0"/>
    <n v="23"/>
    <n v="6"/>
    <n v="20"/>
  </r>
  <r>
    <x v="78"/>
    <x v="2"/>
    <x v="156"/>
    <n v="1990"/>
    <n v="28"/>
    <x v="5"/>
    <s v="England"/>
    <n v="4400000"/>
    <n v="7700000"/>
    <x v="2"/>
    <n v="34"/>
    <n v="2822"/>
    <x v="5"/>
    <n v="1419"/>
    <x v="4"/>
    <x v="2"/>
    <x v="0"/>
    <n v="3"/>
    <n v="0"/>
    <n v="22"/>
    <n v="7"/>
    <n v="0"/>
    <n v="10"/>
    <n v="0"/>
    <n v="0"/>
    <n v="0"/>
    <n v="1"/>
    <n v="5"/>
    <n v="15"/>
    <n v="43"/>
    <n v="87"/>
    <n v="9"/>
    <n v="46"/>
    <n v="30"/>
    <n v="0"/>
    <n v="59"/>
    <n v="0"/>
    <n v="0"/>
    <n v="40"/>
    <n v="20"/>
    <n v="18"/>
  </r>
  <r>
    <x v="78"/>
    <x v="1"/>
    <x v="157"/>
    <n v="1990"/>
    <n v="27"/>
    <x v="5"/>
    <s v="England"/>
    <n v="4400000"/>
    <n v="4400000"/>
    <x v="2"/>
    <n v="19"/>
    <n v="1107"/>
    <x v="0"/>
    <n v="599"/>
    <x v="3"/>
    <x v="4"/>
    <x v="0"/>
    <n v="7"/>
    <n v="2"/>
    <n v="1"/>
    <n v="1"/>
    <n v="0"/>
    <n v="7"/>
    <n v="0"/>
    <n v="0"/>
    <n v="0"/>
    <n v="0"/>
    <n v="0"/>
    <n v="0"/>
    <n v="2"/>
    <n v="13"/>
    <n v="9"/>
    <n v="19"/>
    <n v="13"/>
    <n v="0"/>
    <n v="13"/>
    <n v="0"/>
    <n v="0"/>
    <n v="16"/>
    <n v="10"/>
    <n v="5"/>
  </r>
  <r>
    <x v="79"/>
    <x v="0"/>
    <x v="158"/>
    <n v="1984"/>
    <n v="30"/>
    <x v="0"/>
    <s v="Wales"/>
    <n v="5850000"/>
    <n v="5850000"/>
    <x v="1"/>
    <n v="36"/>
    <n v="3240"/>
    <x v="5"/>
    <n v="1883"/>
    <x v="0"/>
    <x v="9"/>
    <x v="0"/>
    <n v="0"/>
    <n v="0"/>
    <n v="16"/>
    <n v="0"/>
    <n v="0"/>
    <n v="172"/>
    <n v="0"/>
    <n v="0"/>
    <n v="0"/>
    <n v="2"/>
    <n v="2"/>
    <n v="0"/>
    <n v="0"/>
    <n v="3"/>
    <n v="43"/>
    <n v="99"/>
    <n v="30"/>
    <n v="2"/>
    <n v="68"/>
    <n v="0"/>
    <n v="0"/>
    <n v="314"/>
    <n v="73"/>
    <n v="53"/>
  </r>
  <r>
    <x v="79"/>
    <x v="3"/>
    <x v="159"/>
    <n v="1984"/>
    <n v="31"/>
    <x v="4"/>
    <s v="Wales"/>
    <n v="5850000"/>
    <n v="7200000"/>
    <x v="1"/>
    <n v="36"/>
    <n v="3158"/>
    <x v="4"/>
    <n v="1720"/>
    <x v="6"/>
    <x v="1"/>
    <x v="0"/>
    <n v="0"/>
    <n v="0"/>
    <n v="15"/>
    <n v="6"/>
    <n v="0"/>
    <n v="152"/>
    <n v="0"/>
    <n v="0"/>
    <n v="0"/>
    <n v="3"/>
    <n v="0"/>
    <n v="0"/>
    <n v="0"/>
    <n v="0"/>
    <n v="27"/>
    <n v="57"/>
    <n v="38"/>
    <n v="0"/>
    <n v="53"/>
    <n v="0"/>
    <n v="0"/>
    <n v="287"/>
    <n v="82"/>
    <n v="62"/>
  </r>
  <r>
    <x v="79"/>
    <x v="1"/>
    <x v="160"/>
    <n v="1984"/>
    <n v="32"/>
    <x v="4"/>
    <s v="Wales"/>
    <n v="7200000"/>
    <n v="4500000"/>
    <x v="1"/>
    <n v="24"/>
    <n v="1832"/>
    <x v="4"/>
    <n v="732"/>
    <x v="0"/>
    <x v="6"/>
    <x v="1"/>
    <n v="4"/>
    <n v="3"/>
    <n v="13"/>
    <n v="3"/>
    <n v="0"/>
    <n v="95"/>
    <n v="1"/>
    <n v="0"/>
    <n v="0"/>
    <n v="3"/>
    <n v="0"/>
    <n v="10"/>
    <n v="0"/>
    <n v="1"/>
    <n v="23"/>
    <n v="36"/>
    <n v="25"/>
    <n v="0"/>
    <n v="23"/>
    <n v="1"/>
    <n v="0"/>
    <n v="170"/>
    <n v="52"/>
    <n v="42"/>
  </r>
  <r>
    <x v="80"/>
    <x v="0"/>
    <x v="161"/>
    <n v="1985"/>
    <n v="30"/>
    <x v="22"/>
    <s v="England"/>
    <n v="9000000"/>
    <n v="9000000"/>
    <x v="1"/>
    <n v="18"/>
    <n v="1063"/>
    <x v="0"/>
    <n v="566"/>
    <x v="5"/>
    <x v="2"/>
    <x v="0"/>
    <n v="7"/>
    <n v="3"/>
    <n v="7"/>
    <n v="3"/>
    <n v="0"/>
    <n v="5"/>
    <n v="0"/>
    <n v="0"/>
    <n v="0"/>
    <n v="2"/>
    <n v="0"/>
    <n v="0"/>
    <n v="6"/>
    <n v="77"/>
    <n v="0"/>
    <n v="26"/>
    <n v="15"/>
    <n v="0"/>
    <n v="20"/>
    <n v="0"/>
    <n v="0"/>
    <n v="18"/>
    <n v="12"/>
    <n v="6"/>
  </r>
  <r>
    <x v="80"/>
    <x v="2"/>
    <x v="162"/>
    <n v="1985"/>
    <n v="33"/>
    <x v="22"/>
    <s v="England"/>
    <n v="6300000"/>
    <n v="4500000"/>
    <x v="1"/>
    <n v="30"/>
    <n v="2569"/>
    <x v="5"/>
    <n v="1376"/>
    <x v="5"/>
    <x v="9"/>
    <x v="0"/>
    <n v="2"/>
    <n v="0"/>
    <n v="12"/>
    <n v="3"/>
    <n v="0"/>
    <n v="19"/>
    <n v="0"/>
    <n v="0"/>
    <n v="0"/>
    <n v="4"/>
    <n v="2"/>
    <n v="9"/>
    <n v="102"/>
    <n v="197"/>
    <n v="10"/>
    <n v="55"/>
    <n v="37"/>
    <n v="0"/>
    <n v="52"/>
    <n v="0"/>
    <n v="0"/>
    <n v="58"/>
    <n v="23"/>
    <n v="12"/>
  </r>
  <r>
    <x v="80"/>
    <x v="1"/>
    <x v="163"/>
    <n v="1985"/>
    <n v="32"/>
    <x v="22"/>
    <s v="England"/>
    <n v="4500000"/>
    <n v="6300000"/>
    <x v="1"/>
    <n v="30"/>
    <n v="2445"/>
    <x v="5"/>
    <n v="1285"/>
    <x v="2"/>
    <x v="1"/>
    <x v="0"/>
    <n v="2"/>
    <n v="7"/>
    <n v="18"/>
    <n v="4"/>
    <n v="1"/>
    <n v="36"/>
    <n v="0"/>
    <n v="0"/>
    <n v="1"/>
    <n v="0"/>
    <n v="2"/>
    <n v="14"/>
    <n v="24"/>
    <n v="121"/>
    <n v="5"/>
    <n v="57"/>
    <n v="29"/>
    <n v="0"/>
    <n v="53"/>
    <n v="0"/>
    <n v="0"/>
    <n v="72"/>
    <n v="19"/>
    <n v="21"/>
  </r>
  <r>
    <x v="80"/>
    <x v="3"/>
    <x v="164"/>
    <n v="1985"/>
    <n v="31"/>
    <x v="22"/>
    <s v="England"/>
    <n v="9000000"/>
    <n v="4500000"/>
    <x v="1"/>
    <n v="12"/>
    <n v="756"/>
    <x v="0"/>
    <n v="429"/>
    <x v="3"/>
    <x v="4"/>
    <x v="0"/>
    <n v="4"/>
    <n v="3"/>
    <n v="5"/>
    <n v="0"/>
    <n v="0"/>
    <n v="6"/>
    <n v="0"/>
    <n v="0"/>
    <n v="0"/>
    <n v="0"/>
    <n v="1"/>
    <n v="0"/>
    <n v="8"/>
    <n v="38"/>
    <n v="2"/>
    <n v="16"/>
    <n v="9"/>
    <n v="0"/>
    <n v="18"/>
    <n v="0"/>
    <n v="0"/>
    <n v="25"/>
    <n v="3"/>
    <n v="5"/>
  </r>
  <r>
    <x v="81"/>
    <x v="2"/>
    <x v="165"/>
    <n v="1994"/>
    <n v="24"/>
    <x v="19"/>
    <s v="France"/>
    <n v="45000000"/>
    <n v="67500000"/>
    <x v="1"/>
    <n v="35"/>
    <n v="3057"/>
    <x v="7"/>
    <n v="2998"/>
    <x v="6"/>
    <x v="6"/>
    <x v="0"/>
    <n v="1"/>
    <n v="1"/>
    <n v="26"/>
    <n v="7"/>
    <n v="0"/>
    <n v="62"/>
    <n v="3"/>
    <n v="0"/>
    <n v="0"/>
    <n v="2"/>
    <n v="0"/>
    <n v="19"/>
    <n v="0"/>
    <n v="6"/>
    <n v="9"/>
    <n v="39"/>
    <n v="21"/>
    <n v="0"/>
    <n v="42"/>
    <n v="0"/>
    <n v="0"/>
    <n v="95"/>
    <n v="78"/>
    <n v="57"/>
  </r>
  <r>
    <x v="82"/>
    <x v="0"/>
    <x v="166"/>
    <n v="1993"/>
    <n v="22"/>
    <x v="20"/>
    <s v="Spain"/>
    <n v="7200000"/>
    <n v="8800000"/>
    <x v="0"/>
    <n v="34"/>
    <n v="2045"/>
    <x v="14"/>
    <n v="588"/>
    <x v="5"/>
    <x v="5"/>
    <x v="0"/>
    <n v="12"/>
    <n v="12"/>
    <n v="50"/>
    <n v="16"/>
    <n v="0"/>
    <n v="6"/>
    <n v="0"/>
    <n v="0"/>
    <n v="0"/>
    <n v="5"/>
    <n v="5"/>
    <n v="3"/>
    <n v="33"/>
    <n v="73"/>
    <n v="3"/>
    <n v="28"/>
    <n v="35"/>
    <n v="0"/>
    <n v="56"/>
    <n v="0"/>
    <n v="0"/>
    <n v="13"/>
    <n v="7"/>
    <n v="29"/>
  </r>
  <r>
    <x v="82"/>
    <x v="1"/>
    <x v="167"/>
    <n v="1993"/>
    <n v="24"/>
    <x v="20"/>
    <s v="Spain"/>
    <n v="7200000"/>
    <n v="9000000"/>
    <x v="0"/>
    <n v="36"/>
    <n v="2494"/>
    <x v="9"/>
    <n v="718"/>
    <x v="8"/>
    <x v="6"/>
    <x v="0"/>
    <n v="8"/>
    <n v="13"/>
    <n v="60"/>
    <n v="23"/>
    <n v="1"/>
    <n v="10"/>
    <n v="0"/>
    <n v="0"/>
    <n v="0"/>
    <n v="14"/>
    <n v="14"/>
    <n v="37"/>
    <n v="0"/>
    <n v="22"/>
    <n v="1"/>
    <n v="24"/>
    <n v="36"/>
    <n v="1"/>
    <n v="39"/>
    <n v="0"/>
    <n v="1"/>
    <n v="24"/>
    <n v="44"/>
    <n v="89"/>
  </r>
  <r>
    <x v="82"/>
    <x v="2"/>
    <x v="168"/>
    <n v="1993"/>
    <n v="25"/>
    <x v="20"/>
    <s v="Spain"/>
    <n v="9000000"/>
    <n v="18000000"/>
    <x v="0"/>
    <n v="37"/>
    <n v="2927"/>
    <x v="13"/>
    <n v="779"/>
    <x v="5"/>
    <x v="0"/>
    <x v="0"/>
    <n v="3"/>
    <n v="15"/>
    <n v="55"/>
    <n v="28"/>
    <n v="1"/>
    <n v="14"/>
    <n v="4"/>
    <n v="0"/>
    <n v="0"/>
    <n v="9"/>
    <n v="6"/>
    <n v="27"/>
    <n v="0"/>
    <n v="22"/>
    <n v="4"/>
    <n v="42"/>
    <n v="46"/>
    <n v="0"/>
    <n v="60"/>
    <n v="0"/>
    <n v="0"/>
    <n v="28"/>
    <n v="26"/>
    <n v="78"/>
  </r>
  <r>
    <x v="83"/>
    <x v="0"/>
    <x v="169"/>
    <n v="1983"/>
    <n v="32"/>
    <x v="19"/>
    <s v="France"/>
    <n v="5400000"/>
    <n v="6300000"/>
    <x v="1"/>
    <n v="28"/>
    <n v="2448"/>
    <x v="0"/>
    <n v="1587"/>
    <x v="6"/>
    <x v="5"/>
    <x v="0"/>
    <n v="1"/>
    <n v="1"/>
    <n v="5"/>
    <n v="2"/>
    <n v="0"/>
    <n v="61"/>
    <n v="0"/>
    <n v="0"/>
    <n v="0"/>
    <n v="0"/>
    <n v="2"/>
    <n v="0"/>
    <n v="0"/>
    <n v="74"/>
    <n v="7"/>
    <n v="50"/>
    <n v="17"/>
    <n v="0"/>
    <n v="50"/>
    <n v="0"/>
    <n v="0"/>
    <n v="99"/>
    <n v="86"/>
    <n v="57"/>
  </r>
  <r>
    <x v="83"/>
    <x v="3"/>
    <x v="170"/>
    <n v="1983"/>
    <n v="33"/>
    <x v="19"/>
    <s v="France"/>
    <n v="6300000"/>
    <n v="3600000"/>
    <x v="1"/>
    <n v="17"/>
    <n v="1345"/>
    <x v="0"/>
    <n v="832"/>
    <x v="3"/>
    <x v="4"/>
    <x v="0"/>
    <n v="3"/>
    <n v="1"/>
    <n v="4"/>
    <n v="1"/>
    <n v="0"/>
    <n v="28"/>
    <n v="0"/>
    <n v="0"/>
    <n v="0"/>
    <n v="1"/>
    <n v="0"/>
    <n v="0"/>
    <n v="0"/>
    <n v="26"/>
    <n v="3"/>
    <n v="20"/>
    <n v="3"/>
    <n v="0"/>
    <n v="23"/>
    <n v="0"/>
    <n v="0"/>
    <n v="48"/>
    <n v="39"/>
    <n v="29"/>
  </r>
  <r>
    <x v="84"/>
    <x v="1"/>
    <x v="171"/>
    <n v="1990"/>
    <n v="27"/>
    <x v="25"/>
    <s v="Senegal"/>
    <n v="5500000"/>
    <n v="16500000"/>
    <x v="2"/>
    <n v="13"/>
    <n v="1140"/>
    <x v="5"/>
    <n v="337"/>
    <x v="3"/>
    <x v="2"/>
    <x v="0"/>
    <n v="0"/>
    <n v="2"/>
    <n v="19"/>
    <n v="6"/>
    <n v="0"/>
    <n v="7"/>
    <n v="0"/>
    <n v="0"/>
    <n v="0"/>
    <n v="2"/>
    <n v="1"/>
    <n v="13"/>
    <n v="0"/>
    <n v="4"/>
    <n v="9"/>
    <n v="13"/>
    <n v="24"/>
    <n v="1"/>
    <n v="53"/>
    <n v="0"/>
    <n v="0"/>
    <n v="17"/>
    <n v="10"/>
    <n v="10"/>
  </r>
  <r>
    <x v="85"/>
    <x v="0"/>
    <x v="172"/>
    <n v="1985"/>
    <n v="29"/>
    <x v="0"/>
    <s v="France"/>
    <n v="7300000"/>
    <n v="6300000"/>
    <x v="0"/>
    <n v="33"/>
    <n v="1694"/>
    <x v="14"/>
    <n v="509"/>
    <x v="0"/>
    <x v="0"/>
    <x v="0"/>
    <n v="15"/>
    <n v="8"/>
    <n v="59"/>
    <n v="17"/>
    <n v="2"/>
    <n v="13"/>
    <n v="0"/>
    <n v="1"/>
    <n v="0"/>
    <n v="38"/>
    <n v="0"/>
    <n v="6"/>
    <n v="0"/>
    <n v="3"/>
    <n v="0"/>
    <n v="6"/>
    <n v="17"/>
    <n v="0"/>
    <n v="7"/>
    <n v="0"/>
    <n v="0"/>
    <n v="19"/>
    <n v="31"/>
    <n v="45"/>
  </r>
  <r>
    <x v="86"/>
    <x v="0"/>
    <x v="173"/>
    <n v="1988"/>
    <n v="27"/>
    <x v="8"/>
    <s v="Mali"/>
    <n v="4500000"/>
    <n v="7200000"/>
    <x v="2"/>
    <n v="20"/>
    <n v="1074"/>
    <x v="5"/>
    <n v="336"/>
    <x v="3"/>
    <x v="3"/>
    <x v="0"/>
    <n v="9"/>
    <n v="8"/>
    <n v="34"/>
    <n v="15"/>
    <n v="0"/>
    <n v="3"/>
    <n v="0"/>
    <n v="0"/>
    <n v="0"/>
    <n v="8"/>
    <n v="0"/>
    <n v="3"/>
    <n v="20"/>
    <n v="77"/>
    <n v="4"/>
    <n v="14"/>
    <n v="13"/>
    <n v="0"/>
    <n v="18"/>
    <n v="0"/>
    <n v="0"/>
    <n v="7"/>
    <n v="8"/>
    <n v="18"/>
  </r>
  <r>
    <x v="86"/>
    <x v="1"/>
    <x v="174"/>
    <n v="1988"/>
    <n v="29"/>
    <x v="8"/>
    <s v="Mali"/>
    <n v="5400000"/>
    <n v="4500000"/>
    <x v="2"/>
    <n v="16"/>
    <n v="468"/>
    <x v="7"/>
    <n v="131"/>
    <x v="0"/>
    <x v="0"/>
    <x v="0"/>
    <n v="12"/>
    <n v="2"/>
    <n v="17"/>
    <n v="6"/>
    <n v="0"/>
    <n v="0"/>
    <n v="0"/>
    <n v="0"/>
    <n v="0"/>
    <n v="4"/>
    <n v="0"/>
    <n v="11"/>
    <n v="4"/>
    <n v="27"/>
    <n v="0"/>
    <n v="1"/>
    <n v="8"/>
    <n v="0"/>
    <n v="7"/>
    <n v="0"/>
    <n v="0"/>
    <n v="0"/>
    <n v="11"/>
    <n v="16"/>
  </r>
  <r>
    <x v="87"/>
    <x v="0"/>
    <x v="175"/>
    <n v="1984"/>
    <n v="30"/>
    <x v="22"/>
    <s v="Germany"/>
    <n v="19800000"/>
    <n v="10800000"/>
    <x v="2"/>
    <n v="18"/>
    <n v="1202"/>
    <x v="4"/>
    <n v="1067"/>
    <x v="0"/>
    <x v="6"/>
    <x v="0"/>
    <n v="5"/>
    <n v="5"/>
    <n v="12"/>
    <n v="3"/>
    <n v="0"/>
    <n v="10"/>
    <n v="0"/>
    <n v="0"/>
    <n v="0"/>
    <n v="0"/>
    <n v="2"/>
    <n v="0"/>
    <n v="1"/>
    <n v="7"/>
    <n v="3"/>
    <n v="23"/>
    <n v="19"/>
    <n v="0"/>
    <n v="36"/>
    <n v="0"/>
    <n v="0"/>
    <n v="16"/>
    <n v="16"/>
    <n v="22"/>
  </r>
  <r>
    <x v="88"/>
    <x v="2"/>
    <x v="176"/>
    <n v="1996"/>
    <n v="21"/>
    <x v="17"/>
    <s v="England"/>
    <n v="7200000"/>
    <n v="31500000"/>
    <x v="1"/>
    <n v="36"/>
    <n v="3240"/>
    <x v="0"/>
    <n v="1684"/>
    <x v="2"/>
    <x v="5"/>
    <x v="0"/>
    <n v="0"/>
    <n v="0"/>
    <n v="22"/>
    <n v="10"/>
    <n v="0"/>
    <n v="81"/>
    <n v="0"/>
    <n v="0"/>
    <n v="0"/>
    <n v="2"/>
    <n v="3"/>
    <n v="12"/>
    <n v="4"/>
    <n v="132"/>
    <n v="7"/>
    <n v="38"/>
    <n v="32"/>
    <n v="1"/>
    <n v="55"/>
    <n v="0"/>
    <n v="0"/>
    <n v="129"/>
    <n v="111"/>
    <n v="72"/>
  </r>
  <r>
    <x v="88"/>
    <x v="3"/>
    <x v="177"/>
    <n v="1996"/>
    <n v="19"/>
    <x v="17"/>
    <s v="England"/>
    <n v="2250000"/>
    <n v="2250000"/>
    <x v="1"/>
    <n v="12"/>
    <n v="696"/>
    <x v="4"/>
    <n v="301"/>
    <x v="0"/>
    <x v="4"/>
    <x v="0"/>
    <n v="5"/>
    <n v="0"/>
    <n v="7"/>
    <n v="2"/>
    <n v="0"/>
    <n v="8"/>
    <n v="0"/>
    <n v="0"/>
    <n v="0"/>
    <n v="1"/>
    <n v="2"/>
    <n v="0"/>
    <n v="0"/>
    <n v="18"/>
    <n v="3"/>
    <n v="23"/>
    <n v="7"/>
    <n v="0"/>
    <n v="23"/>
    <n v="0"/>
    <n v="0"/>
    <n v="16"/>
    <n v="27"/>
    <n v="18"/>
  </r>
  <r>
    <x v="88"/>
    <x v="1"/>
    <x v="178"/>
    <n v="1996"/>
    <n v="20"/>
    <x v="17"/>
    <s v="England"/>
    <n v="2250000"/>
    <n v="7200000"/>
    <x v="1"/>
    <n v="24"/>
    <n v="1852"/>
    <x v="0"/>
    <n v="901"/>
    <x v="5"/>
    <x v="3"/>
    <x v="1"/>
    <n v="4"/>
    <n v="3"/>
    <n v="1"/>
    <n v="1"/>
    <n v="0"/>
    <n v="33"/>
    <n v="0"/>
    <n v="0"/>
    <n v="0"/>
    <n v="4"/>
    <n v="0"/>
    <n v="0"/>
    <n v="1"/>
    <n v="84"/>
    <n v="4"/>
    <n v="28"/>
    <n v="13"/>
    <n v="0"/>
    <n v="36"/>
    <n v="1"/>
    <n v="0"/>
    <n v="62"/>
    <n v="67"/>
    <n v="61"/>
  </r>
  <r>
    <x v="89"/>
    <x v="2"/>
    <x v="179"/>
    <n v="1993"/>
    <n v="25"/>
    <x v="26"/>
    <s v="Wales"/>
    <n v="22500000"/>
    <n v="22500000"/>
    <x v="1"/>
    <n v="27"/>
    <n v="1839"/>
    <x v="0"/>
    <n v="1085"/>
    <x v="0"/>
    <x v="4"/>
    <x v="0"/>
    <n v="7"/>
    <n v="2"/>
    <n v="14"/>
    <n v="1"/>
    <n v="0"/>
    <n v="36"/>
    <n v="0"/>
    <n v="0"/>
    <n v="0"/>
    <n v="0"/>
    <n v="0"/>
    <n v="13"/>
    <n v="7"/>
    <n v="43"/>
    <n v="10"/>
    <n v="23"/>
    <n v="18"/>
    <n v="0"/>
    <n v="56"/>
    <n v="0"/>
    <n v="0"/>
    <n v="62"/>
    <n v="45"/>
    <n v="37"/>
  </r>
  <r>
    <x v="89"/>
    <x v="3"/>
    <x v="180"/>
    <n v="1993"/>
    <n v="23"/>
    <x v="26"/>
    <s v="Wales"/>
    <n v="7200000"/>
    <n v="10800000"/>
    <x v="1"/>
    <n v="23"/>
    <n v="1735"/>
    <x v="4"/>
    <n v="1052"/>
    <x v="6"/>
    <x v="3"/>
    <x v="0"/>
    <n v="5"/>
    <n v="1"/>
    <n v="13"/>
    <n v="4"/>
    <n v="0"/>
    <n v="41"/>
    <n v="0"/>
    <n v="0"/>
    <n v="0"/>
    <n v="2"/>
    <n v="1"/>
    <n v="0"/>
    <n v="14"/>
    <n v="75"/>
    <n v="7"/>
    <n v="12"/>
    <n v="13"/>
    <n v="0"/>
    <n v="39"/>
    <n v="0"/>
    <n v="0"/>
    <n v="78"/>
    <n v="48"/>
    <n v="43"/>
  </r>
  <r>
    <x v="89"/>
    <x v="0"/>
    <x v="181"/>
    <n v="1993"/>
    <n v="22"/>
    <x v="26"/>
    <s v="Wales"/>
    <n v="7200000"/>
    <n v="7200000"/>
    <x v="1"/>
    <n v="17"/>
    <n v="1288"/>
    <x v="0"/>
    <n v="623"/>
    <x v="0"/>
    <x v="6"/>
    <x v="0"/>
    <n v="3"/>
    <n v="0"/>
    <n v="9"/>
    <n v="0"/>
    <n v="1"/>
    <n v="36"/>
    <n v="0"/>
    <n v="0"/>
    <n v="0"/>
    <n v="0"/>
    <n v="2"/>
    <n v="0"/>
    <n v="1"/>
    <n v="42"/>
    <n v="6"/>
    <n v="28"/>
    <n v="16"/>
    <n v="0"/>
    <n v="32"/>
    <n v="0"/>
    <n v="0"/>
    <n v="61"/>
    <n v="25"/>
    <n v="24"/>
  </r>
  <r>
    <x v="89"/>
    <x v="1"/>
    <x v="182"/>
    <n v="1993"/>
    <n v="24"/>
    <x v="26"/>
    <s v="Wales"/>
    <n v="10800000"/>
    <n v="22500000"/>
    <x v="1"/>
    <n v="29"/>
    <n v="2325"/>
    <x v="5"/>
    <n v="1304"/>
    <x v="1"/>
    <x v="6"/>
    <x v="0"/>
    <n v="3"/>
    <n v="2"/>
    <n v="18"/>
    <n v="6"/>
    <n v="0"/>
    <n v="33"/>
    <n v="0"/>
    <n v="0"/>
    <n v="0"/>
    <n v="0"/>
    <n v="0"/>
    <n v="12"/>
    <n v="49"/>
    <n v="149"/>
    <n v="5"/>
    <n v="28"/>
    <n v="24"/>
    <n v="0"/>
    <n v="47"/>
    <n v="0"/>
    <n v="0"/>
    <n v="62"/>
    <n v="45"/>
    <n v="50"/>
  </r>
  <r>
    <x v="90"/>
    <x v="3"/>
    <x v="183"/>
    <n v="1993"/>
    <n v="23"/>
    <x v="2"/>
    <s v="England"/>
    <n v="2200000"/>
    <n v="8800000"/>
    <x v="1"/>
    <n v="38"/>
    <n v="3420"/>
    <x v="4"/>
    <n v="1682"/>
    <x v="3"/>
    <x v="5"/>
    <x v="0"/>
    <n v="0"/>
    <n v="0"/>
    <n v="15"/>
    <n v="6"/>
    <n v="0"/>
    <n v="119"/>
    <n v="1"/>
    <n v="0"/>
    <n v="0"/>
    <n v="1"/>
    <n v="0"/>
    <n v="0"/>
    <n v="0"/>
    <n v="0"/>
    <n v="31"/>
    <n v="57"/>
    <n v="19"/>
    <n v="2"/>
    <n v="31"/>
    <n v="0"/>
    <n v="0"/>
    <n v="234"/>
    <n v="61"/>
    <n v="67"/>
  </r>
  <r>
    <x v="91"/>
    <x v="3"/>
    <x v="184"/>
    <n v="1989"/>
    <n v="26"/>
    <x v="5"/>
    <s v="England"/>
    <n v="3150000"/>
    <n v="5400000"/>
    <x v="1"/>
    <n v="34"/>
    <n v="3015"/>
    <x v="0"/>
    <n v="1146"/>
    <x v="0"/>
    <x v="2"/>
    <x v="0"/>
    <n v="0"/>
    <n v="1"/>
    <n v="16"/>
    <n v="6"/>
    <n v="0"/>
    <n v="176"/>
    <n v="0"/>
    <n v="0"/>
    <n v="0"/>
    <n v="0"/>
    <n v="0"/>
    <n v="0"/>
    <n v="0"/>
    <n v="4"/>
    <n v="46"/>
    <n v="72"/>
    <n v="23"/>
    <n v="2"/>
    <n v="47"/>
    <n v="1"/>
    <n v="2"/>
    <n v="300"/>
    <n v="126"/>
    <n v="77"/>
  </r>
  <r>
    <x v="91"/>
    <x v="1"/>
    <x v="185"/>
    <n v="1989"/>
    <n v="28"/>
    <x v="5"/>
    <s v="England"/>
    <n v="5400000"/>
    <n v="9000000"/>
    <x v="1"/>
    <n v="29"/>
    <n v="2610"/>
    <x v="0"/>
    <n v="1071"/>
    <x v="0"/>
    <x v="2"/>
    <x v="0"/>
    <n v="0"/>
    <n v="0"/>
    <n v="25"/>
    <n v="8"/>
    <n v="0"/>
    <n v="138"/>
    <n v="0"/>
    <n v="0"/>
    <n v="0"/>
    <n v="3"/>
    <n v="0"/>
    <n v="17"/>
    <n v="0"/>
    <n v="3"/>
    <n v="42"/>
    <n v="33"/>
    <n v="14"/>
    <n v="2"/>
    <n v="33"/>
    <n v="1"/>
    <n v="0"/>
    <n v="208"/>
    <n v="117"/>
    <n v="78"/>
  </r>
  <r>
    <x v="91"/>
    <x v="2"/>
    <x v="186"/>
    <n v="1989"/>
    <n v="28"/>
    <x v="5"/>
    <s v="England"/>
    <n v="9000000"/>
    <n v="9000000"/>
    <x v="1"/>
    <n v="38"/>
    <n v="3420"/>
    <x v="0"/>
    <n v="1502"/>
    <x v="5"/>
    <x v="10"/>
    <x v="0"/>
    <n v="0"/>
    <n v="0"/>
    <n v="21"/>
    <n v="4"/>
    <n v="1"/>
    <n v="127"/>
    <n v="0"/>
    <n v="0"/>
    <n v="0"/>
    <n v="0"/>
    <n v="1"/>
    <n v="17"/>
    <n v="0"/>
    <n v="4"/>
    <n v="50"/>
    <n v="48"/>
    <n v="27"/>
    <n v="1"/>
    <n v="54"/>
    <n v="1"/>
    <n v="2"/>
    <n v="232"/>
    <n v="149"/>
    <n v="105"/>
  </r>
  <r>
    <x v="92"/>
    <x v="0"/>
    <x v="187"/>
    <n v="1985"/>
    <n v="30"/>
    <x v="9"/>
    <s v="England"/>
    <n v="1350000"/>
    <n v="1350000"/>
    <x v="2"/>
    <n v="35"/>
    <n v="2815"/>
    <x v="5"/>
    <n v="1436"/>
    <x v="0"/>
    <x v="5"/>
    <x v="0"/>
    <n v="4"/>
    <n v="3"/>
    <n v="17"/>
    <n v="4"/>
    <n v="2"/>
    <n v="19"/>
    <n v="0"/>
    <n v="0"/>
    <n v="0"/>
    <n v="0"/>
    <n v="0"/>
    <n v="0"/>
    <n v="89"/>
    <n v="123"/>
    <n v="13"/>
    <n v="88"/>
    <n v="36"/>
    <n v="0"/>
    <n v="71"/>
    <n v="0"/>
    <n v="0"/>
    <n v="62"/>
    <n v="41"/>
    <n v="33"/>
  </r>
  <r>
    <x v="93"/>
    <x v="0"/>
    <x v="188"/>
    <n v="1993"/>
    <n v="22"/>
    <x v="14"/>
    <s v="The Democratic Republic Of Congo"/>
    <n v="1650000"/>
    <n v="6300000"/>
    <x v="0"/>
    <n v="15"/>
    <n v="936"/>
    <x v="6"/>
    <n v="224"/>
    <x v="0"/>
    <x v="0"/>
    <x v="0"/>
    <n v="3"/>
    <n v="10"/>
    <n v="14"/>
    <n v="0"/>
    <n v="0"/>
    <n v="6"/>
    <n v="3"/>
    <n v="0"/>
    <n v="0"/>
    <n v="9"/>
    <n v="0"/>
    <n v="4"/>
    <n v="0"/>
    <n v="4"/>
    <n v="0"/>
    <n v="2"/>
    <n v="15"/>
    <n v="0"/>
    <n v="5"/>
    <n v="0"/>
    <n v="0"/>
    <n v="9"/>
    <n v="10"/>
    <n v="31"/>
  </r>
  <r>
    <x v="93"/>
    <x v="3"/>
    <x v="189"/>
    <n v="1993"/>
    <n v="23"/>
    <x v="14"/>
    <s v="The Democratic Republic Of Congo"/>
    <n v="6300000"/>
    <n v="8100000"/>
    <x v="0"/>
    <n v="31"/>
    <n v="1454"/>
    <x v="14"/>
    <n v="297"/>
    <x v="6"/>
    <x v="3"/>
    <x v="0"/>
    <n v="17"/>
    <n v="7"/>
    <n v="39"/>
    <n v="18"/>
    <n v="2"/>
    <n v="16"/>
    <n v="0"/>
    <n v="0"/>
    <n v="0"/>
    <n v="14"/>
    <n v="0"/>
    <n v="13"/>
    <n v="2"/>
    <n v="2"/>
    <n v="2"/>
    <n v="5"/>
    <n v="21"/>
    <n v="0"/>
    <n v="9"/>
    <n v="0"/>
    <n v="0"/>
    <n v="19"/>
    <n v="40"/>
    <n v="65"/>
  </r>
  <r>
    <x v="93"/>
    <x v="1"/>
    <x v="190"/>
    <n v="1993"/>
    <n v="24"/>
    <x v="14"/>
    <s v="The Democratic Republic Of Congo"/>
    <n v="8100000"/>
    <n v="9000000"/>
    <x v="0"/>
    <n v="17"/>
    <n v="533"/>
    <x v="0"/>
    <n v="152"/>
    <x v="0"/>
    <x v="0"/>
    <x v="0"/>
    <n v="12"/>
    <n v="5"/>
    <n v="3"/>
    <n v="3"/>
    <n v="0"/>
    <n v="5"/>
    <n v="0"/>
    <n v="0"/>
    <n v="0"/>
    <n v="4"/>
    <n v="0"/>
    <n v="0"/>
    <n v="0"/>
    <n v="2"/>
    <n v="0"/>
    <n v="0"/>
    <n v="9"/>
    <n v="0"/>
    <n v="4"/>
    <n v="0"/>
    <n v="0"/>
    <n v="6"/>
    <n v="24"/>
    <n v="38"/>
  </r>
  <r>
    <x v="94"/>
    <x v="2"/>
    <x v="191"/>
    <n v="1994"/>
    <n v="24"/>
    <x v="19"/>
    <s v="France"/>
    <n v="36000000"/>
    <n v="31500000"/>
    <x v="1"/>
    <n v="10"/>
    <n v="900"/>
    <x v="0"/>
    <n v="650"/>
    <x v="8"/>
    <x v="3"/>
    <x v="0"/>
    <n v="0"/>
    <n v="0"/>
    <n v="7"/>
    <n v="3"/>
    <n v="0"/>
    <n v="11"/>
    <n v="0"/>
    <n v="0"/>
    <n v="0"/>
    <n v="0"/>
    <n v="2"/>
    <n v="4"/>
    <n v="0"/>
    <n v="51"/>
    <n v="4"/>
    <n v="10"/>
    <n v="12"/>
    <n v="0"/>
    <n v="16"/>
    <n v="0"/>
    <n v="0"/>
    <n v="16"/>
    <n v="8"/>
    <n v="22"/>
  </r>
  <r>
    <x v="95"/>
    <x v="1"/>
    <x v="192"/>
    <n v="1988"/>
    <n v="29"/>
    <x v="23"/>
    <s v="Israel"/>
    <n v="1380000"/>
    <n v="1650000"/>
    <x v="2"/>
    <n v="19"/>
    <n v="740"/>
    <x v="0"/>
    <n v="227"/>
    <x v="0"/>
    <x v="4"/>
    <x v="0"/>
    <n v="11"/>
    <n v="5"/>
    <n v="1"/>
    <n v="1"/>
    <n v="0"/>
    <n v="2"/>
    <n v="0"/>
    <n v="0"/>
    <n v="0"/>
    <n v="0"/>
    <n v="0"/>
    <n v="0"/>
    <n v="0"/>
    <n v="5"/>
    <n v="4"/>
    <n v="12"/>
    <n v="15"/>
    <n v="0"/>
    <n v="18"/>
    <n v="0"/>
    <n v="0"/>
    <n v="8"/>
    <n v="8"/>
    <n v="8"/>
  </r>
  <r>
    <x v="95"/>
    <x v="2"/>
    <x v="193"/>
    <n v="1988"/>
    <n v="30"/>
    <x v="23"/>
    <s v="Israel"/>
    <n v="1650000"/>
    <n v="1650000"/>
    <x v="2"/>
    <n v="18"/>
    <n v="937"/>
    <x v="4"/>
    <n v="271"/>
    <x v="3"/>
    <x v="5"/>
    <x v="0"/>
    <n v="9"/>
    <n v="2"/>
    <n v="5"/>
    <n v="2"/>
    <n v="0"/>
    <n v="17"/>
    <n v="0"/>
    <n v="0"/>
    <n v="0"/>
    <n v="0"/>
    <n v="1"/>
    <n v="3"/>
    <n v="2"/>
    <n v="10"/>
    <n v="10"/>
    <n v="15"/>
    <n v="18"/>
    <n v="0"/>
    <n v="28"/>
    <n v="0"/>
    <n v="0"/>
    <n v="25"/>
    <n v="16"/>
    <n v="27"/>
  </r>
  <r>
    <x v="96"/>
    <x v="2"/>
    <x v="194"/>
    <n v="1992"/>
    <n v="25"/>
    <x v="4"/>
    <s v="Brazil"/>
    <n v="18000000"/>
    <n v="22000000"/>
    <x v="2"/>
    <n v="34"/>
    <n v="2127"/>
    <x v="4"/>
    <n v="806"/>
    <x v="6"/>
    <x v="2"/>
    <x v="0"/>
    <n v="9"/>
    <n v="21"/>
    <n v="23"/>
    <n v="5"/>
    <n v="1"/>
    <n v="2"/>
    <n v="0"/>
    <n v="0"/>
    <n v="0"/>
    <n v="2"/>
    <n v="7"/>
    <n v="18"/>
    <n v="4"/>
    <n v="51"/>
    <n v="2"/>
    <n v="27"/>
    <n v="17"/>
    <n v="0"/>
    <n v="49"/>
    <n v="0"/>
    <n v="0"/>
    <n v="12"/>
    <n v="3"/>
    <n v="13"/>
  </r>
  <r>
    <x v="97"/>
    <x v="2"/>
    <x v="195"/>
    <n v="1995"/>
    <n v="23"/>
    <x v="23"/>
    <s v="Brazil"/>
    <n v="5400000"/>
    <n v="8100000"/>
    <x v="1"/>
    <n v="22"/>
    <n v="1750"/>
    <x v="0"/>
    <n v="785"/>
    <x v="3"/>
    <x v="5"/>
    <x v="0"/>
    <n v="3"/>
    <n v="1"/>
    <n v="8"/>
    <n v="3"/>
    <n v="0"/>
    <n v="37"/>
    <n v="0"/>
    <n v="0"/>
    <n v="0"/>
    <n v="2"/>
    <n v="0"/>
    <n v="5"/>
    <n v="0"/>
    <n v="31"/>
    <n v="14"/>
    <n v="34"/>
    <n v="17"/>
    <n v="0"/>
    <n v="62"/>
    <n v="0"/>
    <n v="0"/>
    <n v="66"/>
    <n v="44"/>
    <n v="30"/>
  </r>
  <r>
    <x v="98"/>
    <x v="3"/>
    <x v="196"/>
    <n v="1989"/>
    <n v="27"/>
    <x v="2"/>
    <s v="Colombia"/>
    <n v="2750000"/>
    <n v="2750000"/>
    <x v="1"/>
    <n v="11"/>
    <n v="975"/>
    <x v="0"/>
    <n v="526"/>
    <x v="0"/>
    <x v="4"/>
    <x v="0"/>
    <n v="1"/>
    <n v="1"/>
    <n v="2"/>
    <n v="1"/>
    <n v="0"/>
    <n v="39"/>
    <n v="0"/>
    <n v="0"/>
    <n v="0"/>
    <n v="1"/>
    <n v="0"/>
    <n v="0"/>
    <n v="0"/>
    <n v="0"/>
    <n v="7"/>
    <n v="17"/>
    <n v="17"/>
    <n v="0"/>
    <n v="22"/>
    <n v="0"/>
    <n v="0"/>
    <n v="68"/>
    <n v="27"/>
    <n v="35"/>
  </r>
  <r>
    <x v="99"/>
    <x v="1"/>
    <x v="197"/>
    <n v="1994"/>
    <n v="23"/>
    <x v="19"/>
    <s v="Portugal"/>
    <n v="36000000"/>
    <n v="45000000"/>
    <x v="2"/>
    <n v="35"/>
    <n v="1520"/>
    <x v="14"/>
    <n v="935"/>
    <x v="2"/>
    <x v="0"/>
    <x v="0"/>
    <n v="20"/>
    <n v="6"/>
    <n v="25"/>
    <n v="14"/>
    <n v="1"/>
    <n v="1"/>
    <n v="0"/>
    <n v="0"/>
    <n v="0"/>
    <n v="0"/>
    <n v="2"/>
    <n v="11"/>
    <n v="10"/>
    <n v="50"/>
    <n v="1"/>
    <n v="10"/>
    <n v="9"/>
    <n v="0"/>
    <n v="27"/>
    <n v="0"/>
    <n v="0"/>
    <n v="10"/>
    <n v="5"/>
    <n v="14"/>
  </r>
  <r>
    <x v="99"/>
    <x v="2"/>
    <x v="198"/>
    <n v="1994"/>
    <n v="23"/>
    <x v="19"/>
    <s v="Portugal"/>
    <n v="45000000"/>
    <n v="90000000"/>
    <x v="2"/>
    <n v="36"/>
    <n v="2853"/>
    <x v="8"/>
    <n v="1706"/>
    <x v="4"/>
    <x v="6"/>
    <x v="0"/>
    <n v="5"/>
    <n v="4"/>
    <n v="62"/>
    <n v="22"/>
    <n v="0"/>
    <n v="7"/>
    <n v="1"/>
    <n v="0"/>
    <n v="0"/>
    <n v="2"/>
    <n v="10"/>
    <n v="40"/>
    <n v="25"/>
    <n v="70"/>
    <n v="3"/>
    <n v="25"/>
    <n v="31"/>
    <n v="0"/>
    <n v="52"/>
    <n v="0"/>
    <n v="0"/>
    <n v="24"/>
    <n v="11"/>
    <n v="27"/>
  </r>
  <r>
    <x v="100"/>
    <x v="0"/>
    <x v="199"/>
    <n v="1995"/>
    <n v="19"/>
    <x v="1"/>
    <s v="Burkina Faso"/>
    <n v="4400000"/>
    <n v="4400000"/>
    <x v="2"/>
    <n v="10"/>
    <n v="373"/>
    <x v="5"/>
    <n v="136"/>
    <x v="0"/>
    <x v="0"/>
    <x v="0"/>
    <n v="6"/>
    <n v="4"/>
    <n v="17"/>
    <n v="6"/>
    <n v="0"/>
    <n v="0"/>
    <n v="0"/>
    <n v="0"/>
    <n v="0"/>
    <n v="5"/>
    <n v="3"/>
    <n v="0"/>
    <n v="0"/>
    <n v="3"/>
    <n v="0"/>
    <n v="2"/>
    <n v="3"/>
    <n v="0"/>
    <n v="9"/>
    <n v="0"/>
    <n v="0"/>
    <n v="3"/>
    <n v="4"/>
    <n v="9"/>
  </r>
  <r>
    <x v="101"/>
    <x v="0"/>
    <x v="200"/>
    <n v="1987"/>
    <n v="28"/>
    <x v="12"/>
    <s v="England"/>
    <n v="1800000"/>
    <n v="1350000"/>
    <x v="1"/>
    <n v="24"/>
    <n v="2033"/>
    <x v="4"/>
    <n v="569"/>
    <x v="3"/>
    <x v="9"/>
    <x v="0"/>
    <n v="1"/>
    <n v="2"/>
    <n v="14"/>
    <n v="4"/>
    <n v="1"/>
    <n v="40"/>
    <n v="0"/>
    <n v="0"/>
    <n v="0"/>
    <n v="3"/>
    <n v="1"/>
    <n v="3"/>
    <n v="0"/>
    <n v="41"/>
    <n v="17"/>
    <n v="30"/>
    <n v="32"/>
    <n v="0"/>
    <n v="76"/>
    <n v="1"/>
    <n v="0"/>
    <n v="64"/>
    <n v="61"/>
    <n v="35"/>
  </r>
  <r>
    <x v="101"/>
    <x v="3"/>
    <x v="201"/>
    <n v="1987"/>
    <n v="29"/>
    <x v="12"/>
    <s v="England"/>
    <n v="1350000"/>
    <n v="1350000"/>
    <x v="1"/>
    <n v="27"/>
    <n v="2270"/>
    <x v="4"/>
    <n v="701"/>
    <x v="0"/>
    <x v="9"/>
    <x v="0"/>
    <n v="2"/>
    <n v="3"/>
    <n v="15"/>
    <n v="4"/>
    <n v="0"/>
    <n v="64"/>
    <n v="1"/>
    <n v="0"/>
    <n v="0"/>
    <n v="0"/>
    <n v="0"/>
    <n v="0"/>
    <n v="0"/>
    <n v="42"/>
    <n v="16"/>
    <n v="46"/>
    <n v="25"/>
    <n v="0"/>
    <n v="55"/>
    <n v="0"/>
    <n v="0"/>
    <n v="94"/>
    <n v="95"/>
    <n v="64"/>
  </r>
  <r>
    <x v="102"/>
    <x v="2"/>
    <x v="202"/>
    <n v="1993"/>
    <n v="25"/>
    <x v="24"/>
    <s v="England"/>
    <n v="9000000"/>
    <n v="9000000"/>
    <x v="0"/>
    <n v="27"/>
    <n v="1422"/>
    <x v="2"/>
    <n v="311"/>
    <x v="5"/>
    <x v="0"/>
    <x v="0"/>
    <n v="11"/>
    <n v="9"/>
    <n v="27"/>
    <n v="9"/>
    <n v="0"/>
    <n v="4"/>
    <n v="0"/>
    <n v="0"/>
    <n v="0"/>
    <n v="11"/>
    <n v="2"/>
    <n v="18"/>
    <n v="0"/>
    <n v="6"/>
    <n v="0"/>
    <n v="3"/>
    <n v="5"/>
    <n v="0"/>
    <n v="16"/>
    <n v="0"/>
    <n v="0"/>
    <n v="12"/>
    <n v="11"/>
    <n v="36"/>
  </r>
  <r>
    <x v="103"/>
    <x v="0"/>
    <x v="203"/>
    <n v="1990"/>
    <n v="25"/>
    <x v="25"/>
    <s v="Spain"/>
    <n v="7700000"/>
    <n v="9000000"/>
    <x v="0"/>
    <n v="27"/>
    <n v="1709"/>
    <x v="8"/>
    <n v="728"/>
    <x v="3"/>
    <x v="4"/>
    <x v="0"/>
    <n v="5"/>
    <n v="17"/>
    <n v="36"/>
    <n v="15"/>
    <n v="0"/>
    <n v="0"/>
    <n v="1"/>
    <n v="2"/>
    <n v="0"/>
    <n v="3"/>
    <n v="10"/>
    <n v="0"/>
    <n v="15"/>
    <n v="32"/>
    <n v="0"/>
    <n v="15"/>
    <n v="9"/>
    <n v="0"/>
    <n v="18"/>
    <n v="0"/>
    <n v="0"/>
    <n v="1"/>
    <n v="2"/>
    <n v="11"/>
  </r>
  <r>
    <x v="104"/>
    <x v="3"/>
    <x v="204"/>
    <n v="1992"/>
    <n v="23"/>
    <x v="0"/>
    <s v="Spain"/>
    <n v="5500000"/>
    <n v="9000000"/>
    <x v="0"/>
    <n v="18"/>
    <n v="547"/>
    <x v="4"/>
    <n v="180"/>
    <x v="0"/>
    <x v="0"/>
    <x v="0"/>
    <n v="14"/>
    <n v="1"/>
    <n v="15"/>
    <n v="3"/>
    <n v="1"/>
    <n v="3"/>
    <n v="0"/>
    <n v="0"/>
    <n v="0"/>
    <n v="4"/>
    <n v="0"/>
    <n v="3"/>
    <n v="0"/>
    <n v="6"/>
    <n v="1"/>
    <n v="3"/>
    <n v="3"/>
    <n v="0"/>
    <n v="5"/>
    <n v="0"/>
    <n v="0"/>
    <n v="6"/>
    <n v="7"/>
    <n v="29"/>
  </r>
  <r>
    <x v="105"/>
    <x v="0"/>
    <x v="205"/>
    <n v="1984"/>
    <n v="31"/>
    <x v="1"/>
    <s v="Serbia"/>
    <n v="15300000"/>
    <n v="9000000"/>
    <x v="1"/>
    <n v="33"/>
    <n v="2918"/>
    <x v="5"/>
    <n v="1301"/>
    <x v="0"/>
    <x v="2"/>
    <x v="0"/>
    <n v="0"/>
    <n v="2"/>
    <n v="28"/>
    <n v="7"/>
    <n v="0"/>
    <n v="54"/>
    <n v="2"/>
    <n v="0"/>
    <n v="0"/>
    <n v="1"/>
    <n v="0"/>
    <n v="3"/>
    <n v="0"/>
    <n v="74"/>
    <n v="18"/>
    <n v="60"/>
    <n v="32"/>
    <n v="0"/>
    <n v="66"/>
    <n v="2"/>
    <n v="0"/>
    <n v="87"/>
    <n v="81"/>
    <n v="41"/>
  </r>
  <r>
    <x v="105"/>
    <x v="3"/>
    <x v="206"/>
    <n v="1984"/>
    <n v="32"/>
    <x v="1"/>
    <s v="Serbia"/>
    <n v="9000000"/>
    <n v="4500000"/>
    <x v="1"/>
    <n v="13"/>
    <n v="584"/>
    <x v="0"/>
    <n v="329"/>
    <x v="0"/>
    <x v="4"/>
    <x v="0"/>
    <n v="7"/>
    <n v="0"/>
    <n v="7"/>
    <n v="2"/>
    <n v="0"/>
    <n v="15"/>
    <n v="0"/>
    <n v="0"/>
    <n v="0"/>
    <n v="2"/>
    <n v="1"/>
    <n v="0"/>
    <n v="0"/>
    <n v="23"/>
    <n v="2"/>
    <n v="11"/>
    <n v="8"/>
    <n v="0"/>
    <n v="11"/>
    <n v="0"/>
    <n v="0"/>
    <n v="24"/>
    <n v="19"/>
    <n v="12"/>
  </r>
  <r>
    <x v="106"/>
    <x v="0"/>
    <x v="207"/>
    <n v="1996"/>
    <n v="19"/>
    <x v="4"/>
    <s v="England"/>
    <n v="1350000"/>
    <n v="2700000"/>
    <x v="1"/>
    <n v="15"/>
    <n v="1223"/>
    <x v="0"/>
    <n v="396"/>
    <x v="3"/>
    <x v="4"/>
    <x v="0"/>
    <n v="1"/>
    <n v="4"/>
    <n v="8"/>
    <n v="0"/>
    <n v="0"/>
    <n v="9"/>
    <n v="0"/>
    <n v="0"/>
    <n v="0"/>
    <n v="0"/>
    <n v="0"/>
    <n v="0"/>
    <n v="0"/>
    <n v="13"/>
    <n v="5"/>
    <n v="21"/>
    <n v="9"/>
    <n v="0"/>
    <n v="50"/>
    <n v="0"/>
    <n v="0"/>
    <n v="30"/>
    <n v="7"/>
    <n v="12"/>
  </r>
  <r>
    <x v="107"/>
    <x v="1"/>
    <x v="208"/>
    <n v="1980"/>
    <n v="37"/>
    <x v="23"/>
    <s v="Spain"/>
    <n v="500000"/>
    <n v="750000"/>
    <x v="1"/>
    <n v="25"/>
    <n v="2017"/>
    <x v="0"/>
    <n v="973"/>
    <x v="0"/>
    <x v="6"/>
    <x v="0"/>
    <n v="2"/>
    <n v="4"/>
    <n v="1"/>
    <n v="1"/>
    <n v="0"/>
    <n v="31"/>
    <n v="0"/>
    <n v="0"/>
    <n v="0"/>
    <n v="0"/>
    <n v="0"/>
    <n v="0"/>
    <n v="0"/>
    <n v="41"/>
    <n v="11"/>
    <n v="38"/>
    <n v="19"/>
    <n v="0"/>
    <n v="30"/>
    <n v="0"/>
    <n v="0"/>
    <n v="60"/>
    <n v="28"/>
    <n v="22"/>
  </r>
  <r>
    <x v="107"/>
    <x v="2"/>
    <x v="209"/>
    <n v="1980"/>
    <n v="38"/>
    <x v="23"/>
    <s v="Spain"/>
    <n v="750000"/>
    <n v="100000"/>
    <x v="1"/>
    <n v="14"/>
    <n v="1136"/>
    <x v="0"/>
    <n v="510"/>
    <x v="3"/>
    <x v="4"/>
    <x v="0"/>
    <n v="0"/>
    <n v="5"/>
    <n v="2"/>
    <n v="0"/>
    <n v="0"/>
    <n v="12"/>
    <n v="0"/>
    <n v="0"/>
    <n v="0"/>
    <n v="3"/>
    <n v="0"/>
    <n v="2"/>
    <n v="1"/>
    <n v="17"/>
    <n v="2"/>
    <n v="11"/>
    <n v="4"/>
    <n v="0"/>
    <n v="25"/>
    <n v="1"/>
    <n v="0"/>
    <n v="26"/>
    <n v="8"/>
    <n v="16"/>
  </r>
  <r>
    <x v="108"/>
    <x v="2"/>
    <x v="210"/>
    <n v="1988"/>
    <n v="30"/>
    <x v="24"/>
    <s v="Gabon"/>
    <n v="2700000"/>
    <n v="2700000"/>
    <x v="1"/>
    <n v="38"/>
    <n v="3375"/>
    <x v="0"/>
    <n v="957"/>
    <x v="3"/>
    <x v="0"/>
    <x v="0"/>
    <n v="1"/>
    <n v="0"/>
    <n v="10"/>
    <n v="4"/>
    <n v="0"/>
    <n v="89"/>
    <n v="0"/>
    <n v="0"/>
    <n v="0"/>
    <n v="1"/>
    <n v="2"/>
    <n v="6"/>
    <n v="0"/>
    <n v="20"/>
    <n v="28"/>
    <n v="81"/>
    <n v="15"/>
    <n v="0"/>
    <n v="69"/>
    <n v="2"/>
    <n v="0"/>
    <n v="171"/>
    <n v="87"/>
    <n v="62"/>
  </r>
  <r>
    <x v="109"/>
    <x v="1"/>
    <x v="211"/>
    <n v="1992"/>
    <n v="25"/>
    <x v="25"/>
    <s v="Netherlands"/>
    <n v="9900000"/>
    <n v="9000000"/>
    <x v="1"/>
    <n v="17"/>
    <n v="1246"/>
    <x v="0"/>
    <n v="351"/>
    <x v="0"/>
    <x v="6"/>
    <x v="0"/>
    <n v="3"/>
    <n v="4"/>
    <n v="1"/>
    <n v="1"/>
    <n v="0"/>
    <n v="39"/>
    <n v="0"/>
    <n v="0"/>
    <n v="0"/>
    <n v="0"/>
    <n v="0"/>
    <n v="0"/>
    <n v="0"/>
    <n v="4"/>
    <n v="11"/>
    <n v="21"/>
    <n v="12"/>
    <n v="1"/>
    <n v="21"/>
    <n v="1"/>
    <n v="0"/>
    <n v="76"/>
    <n v="25"/>
    <n v="21"/>
  </r>
  <r>
    <x v="109"/>
    <x v="3"/>
    <x v="212"/>
    <n v="1992"/>
    <n v="24"/>
    <x v="25"/>
    <s v="Netherlands"/>
    <n v="9000000"/>
    <n v="9900000"/>
    <x v="1"/>
    <n v="35"/>
    <n v="3147"/>
    <x v="0"/>
    <n v="1115"/>
    <x v="0"/>
    <x v="2"/>
    <x v="0"/>
    <n v="0"/>
    <n v="1"/>
    <n v="18"/>
    <n v="7"/>
    <n v="0"/>
    <n v="107"/>
    <n v="0"/>
    <n v="0"/>
    <n v="0"/>
    <n v="2"/>
    <n v="0"/>
    <n v="1"/>
    <n v="0"/>
    <n v="3"/>
    <n v="20"/>
    <n v="58"/>
    <n v="25"/>
    <n v="0"/>
    <n v="61"/>
    <n v="0"/>
    <n v="0"/>
    <n v="210"/>
    <n v="58"/>
    <n v="64"/>
  </r>
  <r>
    <x v="110"/>
    <x v="3"/>
    <x v="213"/>
    <n v="1990"/>
    <n v="26"/>
    <x v="12"/>
    <s v="Costa Rica"/>
    <n v="2700000"/>
    <n v="2250000"/>
    <x v="1"/>
    <n v="16"/>
    <n v="1056"/>
    <x v="0"/>
    <n v="398"/>
    <x v="0"/>
    <x v="6"/>
    <x v="0"/>
    <n v="0"/>
    <n v="3"/>
    <n v="3"/>
    <n v="1"/>
    <n v="0"/>
    <n v="9"/>
    <n v="0"/>
    <n v="0"/>
    <n v="0"/>
    <n v="1"/>
    <n v="0"/>
    <n v="0"/>
    <n v="0"/>
    <n v="21"/>
    <n v="5"/>
    <n v="19"/>
    <n v="14"/>
    <n v="0"/>
    <n v="31"/>
    <n v="0"/>
    <n v="0"/>
    <n v="28"/>
    <n v="8"/>
    <n v="3"/>
  </r>
  <r>
    <x v="110"/>
    <x v="0"/>
    <x v="214"/>
    <n v="1990"/>
    <n v="25"/>
    <x v="4"/>
    <s v="Costa Rica"/>
    <n v="2700000"/>
    <n v="2700000"/>
    <x v="1"/>
    <n v="14"/>
    <n v="998"/>
    <x v="0"/>
    <n v="432"/>
    <x v="3"/>
    <x v="0"/>
    <x v="0"/>
    <n v="2"/>
    <n v="4"/>
    <n v="5"/>
    <n v="3"/>
    <n v="0"/>
    <n v="14"/>
    <n v="0"/>
    <n v="0"/>
    <n v="0"/>
    <n v="0"/>
    <n v="1"/>
    <n v="1"/>
    <n v="15"/>
    <n v="42"/>
    <n v="4"/>
    <n v="20"/>
    <n v="17"/>
    <n v="0"/>
    <n v="41"/>
    <n v="0"/>
    <n v="0"/>
    <n v="34"/>
    <n v="3"/>
    <n v="14"/>
  </r>
  <r>
    <x v="111"/>
    <x v="2"/>
    <x v="215"/>
    <n v="1991"/>
    <n v="26"/>
    <x v="27"/>
    <s v="Portugal"/>
    <n v="13500000"/>
    <n v="9000000"/>
    <x v="1"/>
    <n v="18"/>
    <n v="1494"/>
    <x v="4"/>
    <n v="594"/>
    <x v="5"/>
    <x v="0"/>
    <x v="0"/>
    <n v="2"/>
    <n v="1"/>
    <n v="10"/>
    <n v="3"/>
    <n v="0"/>
    <n v="23"/>
    <n v="0"/>
    <n v="0"/>
    <n v="1"/>
    <n v="1"/>
    <n v="0"/>
    <n v="7"/>
    <n v="1"/>
    <n v="64"/>
    <n v="5"/>
    <n v="22"/>
    <n v="9"/>
    <n v="1"/>
    <n v="23"/>
    <n v="2"/>
    <n v="0"/>
    <n v="50"/>
    <n v="23"/>
    <n v="25"/>
  </r>
  <r>
    <x v="111"/>
    <x v="3"/>
    <x v="216"/>
    <n v="1991"/>
    <n v="24"/>
    <x v="27"/>
    <s v="Portugal"/>
    <n v="9900000"/>
    <n v="13500000"/>
    <x v="1"/>
    <n v="30"/>
    <n v="2520"/>
    <x v="0"/>
    <n v="1256"/>
    <x v="6"/>
    <x v="1"/>
    <x v="0"/>
    <n v="0"/>
    <n v="5"/>
    <n v="20"/>
    <n v="6"/>
    <n v="0"/>
    <n v="39"/>
    <n v="0"/>
    <n v="0"/>
    <n v="0"/>
    <n v="2"/>
    <n v="1"/>
    <n v="0"/>
    <n v="0"/>
    <n v="144"/>
    <n v="7"/>
    <n v="33"/>
    <n v="22"/>
    <n v="0"/>
    <n v="83"/>
    <n v="0"/>
    <n v="0"/>
    <n v="76"/>
    <n v="27"/>
    <n v="52"/>
  </r>
  <r>
    <x v="111"/>
    <x v="0"/>
    <x v="217"/>
    <n v="1991"/>
    <n v="23"/>
    <x v="27"/>
    <s v="Portugal"/>
    <n v="8550000"/>
    <n v="9900000"/>
    <x v="1"/>
    <n v="16"/>
    <n v="1440"/>
    <x v="5"/>
    <n v="730"/>
    <x v="0"/>
    <x v="6"/>
    <x v="0"/>
    <n v="6"/>
    <n v="12"/>
    <n v="17"/>
    <n v="0"/>
    <n v="0"/>
    <n v="2"/>
    <n v="0"/>
    <n v="0"/>
    <n v="0"/>
    <n v="2"/>
    <n v="0"/>
    <n v="0"/>
    <n v="32"/>
    <n v="77"/>
    <n v="2"/>
    <n v="10"/>
    <n v="3"/>
    <n v="0"/>
    <n v="22"/>
    <n v="0"/>
    <n v="0"/>
    <n v="5"/>
    <n v="1"/>
    <n v="4"/>
  </r>
  <r>
    <x v="111"/>
    <x v="1"/>
    <x v="218"/>
    <n v="1991"/>
    <n v="26"/>
    <x v="27"/>
    <s v="Portugal"/>
    <n v="13500000"/>
    <n v="13500000"/>
    <x v="1"/>
    <n v="32"/>
    <n v="2797"/>
    <x v="0"/>
    <n v="1275"/>
    <x v="6"/>
    <x v="6"/>
    <x v="0"/>
    <n v="0"/>
    <n v="3"/>
    <n v="23"/>
    <n v="4"/>
    <n v="0"/>
    <n v="38"/>
    <n v="0"/>
    <n v="0"/>
    <n v="0"/>
    <n v="3"/>
    <n v="2"/>
    <n v="19"/>
    <n v="0"/>
    <n v="137"/>
    <n v="8"/>
    <n v="24"/>
    <n v="16"/>
    <n v="0"/>
    <n v="54"/>
    <n v="2"/>
    <n v="0"/>
    <n v="82"/>
    <n v="0"/>
    <n v="62"/>
  </r>
  <r>
    <x v="112"/>
    <x v="2"/>
    <x v="219"/>
    <n v="2000"/>
    <n v="18"/>
    <x v="1"/>
    <s v="England"/>
    <n v="11000000"/>
    <n v="31500000"/>
    <x v="2"/>
    <n v="10"/>
    <n v="391"/>
    <x v="0"/>
    <n v="207"/>
    <x v="3"/>
    <x v="0"/>
    <x v="0"/>
    <n v="6"/>
    <n v="4"/>
    <n v="6"/>
    <n v="3"/>
    <n v="0"/>
    <n v="0"/>
    <n v="0"/>
    <n v="0"/>
    <n v="0"/>
    <n v="3"/>
    <n v="0"/>
    <n v="3"/>
    <n v="3"/>
    <n v="22"/>
    <n v="0"/>
    <n v="3"/>
    <n v="1"/>
    <n v="0"/>
    <n v="8"/>
    <n v="0"/>
    <n v="0"/>
    <n v="0"/>
    <n v="2"/>
    <n v="2"/>
  </r>
  <r>
    <x v="113"/>
    <x v="0"/>
    <x v="220"/>
    <n v="1991"/>
    <n v="24"/>
    <x v="18"/>
    <s v="Spain"/>
    <n v="5500000"/>
    <n v="3600000"/>
    <x v="0"/>
    <n v="37"/>
    <n v="3202"/>
    <x v="5"/>
    <n v="1798"/>
    <x v="6"/>
    <x v="1"/>
    <x v="0"/>
    <n v="1"/>
    <n v="3"/>
    <n v="10"/>
    <n v="0"/>
    <n v="0"/>
    <n v="47"/>
    <n v="0"/>
    <n v="0"/>
    <n v="0"/>
    <n v="1"/>
    <n v="1"/>
    <n v="0"/>
    <n v="0"/>
    <n v="57"/>
    <n v="16"/>
    <n v="86"/>
    <n v="39"/>
    <n v="0"/>
    <n v="114"/>
    <n v="0"/>
    <n v="0"/>
    <n v="102"/>
    <n v="46"/>
    <n v="39"/>
  </r>
  <r>
    <x v="114"/>
    <x v="2"/>
    <x v="221"/>
    <n v="1994"/>
    <n v="23"/>
    <x v="24"/>
    <s v="Scotland"/>
    <n v="3150000"/>
    <n v="4500000"/>
    <x v="1"/>
    <n v="27"/>
    <n v="1996"/>
    <x v="6"/>
    <n v="552"/>
    <x v="3"/>
    <x v="5"/>
    <x v="0"/>
    <n v="6"/>
    <n v="4"/>
    <n v="41"/>
    <n v="8"/>
    <n v="1"/>
    <n v="16"/>
    <n v="0"/>
    <n v="0"/>
    <n v="0"/>
    <n v="10"/>
    <n v="2"/>
    <n v="33"/>
    <n v="0"/>
    <n v="23"/>
    <n v="2"/>
    <n v="8"/>
    <n v="41"/>
    <n v="0"/>
    <n v="21"/>
    <n v="0"/>
    <n v="0"/>
    <n v="28"/>
    <n v="202"/>
    <n v="217"/>
  </r>
  <r>
    <x v="115"/>
    <x v="3"/>
    <x v="222"/>
    <n v="1992"/>
    <n v="24"/>
    <x v="14"/>
    <s v="England"/>
    <n v="8100000"/>
    <n v="9000000"/>
    <x v="0"/>
    <n v="20"/>
    <n v="1363"/>
    <x v="14"/>
    <n v="191"/>
    <x v="0"/>
    <x v="0"/>
    <x v="0"/>
    <n v="4"/>
    <n v="14"/>
    <n v="31"/>
    <n v="12"/>
    <n v="2"/>
    <n v="1"/>
    <n v="2"/>
    <n v="3"/>
    <n v="0"/>
    <n v="18"/>
    <n v="0"/>
    <n v="2"/>
    <n v="0"/>
    <n v="9"/>
    <n v="3"/>
    <n v="5"/>
    <n v="30"/>
    <n v="0"/>
    <n v="6"/>
    <n v="0"/>
    <n v="0"/>
    <n v="1"/>
    <n v="5"/>
    <n v="28"/>
  </r>
  <r>
    <x v="115"/>
    <x v="1"/>
    <x v="223"/>
    <n v="1992"/>
    <n v="25"/>
    <x v="14"/>
    <s v="England"/>
    <n v="9000000"/>
    <n v="9000000"/>
    <x v="0"/>
    <n v="28"/>
    <n v="1987"/>
    <x v="9"/>
    <n v="393"/>
    <x v="5"/>
    <x v="0"/>
    <x v="0"/>
    <n v="5"/>
    <n v="14"/>
    <n v="53"/>
    <n v="19"/>
    <n v="0"/>
    <n v="7"/>
    <n v="1"/>
    <n v="0"/>
    <n v="0"/>
    <n v="20"/>
    <n v="3"/>
    <n v="34"/>
    <n v="2"/>
    <n v="15"/>
    <n v="3"/>
    <n v="3"/>
    <n v="37"/>
    <n v="0"/>
    <n v="9"/>
    <n v="0"/>
    <n v="0"/>
    <n v="15"/>
    <n v="21"/>
    <n v="80"/>
  </r>
  <r>
    <x v="115"/>
    <x v="2"/>
    <x v="224"/>
    <n v="1992"/>
    <n v="26"/>
    <x v="14"/>
    <s v="England"/>
    <n v="9000000"/>
    <n v="27000000"/>
    <x v="0"/>
    <n v="30"/>
    <n v="2534"/>
    <x v="10"/>
    <n v="440"/>
    <x v="11"/>
    <x v="6"/>
    <x v="0"/>
    <n v="0"/>
    <n v="8"/>
    <n v="65"/>
    <n v="30"/>
    <n v="2"/>
    <n v="10"/>
    <n v="3"/>
    <n v="0"/>
    <n v="0"/>
    <n v="19"/>
    <n v="2"/>
    <n v="35"/>
    <n v="0"/>
    <n v="20"/>
    <n v="4"/>
    <n v="4"/>
    <n v="41"/>
    <n v="0"/>
    <n v="9"/>
    <n v="0"/>
    <n v="0"/>
    <n v="15"/>
    <n v="46"/>
    <n v="90"/>
  </r>
  <r>
    <x v="116"/>
    <x v="0"/>
    <x v="225"/>
    <n v="1995"/>
    <n v="20"/>
    <x v="7"/>
    <s v="England"/>
    <n v="10800000"/>
    <n v="10800000"/>
    <x v="1"/>
    <n v="12"/>
    <n v="276"/>
    <x v="0"/>
    <n v="77"/>
    <x v="3"/>
    <x v="4"/>
    <x v="0"/>
    <n v="10"/>
    <n v="2"/>
    <n v="8"/>
    <n v="1"/>
    <n v="0"/>
    <n v="0"/>
    <n v="0"/>
    <n v="0"/>
    <n v="0"/>
    <n v="0"/>
    <n v="0"/>
    <n v="0"/>
    <n v="1"/>
    <n v="15"/>
    <n v="0"/>
    <n v="2"/>
    <n v="2"/>
    <n v="0"/>
    <n v="6"/>
    <n v="0"/>
    <n v="0"/>
    <n v="0"/>
    <n v="3"/>
    <n v="0"/>
  </r>
  <r>
    <x v="116"/>
    <x v="3"/>
    <x v="226"/>
    <n v="1995"/>
    <n v="21"/>
    <x v="2"/>
    <s v="England"/>
    <n v="10800000"/>
    <n v="12600000"/>
    <x v="1"/>
    <n v="25"/>
    <n v="2250"/>
    <x v="5"/>
    <n v="1116"/>
    <x v="3"/>
    <x v="5"/>
    <x v="0"/>
    <n v="0"/>
    <n v="0"/>
    <n v="8"/>
    <n v="3"/>
    <n v="0"/>
    <n v="103"/>
    <n v="1"/>
    <n v="0"/>
    <n v="0"/>
    <n v="1"/>
    <n v="0"/>
    <n v="0"/>
    <n v="0"/>
    <n v="21"/>
    <n v="26"/>
    <n v="52"/>
    <n v="23"/>
    <n v="0"/>
    <n v="49"/>
    <n v="0"/>
    <n v="0"/>
    <n v="175"/>
    <n v="71"/>
    <n v="50"/>
  </r>
  <r>
    <x v="116"/>
    <x v="2"/>
    <x v="227"/>
    <n v="1995"/>
    <n v="23"/>
    <x v="11"/>
    <s v="England"/>
    <n v="12600000"/>
    <n v="12600000"/>
    <x v="1"/>
    <n v="31"/>
    <n v="2586"/>
    <x v="5"/>
    <n v="1484"/>
    <x v="0"/>
    <x v="10"/>
    <x v="0"/>
    <n v="2"/>
    <n v="1"/>
    <n v="35"/>
    <n v="11"/>
    <n v="1"/>
    <n v="48"/>
    <n v="0"/>
    <n v="0"/>
    <n v="0"/>
    <n v="0"/>
    <n v="2"/>
    <n v="24"/>
    <n v="0"/>
    <n v="14"/>
    <n v="12"/>
    <n v="69"/>
    <n v="34"/>
    <n v="0"/>
    <n v="63"/>
    <n v="1"/>
    <n v="0"/>
    <n v="107"/>
    <n v="64"/>
    <n v="55"/>
  </r>
  <r>
    <x v="116"/>
    <x v="1"/>
    <x v="228"/>
    <n v="1995"/>
    <n v="22"/>
    <x v="7"/>
    <s v="England"/>
    <n v="12600000"/>
    <n v="12600000"/>
    <x v="1"/>
    <n v="12"/>
    <n v="869"/>
    <x v="0"/>
    <n v="600"/>
    <x v="0"/>
    <x v="3"/>
    <x v="0"/>
    <n v="2"/>
    <n v="5"/>
    <n v="10"/>
    <n v="3"/>
    <n v="0"/>
    <n v="22"/>
    <n v="0"/>
    <n v="0"/>
    <n v="0"/>
    <n v="0"/>
    <n v="0"/>
    <n v="7"/>
    <n v="0"/>
    <n v="7"/>
    <n v="11"/>
    <n v="18"/>
    <n v="10"/>
    <n v="0"/>
    <n v="17"/>
    <n v="0"/>
    <n v="0"/>
    <n v="44"/>
    <n v="28"/>
    <n v="30"/>
  </r>
  <r>
    <x v="117"/>
    <x v="0"/>
    <x v="229"/>
    <n v="1997"/>
    <n v="18"/>
    <x v="22"/>
    <s v="England"/>
    <n v="875000"/>
    <n v="2700000"/>
    <x v="1"/>
    <n v="13"/>
    <n v="772"/>
    <x v="2"/>
    <n v="131"/>
    <x v="0"/>
    <x v="0"/>
    <x v="0"/>
    <n v="4"/>
    <n v="4"/>
    <n v="17"/>
    <n v="8"/>
    <n v="0"/>
    <n v="0"/>
    <n v="0"/>
    <n v="0"/>
    <n v="0"/>
    <n v="4"/>
    <n v="0"/>
    <n v="0"/>
    <n v="0"/>
    <n v="5"/>
    <n v="2"/>
    <n v="1"/>
    <n v="12"/>
    <n v="0"/>
    <n v="5"/>
    <n v="0"/>
    <n v="0"/>
    <n v="0"/>
    <n v="4"/>
    <n v="13"/>
  </r>
  <r>
    <x v="118"/>
    <x v="0"/>
    <x v="230"/>
    <n v="1996"/>
    <n v="19"/>
    <x v="13"/>
    <s v="England"/>
    <n v="250000"/>
    <n v="250000"/>
    <x v="2"/>
    <n v="12"/>
    <n v="315"/>
    <x v="0"/>
    <n v="195"/>
    <x v="0"/>
    <x v="4"/>
    <x v="0"/>
    <n v="10"/>
    <n v="0"/>
    <n v="2"/>
    <n v="1"/>
    <n v="0"/>
    <n v="10"/>
    <n v="0"/>
    <n v="0"/>
    <n v="0"/>
    <n v="0"/>
    <n v="1"/>
    <n v="0"/>
    <n v="0"/>
    <n v="1"/>
    <n v="8"/>
    <n v="10"/>
    <n v="6"/>
    <n v="0"/>
    <n v="8"/>
    <n v="0"/>
    <n v="1"/>
    <n v="21"/>
    <n v="13"/>
    <n v="11"/>
  </r>
  <r>
    <x v="119"/>
    <x v="0"/>
    <x v="231"/>
    <n v="1986"/>
    <n v="28"/>
    <x v="21"/>
    <s v="England"/>
    <n v="3300000"/>
    <n v="2250000"/>
    <x v="0"/>
    <n v="10"/>
    <n v="692"/>
    <x v="0"/>
    <n v="353"/>
    <x v="0"/>
    <x v="0"/>
    <x v="0"/>
    <n v="4"/>
    <n v="1"/>
    <n v="1"/>
    <n v="1"/>
    <n v="0"/>
    <n v="10"/>
    <n v="0"/>
    <n v="0"/>
    <n v="0"/>
    <n v="0"/>
    <n v="0"/>
    <n v="0"/>
    <n v="0"/>
    <n v="27"/>
    <n v="4"/>
    <n v="11"/>
    <n v="8"/>
    <n v="0"/>
    <n v="8"/>
    <n v="0"/>
    <n v="0"/>
    <n v="17"/>
    <n v="10"/>
    <n v="23"/>
  </r>
  <r>
    <x v="120"/>
    <x v="0"/>
    <x v="232"/>
    <n v="1992"/>
    <n v="22"/>
    <x v="15"/>
    <s v="England"/>
    <n v="4000000"/>
    <n v="3500000"/>
    <x v="2"/>
    <n v="34"/>
    <n v="1774"/>
    <x v="7"/>
    <n v="405"/>
    <x v="5"/>
    <x v="4"/>
    <x v="0"/>
    <n v="15"/>
    <n v="13"/>
    <n v="46"/>
    <n v="11"/>
    <n v="1"/>
    <n v="7"/>
    <n v="0"/>
    <n v="0"/>
    <n v="0"/>
    <n v="22"/>
    <n v="1"/>
    <n v="12"/>
    <n v="0"/>
    <n v="18"/>
    <n v="0"/>
    <n v="6"/>
    <n v="36"/>
    <n v="0"/>
    <n v="11"/>
    <n v="0"/>
    <n v="0"/>
    <n v="11"/>
    <n v="74"/>
    <n v="87"/>
  </r>
  <r>
    <x v="121"/>
    <x v="0"/>
    <x v="233"/>
    <n v="1986"/>
    <n v="29"/>
    <x v="15"/>
    <s v="Colombia"/>
    <n v="5500000"/>
    <n v="3850000"/>
    <x v="2"/>
    <n v="20"/>
    <n v="1225"/>
    <x v="5"/>
    <n v="505"/>
    <x v="0"/>
    <x v="6"/>
    <x v="1"/>
    <n v="7"/>
    <n v="2"/>
    <n v="7"/>
    <n v="3"/>
    <n v="0"/>
    <n v="35"/>
    <n v="0"/>
    <n v="0"/>
    <n v="0"/>
    <n v="0"/>
    <n v="0"/>
    <n v="0"/>
    <n v="0"/>
    <n v="34"/>
    <n v="5"/>
    <n v="20"/>
    <n v="13"/>
    <n v="0"/>
    <n v="24"/>
    <n v="1"/>
    <n v="1"/>
    <n v="54"/>
    <n v="13"/>
    <n v="15"/>
  </r>
  <r>
    <x v="122"/>
    <x v="1"/>
    <x v="234"/>
    <n v="1991"/>
    <n v="26"/>
    <x v="4"/>
    <s v="Turkey"/>
    <n v="9900000"/>
    <n v="20700000"/>
    <x v="0"/>
    <n v="14"/>
    <n v="991"/>
    <x v="2"/>
    <n v="263"/>
    <x v="0"/>
    <x v="0"/>
    <x v="0"/>
    <n v="2"/>
    <n v="7"/>
    <n v="19"/>
    <n v="8"/>
    <n v="0"/>
    <n v="8"/>
    <n v="2"/>
    <n v="0"/>
    <n v="0"/>
    <n v="9"/>
    <n v="2"/>
    <n v="11"/>
    <n v="1"/>
    <n v="7"/>
    <n v="4"/>
    <n v="1"/>
    <n v="25"/>
    <n v="0"/>
    <n v="6"/>
    <n v="0"/>
    <n v="0"/>
    <n v="11"/>
    <n v="0"/>
    <n v="67"/>
  </r>
  <r>
    <x v="122"/>
    <x v="2"/>
    <x v="235"/>
    <n v="1991"/>
    <n v="27"/>
    <x v="4"/>
    <s v="Turkey"/>
    <n v="20700000"/>
    <n v="16200000"/>
    <x v="0"/>
    <n v="25"/>
    <n v="1050"/>
    <x v="7"/>
    <n v="258"/>
    <x v="6"/>
    <x v="6"/>
    <x v="0"/>
    <n v="15"/>
    <n v="6"/>
    <n v="37"/>
    <n v="17"/>
    <n v="0"/>
    <n v="1"/>
    <n v="1"/>
    <n v="0"/>
    <n v="0"/>
    <n v="8"/>
    <n v="1"/>
    <n v="20"/>
    <n v="0"/>
    <n v="4"/>
    <n v="0"/>
    <n v="5"/>
    <n v="17"/>
    <n v="0"/>
    <n v="13"/>
    <n v="0"/>
    <n v="0"/>
    <n v="3"/>
    <n v="37"/>
    <n v="56"/>
  </r>
  <r>
    <x v="123"/>
    <x v="3"/>
    <x v="236"/>
    <n v="1989"/>
    <n v="27"/>
    <x v="1"/>
    <s v="Spain"/>
    <n v="20000000"/>
    <n v="30000000"/>
    <x v="1"/>
    <n v="38"/>
    <n v="3420"/>
    <x v="4"/>
    <n v="2459"/>
    <x v="2"/>
    <x v="5"/>
    <x v="0"/>
    <n v="0"/>
    <n v="0"/>
    <n v="18"/>
    <n v="6"/>
    <n v="0"/>
    <n v="83"/>
    <n v="0"/>
    <n v="0"/>
    <n v="0"/>
    <n v="2"/>
    <n v="10"/>
    <n v="0"/>
    <n v="0"/>
    <n v="41"/>
    <n v="8"/>
    <n v="71"/>
    <n v="27"/>
    <n v="0"/>
    <n v="84"/>
    <n v="0"/>
    <n v="0"/>
    <n v="119"/>
    <n v="81"/>
    <n v="69"/>
  </r>
  <r>
    <x v="123"/>
    <x v="1"/>
    <x v="237"/>
    <n v="1989"/>
    <n v="28"/>
    <x v="1"/>
    <s v="Spain"/>
    <n v="30000000"/>
    <n v="40000000"/>
    <x v="1"/>
    <n v="37"/>
    <n v="3330"/>
    <x v="5"/>
    <n v="2760"/>
    <x v="1"/>
    <x v="3"/>
    <x v="0"/>
    <n v="0"/>
    <n v="0"/>
    <n v="13"/>
    <n v="3"/>
    <n v="0"/>
    <n v="65"/>
    <n v="1"/>
    <n v="0"/>
    <n v="0"/>
    <n v="1"/>
    <n v="10"/>
    <n v="10"/>
    <n v="0"/>
    <n v="80"/>
    <n v="22"/>
    <n v="54"/>
    <n v="25"/>
    <n v="0"/>
    <n v="80"/>
    <n v="0"/>
    <n v="1"/>
    <n v="119"/>
    <n v="81"/>
    <n v="55"/>
  </r>
  <r>
    <x v="123"/>
    <x v="2"/>
    <x v="238"/>
    <n v="1989"/>
    <n v="29"/>
    <x v="1"/>
    <s v="Spain"/>
    <n v="40000000"/>
    <n v="35000000"/>
    <x v="1"/>
    <n v="38"/>
    <n v="3403"/>
    <x v="4"/>
    <n v="2483"/>
    <x v="8"/>
    <x v="0"/>
    <x v="0"/>
    <n v="0"/>
    <n v="1"/>
    <n v="17"/>
    <n v="7"/>
    <n v="0"/>
    <n v="43"/>
    <n v="1"/>
    <n v="0"/>
    <n v="0"/>
    <n v="2"/>
    <n v="2"/>
    <n v="10"/>
    <n v="0"/>
    <n v="118"/>
    <n v="16"/>
    <n v="43"/>
    <n v="39"/>
    <n v="0"/>
    <n v="105"/>
    <n v="0"/>
    <n v="0"/>
    <n v="75"/>
    <n v="69"/>
    <n v="50"/>
  </r>
  <r>
    <x v="123"/>
    <x v="0"/>
    <x v="239"/>
    <n v="1989"/>
    <n v="26"/>
    <x v="1"/>
    <s v="Spain"/>
    <n v="23000000"/>
    <n v="20000000"/>
    <x v="1"/>
    <n v="20"/>
    <n v="1370"/>
    <x v="0"/>
    <n v="793"/>
    <x v="0"/>
    <x v="6"/>
    <x v="0"/>
    <n v="4"/>
    <n v="7"/>
    <n v="13"/>
    <n v="4"/>
    <n v="0"/>
    <n v="11"/>
    <n v="0"/>
    <n v="0"/>
    <n v="0"/>
    <n v="0"/>
    <n v="0"/>
    <n v="0"/>
    <n v="0"/>
    <n v="3"/>
    <n v="5"/>
    <n v="45"/>
    <n v="25"/>
    <n v="0"/>
    <n v="54"/>
    <n v="0"/>
    <n v="0"/>
    <n v="25"/>
    <n v="27"/>
    <n v="20"/>
  </r>
  <r>
    <x v="124"/>
    <x v="0"/>
    <x v="240"/>
    <n v="1987"/>
    <n v="28"/>
    <x v="1"/>
    <s v="Spain"/>
    <n v="55000000"/>
    <n v="49500000"/>
    <x v="2"/>
    <n v="37"/>
    <n v="2896"/>
    <x v="2"/>
    <n v="2829"/>
    <x v="4"/>
    <x v="2"/>
    <x v="0"/>
    <n v="4"/>
    <n v="8"/>
    <n v="45"/>
    <n v="19"/>
    <n v="0"/>
    <n v="9"/>
    <n v="0"/>
    <n v="2"/>
    <n v="1"/>
    <n v="4"/>
    <n v="33"/>
    <n v="1"/>
    <n v="67"/>
    <n v="105"/>
    <n v="7"/>
    <n v="23"/>
    <n v="38"/>
    <n v="0"/>
    <n v="103"/>
    <n v="0"/>
    <n v="0"/>
    <n v="19"/>
    <n v="22"/>
    <n v="19"/>
  </r>
  <r>
    <x v="124"/>
    <x v="3"/>
    <x v="241"/>
    <n v="1987"/>
    <n v="29"/>
    <x v="1"/>
    <s v="Spain"/>
    <n v="49500000"/>
    <n v="38500000"/>
    <x v="2"/>
    <n v="29"/>
    <n v="1327"/>
    <x v="2"/>
    <n v="1326"/>
    <x v="12"/>
    <x v="9"/>
    <x v="0"/>
    <n v="16"/>
    <n v="5"/>
    <n v="26"/>
    <n v="9"/>
    <n v="2"/>
    <n v="8"/>
    <n v="0"/>
    <n v="0"/>
    <n v="0"/>
    <n v="0"/>
    <n v="18"/>
    <n v="0"/>
    <n v="74"/>
    <n v="85"/>
    <n v="2"/>
    <n v="16"/>
    <n v="23"/>
    <n v="0"/>
    <n v="30"/>
    <n v="1"/>
    <n v="0"/>
    <n v="16"/>
    <n v="9"/>
    <n v="14"/>
  </r>
  <r>
    <x v="124"/>
    <x v="1"/>
    <x v="242"/>
    <n v="1987"/>
    <n v="30"/>
    <x v="1"/>
    <s v="Spain"/>
    <n v="38500000"/>
    <n v="33000000"/>
    <x v="2"/>
    <n v="32"/>
    <n v="2308"/>
    <x v="5"/>
    <n v="2189"/>
    <x v="2"/>
    <x v="5"/>
    <x v="1"/>
    <n v="7"/>
    <n v="9"/>
    <n v="38"/>
    <n v="10"/>
    <n v="1"/>
    <n v="10"/>
    <n v="0"/>
    <n v="0"/>
    <n v="0"/>
    <n v="5"/>
    <n v="22"/>
    <n v="28"/>
    <n v="151"/>
    <n v="140"/>
    <n v="4"/>
    <n v="22"/>
    <n v="25"/>
    <n v="0"/>
    <n v="68"/>
    <n v="0"/>
    <n v="0"/>
    <n v="23"/>
    <n v="10"/>
    <n v="23"/>
  </r>
  <r>
    <x v="125"/>
    <x v="0"/>
    <x v="243"/>
    <n v="1994"/>
    <n v="20"/>
    <x v="20"/>
    <s v="The Democratic Republic Of Congo"/>
    <n v="7200000"/>
    <n v="9000000"/>
    <x v="1"/>
    <n v="33"/>
    <n v="2924"/>
    <x v="0"/>
    <n v="1147"/>
    <x v="0"/>
    <x v="2"/>
    <x v="0"/>
    <n v="0"/>
    <n v="1"/>
    <n v="12"/>
    <n v="0"/>
    <n v="0"/>
    <n v="115"/>
    <n v="0"/>
    <n v="0"/>
    <n v="0"/>
    <n v="0"/>
    <n v="0"/>
    <n v="0"/>
    <n v="0"/>
    <n v="10"/>
    <n v="25"/>
    <n v="96"/>
    <n v="21"/>
    <n v="3"/>
    <n v="77"/>
    <n v="2"/>
    <n v="0"/>
    <n v="231"/>
    <n v="48"/>
    <n v="54"/>
  </r>
  <r>
    <x v="126"/>
    <x v="0"/>
    <x v="244"/>
    <n v="1985"/>
    <n v="29"/>
    <x v="25"/>
    <s v="Scotland"/>
    <n v="4050000"/>
    <n v="4050000"/>
    <x v="2"/>
    <n v="22"/>
    <n v="1042"/>
    <x v="4"/>
    <n v="546"/>
    <x v="3"/>
    <x v="8"/>
    <x v="1"/>
    <n v="10"/>
    <n v="7"/>
    <n v="29"/>
    <n v="4"/>
    <n v="0"/>
    <n v="10"/>
    <n v="0"/>
    <n v="0"/>
    <n v="0"/>
    <n v="0"/>
    <n v="1"/>
    <n v="0"/>
    <n v="17"/>
    <n v="40"/>
    <n v="4"/>
    <n v="12"/>
    <n v="30"/>
    <n v="0"/>
    <n v="18"/>
    <n v="0"/>
    <n v="0"/>
    <n v="14"/>
    <n v="17"/>
    <n v="10"/>
  </r>
  <r>
    <x v="126"/>
    <x v="3"/>
    <x v="245"/>
    <n v="1985"/>
    <n v="30"/>
    <x v="25"/>
    <s v="Scotland"/>
    <n v="4050000"/>
    <n v="3150000"/>
    <x v="2"/>
    <n v="24"/>
    <n v="1495"/>
    <x v="4"/>
    <n v="868"/>
    <x v="6"/>
    <x v="1"/>
    <x v="0"/>
    <n v="7"/>
    <n v="11"/>
    <n v="40"/>
    <n v="11"/>
    <n v="4"/>
    <n v="9"/>
    <n v="0"/>
    <n v="1"/>
    <n v="0"/>
    <n v="0"/>
    <n v="7"/>
    <n v="1"/>
    <n v="45"/>
    <n v="85"/>
    <n v="7"/>
    <n v="21"/>
    <n v="41"/>
    <n v="0"/>
    <n v="19"/>
    <n v="1"/>
    <n v="0"/>
    <n v="24"/>
    <n v="33"/>
    <n v="16"/>
  </r>
  <r>
    <x v="126"/>
    <x v="1"/>
    <x v="246"/>
    <n v="1985"/>
    <n v="32"/>
    <x v="25"/>
    <s v="Scotland"/>
    <n v="3150000"/>
    <n v="2250000"/>
    <x v="2"/>
    <n v="11"/>
    <n v="408"/>
    <x v="0"/>
    <n v="246"/>
    <x v="0"/>
    <x v="4"/>
    <x v="1"/>
    <n v="6"/>
    <n v="3"/>
    <n v="10"/>
    <n v="3"/>
    <n v="1"/>
    <n v="5"/>
    <n v="0"/>
    <n v="0"/>
    <n v="0"/>
    <n v="0"/>
    <n v="3"/>
    <n v="7"/>
    <n v="10"/>
    <n v="30"/>
    <n v="0"/>
    <n v="9"/>
    <n v="8"/>
    <n v="0"/>
    <n v="9"/>
    <n v="1"/>
    <n v="0"/>
    <n v="9"/>
    <n v="7"/>
    <n v="5"/>
  </r>
  <r>
    <x v="127"/>
    <x v="2"/>
    <x v="247"/>
    <n v="1989"/>
    <n v="29"/>
    <x v="27"/>
    <s v="England"/>
    <n v="9000000"/>
    <n v="7200000"/>
    <x v="0"/>
    <n v="25"/>
    <n v="980"/>
    <x v="5"/>
    <n v="197"/>
    <x v="5"/>
    <x v="3"/>
    <x v="0"/>
    <n v="14"/>
    <n v="11"/>
    <n v="32"/>
    <n v="9"/>
    <n v="0"/>
    <n v="10"/>
    <n v="1"/>
    <n v="0"/>
    <n v="0"/>
    <n v="9"/>
    <n v="0"/>
    <n v="23"/>
    <n v="0"/>
    <n v="0"/>
    <n v="2"/>
    <n v="2"/>
    <n v="14"/>
    <n v="0"/>
    <n v="13"/>
    <n v="0"/>
    <n v="0"/>
    <n v="13"/>
    <n v="42"/>
    <n v="82"/>
  </r>
  <r>
    <x v="127"/>
    <x v="1"/>
    <x v="248"/>
    <n v="1989"/>
    <n v="28"/>
    <x v="27"/>
    <s v="England"/>
    <n v="11700000"/>
    <n v="9000000"/>
    <x v="0"/>
    <n v="24"/>
    <n v="1030"/>
    <x v="8"/>
    <n v="244"/>
    <x v="0"/>
    <x v="4"/>
    <x v="0"/>
    <n v="14"/>
    <n v="7"/>
    <n v="48"/>
    <n v="25"/>
    <n v="2"/>
    <n v="4"/>
    <n v="3"/>
    <n v="1"/>
    <n v="0"/>
    <n v="14"/>
    <n v="1"/>
    <n v="23"/>
    <n v="0"/>
    <n v="2"/>
    <n v="3"/>
    <n v="1"/>
    <n v="16"/>
    <n v="0"/>
    <n v="7"/>
    <n v="0"/>
    <n v="0"/>
    <n v="10"/>
    <n v="41"/>
    <n v="71"/>
  </r>
  <r>
    <x v="127"/>
    <x v="3"/>
    <x v="249"/>
    <n v="1989"/>
    <n v="27"/>
    <x v="27"/>
    <s v="England"/>
    <n v="11700000"/>
    <n v="11700000"/>
    <x v="0"/>
    <n v="15"/>
    <n v="939"/>
    <x v="14"/>
    <n v="255"/>
    <x v="3"/>
    <x v="3"/>
    <x v="0"/>
    <n v="4"/>
    <n v="9"/>
    <n v="37"/>
    <n v="17"/>
    <n v="2"/>
    <n v="10"/>
    <n v="1"/>
    <n v="2"/>
    <n v="0"/>
    <n v="8"/>
    <n v="2"/>
    <n v="3"/>
    <n v="0"/>
    <n v="9"/>
    <n v="1"/>
    <n v="4"/>
    <n v="14"/>
    <n v="0"/>
    <n v="14"/>
    <n v="0"/>
    <n v="0"/>
    <n v="13"/>
    <n v="43"/>
    <n v="50"/>
  </r>
  <r>
    <x v="128"/>
    <x v="0"/>
    <x v="250"/>
    <n v="1986"/>
    <n v="28"/>
    <x v="14"/>
    <s v="England"/>
    <n v="900000"/>
    <n v="2250000"/>
    <x v="1"/>
    <n v="37"/>
    <n v="3285"/>
    <x v="7"/>
    <n v="1692"/>
    <x v="8"/>
    <x v="4"/>
    <x v="0"/>
    <n v="0"/>
    <n v="1"/>
    <n v="20"/>
    <n v="7"/>
    <n v="0"/>
    <n v="37"/>
    <n v="0"/>
    <n v="2"/>
    <n v="0"/>
    <n v="2"/>
    <n v="1"/>
    <n v="2"/>
    <n v="14"/>
    <n v="127"/>
    <n v="4"/>
    <n v="53"/>
    <n v="10"/>
    <n v="0"/>
    <n v="75"/>
    <n v="0"/>
    <n v="0"/>
    <n v="76"/>
    <n v="26"/>
    <n v="21"/>
  </r>
  <r>
    <x v="128"/>
    <x v="2"/>
    <x v="251"/>
    <n v="1986"/>
    <n v="31"/>
    <x v="14"/>
    <s v="England"/>
    <n v="3150000"/>
    <n v="2700000"/>
    <x v="1"/>
    <n v="21"/>
    <n v="1585"/>
    <x v="4"/>
    <n v="840"/>
    <x v="0"/>
    <x v="5"/>
    <x v="0"/>
    <n v="4"/>
    <n v="2"/>
    <n v="12"/>
    <n v="3"/>
    <n v="0"/>
    <n v="21"/>
    <n v="1"/>
    <n v="0"/>
    <n v="0"/>
    <n v="0"/>
    <n v="1"/>
    <n v="9"/>
    <n v="2"/>
    <n v="27"/>
    <n v="4"/>
    <n v="20"/>
    <n v="7"/>
    <n v="0"/>
    <n v="25"/>
    <n v="2"/>
    <n v="0"/>
    <n v="43"/>
    <n v="29"/>
    <n v="25"/>
  </r>
  <r>
    <x v="128"/>
    <x v="1"/>
    <x v="252"/>
    <n v="1986"/>
    <n v="31"/>
    <x v="14"/>
    <s v="England"/>
    <n v="2700000"/>
    <n v="3150000"/>
    <x v="1"/>
    <n v="35"/>
    <n v="3004"/>
    <x v="4"/>
    <n v="1568"/>
    <x v="6"/>
    <x v="0"/>
    <x v="0"/>
    <n v="1"/>
    <n v="4"/>
    <n v="20"/>
    <n v="6"/>
    <n v="0"/>
    <n v="39"/>
    <n v="0"/>
    <n v="0"/>
    <n v="0"/>
    <n v="0"/>
    <n v="2"/>
    <n v="14"/>
    <n v="14"/>
    <n v="106"/>
    <n v="7"/>
    <n v="31"/>
    <n v="7"/>
    <n v="0"/>
    <n v="48"/>
    <n v="0"/>
    <n v="0"/>
    <n v="93"/>
    <n v="46"/>
    <n v="44"/>
  </r>
  <r>
    <x v="128"/>
    <x v="3"/>
    <x v="253"/>
    <n v="1986"/>
    <n v="29"/>
    <x v="14"/>
    <s v="England"/>
    <n v="2250000"/>
    <n v="2700000"/>
    <x v="1"/>
    <n v="34"/>
    <n v="3060"/>
    <x v="6"/>
    <n v="1616"/>
    <x v="6"/>
    <x v="3"/>
    <x v="0"/>
    <n v="0"/>
    <n v="0"/>
    <n v="19"/>
    <n v="6"/>
    <n v="1"/>
    <n v="39"/>
    <n v="0"/>
    <n v="0"/>
    <n v="0"/>
    <n v="0"/>
    <n v="3"/>
    <n v="0"/>
    <n v="12"/>
    <n v="86"/>
    <n v="14"/>
    <n v="50"/>
    <n v="12"/>
    <n v="1"/>
    <n v="58"/>
    <n v="0"/>
    <n v="0"/>
    <n v="78"/>
    <n v="34"/>
    <n v="39"/>
  </r>
  <r>
    <x v="129"/>
    <x v="1"/>
    <x v="254"/>
    <n v="1993"/>
    <n v="24"/>
    <x v="5"/>
    <s v="England"/>
    <n v="4500000"/>
    <n v="4500000"/>
    <x v="1"/>
    <n v="11"/>
    <n v="949"/>
    <x v="0"/>
    <n v="326"/>
    <x v="0"/>
    <x v="6"/>
    <x v="0"/>
    <n v="1"/>
    <n v="0"/>
    <n v="0"/>
    <n v="0"/>
    <n v="0"/>
    <n v="20"/>
    <n v="0"/>
    <n v="0"/>
    <n v="0"/>
    <n v="0"/>
    <n v="0"/>
    <n v="0"/>
    <n v="0"/>
    <n v="26"/>
    <n v="5"/>
    <n v="15"/>
    <n v="7"/>
    <n v="0"/>
    <n v="16"/>
    <n v="0"/>
    <n v="0"/>
    <n v="39"/>
    <n v="23"/>
    <n v="12"/>
  </r>
  <r>
    <x v="129"/>
    <x v="2"/>
    <x v="255"/>
    <n v="1993"/>
    <n v="24"/>
    <x v="5"/>
    <s v="England"/>
    <n v="4500000"/>
    <n v="6300000"/>
    <x v="1"/>
    <n v="38"/>
    <n v="3240"/>
    <x v="0"/>
    <n v="1175"/>
    <x v="0"/>
    <x v="4"/>
    <x v="0"/>
    <n v="3"/>
    <n v="0"/>
    <n v="6"/>
    <n v="0"/>
    <n v="0"/>
    <n v="47"/>
    <n v="0"/>
    <n v="0"/>
    <n v="0"/>
    <n v="1"/>
    <n v="0"/>
    <n v="6"/>
    <n v="4"/>
    <n v="119"/>
    <n v="35"/>
    <n v="40"/>
    <n v="15"/>
    <n v="2"/>
    <n v="54"/>
    <n v="0"/>
    <n v="0"/>
    <n v="83"/>
    <n v="72"/>
    <n v="61"/>
  </r>
  <r>
    <x v="130"/>
    <x v="0"/>
    <x v="256"/>
    <n v="1986"/>
    <n v="29"/>
    <x v="20"/>
    <s v="Cote D'Ivoire"/>
    <n v="8250000"/>
    <n v="5500000"/>
    <x v="2"/>
    <n v="20"/>
    <n v="1225"/>
    <x v="0"/>
    <n v="835"/>
    <x v="0"/>
    <x v="2"/>
    <x v="0"/>
    <n v="4"/>
    <n v="12"/>
    <n v="0"/>
    <n v="0"/>
    <n v="0"/>
    <n v="19"/>
    <n v="0"/>
    <n v="0"/>
    <n v="0"/>
    <n v="0"/>
    <n v="0"/>
    <n v="0"/>
    <n v="0"/>
    <n v="0"/>
    <n v="3"/>
    <n v="42"/>
    <n v="31"/>
    <n v="0"/>
    <n v="48"/>
    <n v="0"/>
    <n v="0"/>
    <n v="29"/>
    <n v="35"/>
    <n v="23"/>
  </r>
  <r>
    <x v="131"/>
    <x v="0"/>
    <x v="257"/>
    <n v="1989"/>
    <n v="25"/>
    <x v="3"/>
    <s v="Senegal"/>
    <n v="13200000"/>
    <n v="13200000"/>
    <x v="2"/>
    <n v="34"/>
    <n v="3009"/>
    <x v="2"/>
    <n v="1234"/>
    <x v="5"/>
    <x v="2"/>
    <x v="1"/>
    <n v="0"/>
    <n v="3"/>
    <n v="45"/>
    <n v="18"/>
    <n v="4"/>
    <n v="34"/>
    <n v="2"/>
    <n v="0"/>
    <n v="0"/>
    <n v="2"/>
    <n v="1"/>
    <n v="3"/>
    <n v="0"/>
    <n v="19"/>
    <n v="13"/>
    <n v="77"/>
    <n v="36"/>
    <n v="0"/>
    <n v="95"/>
    <n v="0"/>
    <n v="0"/>
    <n v="57"/>
    <n v="88"/>
    <n v="55"/>
  </r>
  <r>
    <x v="131"/>
    <x v="1"/>
    <x v="258"/>
    <n v="1989"/>
    <n v="28"/>
    <x v="3"/>
    <s v="Senegal"/>
    <n v="13200000"/>
    <n v="13200000"/>
    <x v="2"/>
    <n v="33"/>
    <n v="2801"/>
    <x v="5"/>
    <n v="955"/>
    <x v="6"/>
    <x v="2"/>
    <x v="0"/>
    <n v="1"/>
    <n v="5"/>
    <n v="23"/>
    <n v="5"/>
    <n v="1"/>
    <n v="37"/>
    <n v="1"/>
    <n v="0"/>
    <n v="0"/>
    <n v="6"/>
    <n v="5"/>
    <n v="18"/>
    <n v="0"/>
    <n v="17"/>
    <n v="11"/>
    <n v="32"/>
    <n v="45"/>
    <n v="0"/>
    <n v="71"/>
    <n v="0"/>
    <n v="0"/>
    <n v="49"/>
    <n v="123"/>
    <n v="113"/>
  </r>
  <r>
    <x v="131"/>
    <x v="2"/>
    <x v="259"/>
    <n v="1989"/>
    <n v="28"/>
    <x v="8"/>
    <s v="Senegal"/>
    <n v="13200000"/>
    <n v="11000000"/>
    <x v="2"/>
    <n v="31"/>
    <n v="1897"/>
    <x v="0"/>
    <n v="765"/>
    <x v="5"/>
    <x v="0"/>
    <x v="0"/>
    <n v="10"/>
    <n v="8"/>
    <n v="20"/>
    <n v="8"/>
    <n v="1"/>
    <n v="17"/>
    <n v="0"/>
    <n v="0"/>
    <n v="0"/>
    <n v="3"/>
    <n v="1"/>
    <n v="12"/>
    <n v="0"/>
    <n v="8"/>
    <n v="11"/>
    <n v="16"/>
    <n v="34"/>
    <n v="0"/>
    <n v="58"/>
    <n v="0"/>
    <n v="0"/>
    <n v="31"/>
    <n v="64"/>
    <n v="72"/>
  </r>
  <r>
    <x v="131"/>
    <x v="3"/>
    <x v="260"/>
    <n v="1989"/>
    <n v="27"/>
    <x v="3"/>
    <s v="Senegal"/>
    <n v="12100000"/>
    <n v="13200000"/>
    <x v="2"/>
    <n v="31"/>
    <n v="2727"/>
    <x v="4"/>
    <n v="1071"/>
    <x v="0"/>
    <x v="6"/>
    <x v="0"/>
    <n v="0"/>
    <n v="6"/>
    <n v="21"/>
    <n v="4"/>
    <n v="0"/>
    <n v="74"/>
    <n v="0"/>
    <n v="0"/>
    <n v="0"/>
    <n v="2"/>
    <n v="0"/>
    <n v="0"/>
    <n v="0"/>
    <n v="15"/>
    <n v="7"/>
    <n v="79"/>
    <n v="44"/>
    <n v="0"/>
    <n v="76"/>
    <n v="1"/>
    <n v="0"/>
    <n v="111"/>
    <n v="79"/>
    <n v="47"/>
  </r>
  <r>
    <x v="132"/>
    <x v="1"/>
    <x v="261"/>
    <n v="1988"/>
    <n v="29"/>
    <x v="3"/>
    <s v="Mexico"/>
    <n v="19800000"/>
    <n v="16500000"/>
    <x v="0"/>
    <n v="28"/>
    <n v="1543"/>
    <x v="9"/>
    <n v="373"/>
    <x v="0"/>
    <x v="6"/>
    <x v="0"/>
    <n v="12"/>
    <n v="7"/>
    <n v="29"/>
    <n v="16"/>
    <n v="2"/>
    <n v="0"/>
    <n v="2"/>
    <n v="0"/>
    <n v="0"/>
    <n v="14"/>
    <n v="4"/>
    <n v="13"/>
    <n v="1"/>
    <n v="18"/>
    <n v="1"/>
    <n v="6"/>
    <n v="15"/>
    <n v="0"/>
    <n v="11"/>
    <n v="0"/>
    <n v="0"/>
    <n v="1"/>
    <n v="14"/>
    <n v="34"/>
  </r>
  <r>
    <x v="132"/>
    <x v="2"/>
    <x v="262"/>
    <n v="1988"/>
    <n v="30"/>
    <x v="3"/>
    <s v="Mexico"/>
    <n v="13500000"/>
    <n v="10800000"/>
    <x v="0"/>
    <n v="25"/>
    <n v="1337"/>
    <x v="8"/>
    <n v="322"/>
    <x v="3"/>
    <x v="4"/>
    <x v="0"/>
    <n v="11"/>
    <n v="12"/>
    <n v="37"/>
    <n v="18"/>
    <n v="0"/>
    <n v="5"/>
    <n v="2"/>
    <n v="0"/>
    <n v="0"/>
    <n v="11"/>
    <n v="7"/>
    <n v="19"/>
    <n v="0"/>
    <n v="9"/>
    <n v="1"/>
    <n v="1"/>
    <n v="9"/>
    <n v="0"/>
    <n v="3"/>
    <n v="0"/>
    <n v="0"/>
    <n v="8"/>
    <n v="12"/>
    <n v="26"/>
  </r>
  <r>
    <x v="133"/>
    <x v="0"/>
    <x v="263"/>
    <n v="1984"/>
    <n v="30"/>
    <x v="18"/>
    <s v="Northern Ireland"/>
    <n v="4400000"/>
    <n v="4400000"/>
    <x v="2"/>
    <n v="22"/>
    <n v="1803"/>
    <x v="0"/>
    <n v="621"/>
    <x v="6"/>
    <x v="1"/>
    <x v="0"/>
    <n v="2"/>
    <n v="4"/>
    <n v="17"/>
    <n v="4"/>
    <n v="0"/>
    <n v="32"/>
    <n v="0"/>
    <n v="0"/>
    <n v="0"/>
    <n v="1"/>
    <n v="2"/>
    <n v="0"/>
    <n v="50"/>
    <n v="103"/>
    <n v="10"/>
    <n v="37"/>
    <n v="18"/>
    <n v="0"/>
    <n v="28"/>
    <n v="0"/>
    <n v="0"/>
    <n v="68"/>
    <n v="25"/>
    <n v="16"/>
  </r>
  <r>
    <x v="133"/>
    <x v="3"/>
    <x v="264"/>
    <n v="1984"/>
    <n v="31"/>
    <x v="18"/>
    <s v="Northern Ireland"/>
    <n v="4400000"/>
    <n v="4400000"/>
    <x v="2"/>
    <n v="31"/>
    <n v="2478"/>
    <x v="7"/>
    <n v="910"/>
    <x v="2"/>
    <x v="2"/>
    <x v="0"/>
    <n v="4"/>
    <n v="4"/>
    <n v="38"/>
    <n v="11"/>
    <n v="0"/>
    <n v="21"/>
    <n v="1"/>
    <n v="0"/>
    <n v="1"/>
    <n v="2"/>
    <n v="6"/>
    <n v="0"/>
    <n v="65"/>
    <n v="176"/>
    <n v="4"/>
    <n v="33"/>
    <n v="17"/>
    <n v="0"/>
    <n v="36"/>
    <n v="0"/>
    <n v="0"/>
    <n v="54"/>
    <n v="27"/>
    <n v="21"/>
  </r>
  <r>
    <x v="133"/>
    <x v="1"/>
    <x v="265"/>
    <n v="1984"/>
    <n v="33"/>
    <x v="18"/>
    <s v="Northern Ireland"/>
    <n v="4400000"/>
    <n v="3300000"/>
    <x v="2"/>
    <n v="26"/>
    <n v="1921"/>
    <x v="0"/>
    <n v="882"/>
    <x v="4"/>
    <x v="2"/>
    <x v="0"/>
    <n v="4"/>
    <n v="7"/>
    <n v="25"/>
    <n v="5"/>
    <n v="0"/>
    <n v="15"/>
    <n v="0"/>
    <n v="0"/>
    <n v="0"/>
    <n v="0"/>
    <n v="6"/>
    <n v="20"/>
    <n v="85"/>
    <n v="139"/>
    <n v="4"/>
    <n v="21"/>
    <n v="15"/>
    <n v="0"/>
    <n v="41"/>
    <n v="0"/>
    <n v="0"/>
    <n v="40"/>
    <n v="16"/>
    <n v="15"/>
  </r>
  <r>
    <x v="134"/>
    <x v="1"/>
    <x v="266"/>
    <n v="1989"/>
    <n v="28"/>
    <x v="6"/>
    <s v="Germany"/>
    <n v="1350000"/>
    <n v="1350000"/>
    <x v="1"/>
    <n v="23"/>
    <n v="1594"/>
    <x v="0"/>
    <n v="619"/>
    <x v="0"/>
    <x v="3"/>
    <x v="0"/>
    <n v="4"/>
    <n v="9"/>
    <n v="2"/>
    <n v="2"/>
    <n v="0"/>
    <n v="20"/>
    <n v="0"/>
    <n v="0"/>
    <n v="0"/>
    <n v="0"/>
    <n v="0"/>
    <n v="0"/>
    <n v="15"/>
    <n v="73"/>
    <n v="8"/>
    <n v="34"/>
    <n v="13"/>
    <n v="0"/>
    <n v="43"/>
    <n v="1"/>
    <n v="0"/>
    <n v="55"/>
    <n v="12"/>
    <n v="12"/>
  </r>
  <r>
    <x v="134"/>
    <x v="2"/>
    <x v="267"/>
    <n v="1989"/>
    <n v="29"/>
    <x v="6"/>
    <s v="Germany"/>
    <n v="1350000"/>
    <n v="1800000"/>
    <x v="1"/>
    <n v="29"/>
    <n v="2056"/>
    <x v="0"/>
    <n v="840"/>
    <x v="5"/>
    <x v="0"/>
    <x v="0"/>
    <n v="6"/>
    <n v="6"/>
    <n v="18"/>
    <n v="6"/>
    <n v="1"/>
    <n v="14"/>
    <n v="0"/>
    <n v="0"/>
    <n v="0"/>
    <n v="2"/>
    <n v="0"/>
    <n v="12"/>
    <n v="34"/>
    <n v="140"/>
    <n v="3"/>
    <n v="22"/>
    <n v="14"/>
    <n v="0"/>
    <n v="34"/>
    <n v="0"/>
    <n v="0"/>
    <n v="53"/>
    <n v="26"/>
    <n v="33"/>
  </r>
  <r>
    <x v="135"/>
    <x v="2"/>
    <x v="268"/>
    <n v="1997"/>
    <n v="20"/>
    <x v="14"/>
    <s v="Wales"/>
    <n v="7200000"/>
    <n v="11700000"/>
    <x v="1"/>
    <n v="13"/>
    <n v="850"/>
    <x v="0"/>
    <n v="405"/>
    <x v="3"/>
    <x v="3"/>
    <x v="0"/>
    <n v="3"/>
    <n v="2"/>
    <n v="2"/>
    <n v="0"/>
    <n v="0"/>
    <n v="25"/>
    <n v="0"/>
    <n v="0"/>
    <n v="0"/>
    <n v="0"/>
    <n v="0"/>
    <n v="2"/>
    <n v="0"/>
    <n v="1"/>
    <n v="5"/>
    <n v="14"/>
    <n v="7"/>
    <n v="0"/>
    <n v="9"/>
    <n v="1"/>
    <n v="0"/>
    <n v="57"/>
    <n v="31"/>
    <n v="19"/>
  </r>
  <r>
    <x v="136"/>
    <x v="3"/>
    <x v="269"/>
    <n v="1989"/>
    <n v="26"/>
    <x v="22"/>
    <s v="England"/>
    <n v="18000000"/>
    <n v="16200000"/>
    <x v="1"/>
    <n v="18"/>
    <n v="1215"/>
    <x v="4"/>
    <n v="464"/>
    <x v="3"/>
    <x v="0"/>
    <x v="0"/>
    <n v="5"/>
    <n v="1"/>
    <n v="7"/>
    <n v="1"/>
    <n v="0"/>
    <n v="77"/>
    <n v="1"/>
    <n v="0"/>
    <n v="0"/>
    <n v="1"/>
    <n v="0"/>
    <n v="0"/>
    <n v="0"/>
    <n v="0"/>
    <n v="9"/>
    <n v="13"/>
    <n v="8"/>
    <n v="0"/>
    <n v="12"/>
    <n v="2"/>
    <n v="0"/>
    <n v="126"/>
    <n v="48"/>
    <n v="18"/>
  </r>
  <r>
    <x v="136"/>
    <x v="1"/>
    <x v="270"/>
    <n v="1989"/>
    <n v="28"/>
    <x v="22"/>
    <s v="England"/>
    <n v="16200000"/>
    <n v="16200000"/>
    <x v="1"/>
    <n v="29"/>
    <n v="2535"/>
    <x v="6"/>
    <n v="1137"/>
    <x v="0"/>
    <x v="5"/>
    <x v="0"/>
    <n v="1"/>
    <n v="0"/>
    <n v="13"/>
    <n v="6"/>
    <n v="0"/>
    <n v="89"/>
    <n v="2"/>
    <n v="0"/>
    <n v="0"/>
    <n v="2"/>
    <n v="0"/>
    <n v="7"/>
    <n v="0"/>
    <n v="0"/>
    <n v="28"/>
    <n v="63"/>
    <n v="24"/>
    <n v="0"/>
    <n v="40"/>
    <n v="0"/>
    <n v="0"/>
    <n v="159"/>
    <n v="108"/>
    <n v="52"/>
  </r>
  <r>
    <x v="136"/>
    <x v="2"/>
    <x v="271"/>
    <n v="1989"/>
    <n v="28"/>
    <x v="22"/>
    <s v="England"/>
    <n v="16200000"/>
    <n v="18000000"/>
    <x v="1"/>
    <n v="24"/>
    <n v="2128"/>
    <x v="0"/>
    <n v="954"/>
    <x v="0"/>
    <x v="0"/>
    <x v="0"/>
    <n v="0"/>
    <n v="1"/>
    <n v="11"/>
    <n v="2"/>
    <n v="0"/>
    <n v="57"/>
    <n v="0"/>
    <n v="0"/>
    <n v="0"/>
    <n v="2"/>
    <n v="1"/>
    <n v="9"/>
    <n v="0"/>
    <n v="0"/>
    <n v="25"/>
    <n v="26"/>
    <n v="22"/>
    <n v="0"/>
    <n v="30"/>
    <n v="0"/>
    <n v="1"/>
    <n v="106"/>
    <n v="102"/>
    <n v="57"/>
  </r>
  <r>
    <x v="136"/>
    <x v="0"/>
    <x v="272"/>
    <n v="1989"/>
    <n v="25"/>
    <x v="22"/>
    <s v="England"/>
    <n v="12600000"/>
    <n v="18000000"/>
    <x v="1"/>
    <n v="35"/>
    <n v="3150"/>
    <x v="0"/>
    <n v="1533"/>
    <x v="3"/>
    <x v="9"/>
    <x v="0"/>
    <n v="0"/>
    <n v="0"/>
    <n v="18"/>
    <n v="2"/>
    <n v="2"/>
    <n v="105"/>
    <n v="0"/>
    <n v="0"/>
    <n v="0"/>
    <n v="0"/>
    <n v="1"/>
    <n v="2"/>
    <n v="0"/>
    <n v="0"/>
    <n v="19"/>
    <n v="97"/>
    <n v="47"/>
    <n v="0"/>
    <n v="55"/>
    <n v="0"/>
    <n v="0"/>
    <n v="180"/>
    <n v="124"/>
    <n v="70"/>
  </r>
  <r>
    <x v="137"/>
    <x v="1"/>
    <x v="273"/>
    <n v="1991"/>
    <n v="26"/>
    <x v="5"/>
    <s v="New Zealand"/>
    <n v="11000000"/>
    <n v="16200000"/>
    <x v="0"/>
    <n v="24"/>
    <n v="1633"/>
    <x v="15"/>
    <n v="415"/>
    <x v="3"/>
    <x v="3"/>
    <x v="0"/>
    <n v="4"/>
    <n v="13"/>
    <n v="39"/>
    <n v="24"/>
    <n v="1"/>
    <n v="13"/>
    <n v="3"/>
    <n v="0"/>
    <n v="0"/>
    <n v="27"/>
    <n v="1"/>
    <n v="15"/>
    <n v="0"/>
    <n v="5"/>
    <n v="4"/>
    <n v="0"/>
    <n v="18"/>
    <n v="0"/>
    <n v="7"/>
    <n v="0"/>
    <n v="0"/>
    <n v="16"/>
    <n v="83"/>
    <n v="105"/>
  </r>
  <r>
    <x v="137"/>
    <x v="2"/>
    <x v="274"/>
    <n v="1991"/>
    <n v="26"/>
    <x v="5"/>
    <s v="New Zealand"/>
    <n v="16200000"/>
    <n v="16200000"/>
    <x v="0"/>
    <n v="38"/>
    <n v="2594"/>
    <x v="15"/>
    <n v="599"/>
    <x v="5"/>
    <x v="4"/>
    <x v="0"/>
    <n v="9"/>
    <n v="16"/>
    <n v="59"/>
    <n v="23"/>
    <n v="5"/>
    <n v="16"/>
    <n v="6"/>
    <n v="0"/>
    <n v="0"/>
    <n v="53"/>
    <n v="4"/>
    <n v="36"/>
    <n v="0"/>
    <n v="12"/>
    <n v="4"/>
    <n v="3"/>
    <n v="26"/>
    <n v="0"/>
    <n v="13"/>
    <n v="0"/>
    <n v="0"/>
    <n v="26"/>
    <n v="132"/>
    <n v="170"/>
  </r>
  <r>
    <x v="138"/>
    <x v="2"/>
    <x v="275"/>
    <n v="1992"/>
    <n v="26"/>
    <x v="20"/>
    <s v="Ghana"/>
    <n v="6600000"/>
    <n v="6600000"/>
    <x v="0"/>
    <n v="28"/>
    <n v="1488"/>
    <x v="4"/>
    <n v="383"/>
    <x v="0"/>
    <x v="4"/>
    <x v="0"/>
    <n v="13"/>
    <n v="7"/>
    <n v="28"/>
    <n v="14"/>
    <n v="0"/>
    <n v="3"/>
    <n v="0"/>
    <n v="0"/>
    <n v="0"/>
    <n v="4"/>
    <n v="3"/>
    <n v="14"/>
    <n v="3"/>
    <n v="42"/>
    <n v="3"/>
    <n v="7"/>
    <n v="13"/>
    <n v="0"/>
    <n v="24"/>
    <n v="0"/>
    <n v="0"/>
    <n v="14"/>
    <n v="10"/>
    <n v="59"/>
  </r>
  <r>
    <x v="138"/>
    <x v="1"/>
    <x v="276"/>
    <n v="1992"/>
    <n v="25"/>
    <x v="20"/>
    <s v="Ghana"/>
    <n v="29700000"/>
    <n v="34100000"/>
    <x v="2"/>
    <n v="28"/>
    <n v="1781"/>
    <x v="5"/>
    <n v="448"/>
    <x v="5"/>
    <x v="3"/>
    <x v="0"/>
    <n v="9"/>
    <n v="7"/>
    <n v="35"/>
    <n v="12"/>
    <n v="0"/>
    <n v="10"/>
    <n v="0"/>
    <n v="0"/>
    <n v="0"/>
    <n v="6"/>
    <n v="1"/>
    <n v="23"/>
    <n v="4"/>
    <n v="57"/>
    <n v="5"/>
    <n v="13"/>
    <n v="10"/>
    <n v="0"/>
    <n v="17"/>
    <n v="0"/>
    <n v="0"/>
    <n v="20"/>
    <n v="13"/>
    <n v="68"/>
  </r>
  <r>
    <x v="139"/>
    <x v="0"/>
    <x v="277"/>
    <n v="1990"/>
    <n v="24"/>
    <x v="13"/>
    <s v="Belgium"/>
    <n v="22000000"/>
    <n v="24300000"/>
    <x v="0"/>
    <n v="29"/>
    <n v="1518"/>
    <x v="3"/>
    <n v="516"/>
    <x v="6"/>
    <x v="4"/>
    <x v="0"/>
    <n v="15"/>
    <n v="3"/>
    <n v="61"/>
    <n v="20"/>
    <n v="1"/>
    <n v="12"/>
    <n v="3"/>
    <n v="1"/>
    <n v="0"/>
    <n v="17"/>
    <n v="1"/>
    <n v="9"/>
    <n v="1"/>
    <n v="1"/>
    <n v="0"/>
    <n v="0"/>
    <n v="29"/>
    <n v="0"/>
    <n v="8"/>
    <n v="0"/>
    <n v="0"/>
    <n v="13"/>
    <n v="130"/>
    <n v="96"/>
  </r>
  <r>
    <x v="139"/>
    <x v="3"/>
    <x v="278"/>
    <n v="1990"/>
    <n v="25"/>
    <x v="8"/>
    <s v="Belgium"/>
    <n v="24300000"/>
    <n v="25200000"/>
    <x v="0"/>
    <n v="36"/>
    <n v="3137"/>
    <x v="16"/>
    <n v="920"/>
    <x v="5"/>
    <x v="7"/>
    <x v="0"/>
    <n v="0"/>
    <n v="7"/>
    <n v="105"/>
    <n v="40"/>
    <n v="4"/>
    <n v="39"/>
    <n v="7"/>
    <n v="2"/>
    <n v="0"/>
    <n v="36"/>
    <n v="1"/>
    <n v="12"/>
    <n v="0"/>
    <n v="0"/>
    <n v="1"/>
    <n v="6"/>
    <n v="81"/>
    <n v="0"/>
    <n v="9"/>
    <n v="0"/>
    <n v="0"/>
    <n v="48"/>
    <n v="322"/>
    <n v="215"/>
  </r>
  <r>
    <x v="139"/>
    <x v="1"/>
    <x v="279"/>
    <n v="1990"/>
    <n v="27"/>
    <x v="8"/>
    <s v="Belgium"/>
    <n v="25200000"/>
    <n v="19800000"/>
    <x v="0"/>
    <n v="31"/>
    <n v="2236"/>
    <x v="7"/>
    <n v="672"/>
    <x v="8"/>
    <x v="8"/>
    <x v="0"/>
    <n v="7"/>
    <n v="3"/>
    <n v="60"/>
    <n v="21"/>
    <n v="0"/>
    <n v="31"/>
    <n v="2"/>
    <n v="1"/>
    <n v="0"/>
    <n v="12"/>
    <n v="3"/>
    <n v="39"/>
    <n v="0"/>
    <n v="3"/>
    <n v="3"/>
    <n v="3"/>
    <n v="48"/>
    <n v="0"/>
    <n v="11"/>
    <n v="0"/>
    <n v="0"/>
    <n v="43"/>
    <n v="242"/>
    <n v="185"/>
  </r>
  <r>
    <x v="139"/>
    <x v="2"/>
    <x v="280"/>
    <n v="1990"/>
    <n v="27"/>
    <x v="8"/>
    <s v="Belgium"/>
    <n v="19800000"/>
    <n v="13500000"/>
    <x v="0"/>
    <n v="16"/>
    <n v="813"/>
    <x v="4"/>
    <n v="241"/>
    <x v="3"/>
    <x v="3"/>
    <x v="0"/>
    <n v="7"/>
    <n v="6"/>
    <n v="26"/>
    <n v="8"/>
    <n v="2"/>
    <n v="11"/>
    <n v="1"/>
    <n v="0"/>
    <n v="0"/>
    <n v="10"/>
    <n v="0"/>
    <n v="18"/>
    <n v="0"/>
    <n v="1"/>
    <n v="2"/>
    <n v="0"/>
    <n v="18"/>
    <n v="0"/>
    <n v="5"/>
    <n v="0"/>
    <n v="0"/>
    <n v="14"/>
    <n v="90"/>
    <n v="60"/>
  </r>
  <r>
    <x v="140"/>
    <x v="0"/>
    <x v="281"/>
    <n v="1992"/>
    <n v="23"/>
    <x v="26"/>
    <s v="Denmark"/>
    <n v="34100000"/>
    <n v="44000000"/>
    <x v="2"/>
    <n v="35"/>
    <n v="2938"/>
    <x v="14"/>
    <n v="1841"/>
    <x v="13"/>
    <x v="4"/>
    <x v="0"/>
    <n v="2"/>
    <n v="10"/>
    <n v="100"/>
    <n v="42"/>
    <n v="4"/>
    <n v="10"/>
    <n v="0"/>
    <n v="0"/>
    <n v="2"/>
    <n v="0"/>
    <n v="12"/>
    <n v="2"/>
    <n v="126"/>
    <n v="183"/>
    <n v="0"/>
    <n v="34"/>
    <n v="13"/>
    <n v="0"/>
    <n v="47"/>
    <n v="0"/>
    <n v="0"/>
    <n v="25"/>
    <n v="17"/>
    <n v="31"/>
  </r>
  <r>
    <x v="140"/>
    <x v="3"/>
    <x v="282"/>
    <n v="1992"/>
    <n v="24"/>
    <x v="26"/>
    <s v="Denmark"/>
    <n v="44000000"/>
    <n v="88000000"/>
    <x v="2"/>
    <n v="36"/>
    <n v="3164"/>
    <x v="9"/>
    <n v="1977"/>
    <x v="14"/>
    <x v="0"/>
    <x v="0"/>
    <n v="0"/>
    <n v="10"/>
    <n v="133"/>
    <n v="45"/>
    <n v="5"/>
    <n v="6"/>
    <n v="0"/>
    <n v="0"/>
    <n v="0"/>
    <n v="2"/>
    <n v="20"/>
    <n v="3"/>
    <n v="195"/>
    <n v="245"/>
    <n v="0"/>
    <n v="21"/>
    <n v="20"/>
    <n v="0"/>
    <n v="45"/>
    <n v="0"/>
    <n v="0"/>
    <n v="20"/>
    <n v="21"/>
    <n v="35"/>
  </r>
  <r>
    <x v="140"/>
    <x v="1"/>
    <x v="283"/>
    <n v="1992"/>
    <n v="25"/>
    <x v="26"/>
    <s v="Denmark"/>
    <n v="88000000"/>
    <n v="110000000"/>
    <x v="2"/>
    <n v="37"/>
    <n v="3226"/>
    <x v="15"/>
    <n v="2258"/>
    <x v="9"/>
    <x v="0"/>
    <x v="0"/>
    <n v="0"/>
    <n v="8"/>
    <n v="97"/>
    <n v="39"/>
    <n v="1"/>
    <n v="3"/>
    <n v="0"/>
    <n v="0"/>
    <n v="0"/>
    <n v="1"/>
    <n v="24"/>
    <n v="58"/>
    <n v="125"/>
    <n v="222"/>
    <n v="1"/>
    <n v="31"/>
    <n v="14"/>
    <n v="0"/>
    <n v="51"/>
    <n v="0"/>
    <n v="0"/>
    <n v="17"/>
    <n v="18"/>
    <n v="27"/>
  </r>
  <r>
    <x v="140"/>
    <x v="2"/>
    <x v="284"/>
    <n v="1992"/>
    <n v="26"/>
    <x v="26"/>
    <s v="Denmark"/>
    <n v="4400000"/>
    <n v="4400000"/>
    <x v="2"/>
    <n v="35"/>
    <n v="2771"/>
    <x v="9"/>
    <n v="1872"/>
    <x v="12"/>
    <x v="6"/>
    <x v="0"/>
    <n v="5"/>
    <n v="3"/>
    <n v="83"/>
    <n v="30"/>
    <n v="3"/>
    <n v="3"/>
    <n v="0"/>
    <n v="0"/>
    <n v="1"/>
    <n v="2"/>
    <n v="24"/>
    <n v="53"/>
    <n v="67"/>
    <n v="117"/>
    <n v="3"/>
    <n v="15"/>
    <n v="17"/>
    <n v="0"/>
    <n v="41"/>
    <n v="0"/>
    <n v="0"/>
    <n v="7"/>
    <n v="13"/>
    <n v="34"/>
  </r>
  <r>
    <x v="141"/>
    <x v="1"/>
    <x v="285"/>
    <n v="1986"/>
    <n v="31"/>
    <x v="17"/>
    <s v="Austria"/>
    <n v="5400000"/>
    <n v="4500000"/>
    <x v="1"/>
    <n v="25"/>
    <n v="1918"/>
    <x v="0"/>
    <n v="896"/>
    <x v="3"/>
    <x v="3"/>
    <x v="0"/>
    <n v="4"/>
    <n v="1"/>
    <n v="11"/>
    <n v="0"/>
    <n v="0"/>
    <n v="35"/>
    <n v="0"/>
    <n v="0"/>
    <n v="0"/>
    <n v="0"/>
    <n v="1"/>
    <n v="11"/>
    <n v="13"/>
    <n v="71"/>
    <n v="3"/>
    <n v="58"/>
    <n v="12"/>
    <n v="0"/>
    <n v="41"/>
    <n v="0"/>
    <n v="1"/>
    <n v="70"/>
    <n v="61"/>
    <n v="37"/>
  </r>
  <r>
    <x v="141"/>
    <x v="0"/>
    <x v="286"/>
    <n v="1986"/>
    <n v="29"/>
    <x v="17"/>
    <s v="Austria"/>
    <n v="2700000"/>
    <n v="5400000"/>
    <x v="1"/>
    <n v="30"/>
    <n v="2710"/>
    <x v="0"/>
    <n v="1180"/>
    <x v="2"/>
    <x v="5"/>
    <x v="0"/>
    <n v="2"/>
    <n v="1"/>
    <n v="19"/>
    <n v="8"/>
    <n v="0"/>
    <n v="67"/>
    <n v="0"/>
    <n v="0"/>
    <n v="0"/>
    <n v="0"/>
    <n v="4"/>
    <n v="0"/>
    <n v="67"/>
    <n v="127"/>
    <n v="11"/>
    <n v="98"/>
    <n v="33"/>
    <n v="0"/>
    <n v="99"/>
    <n v="0"/>
    <n v="0"/>
    <n v="122"/>
    <n v="49"/>
    <n v="34"/>
  </r>
  <r>
    <x v="141"/>
    <x v="3"/>
    <x v="287"/>
    <n v="1986"/>
    <n v="30"/>
    <x v="17"/>
    <s v="Austria"/>
    <n v="5400000"/>
    <n v="5400000"/>
    <x v="1"/>
    <n v="36"/>
    <n v="3103"/>
    <x v="5"/>
    <n v="1294"/>
    <x v="2"/>
    <x v="7"/>
    <x v="0"/>
    <n v="1"/>
    <n v="2"/>
    <n v="21"/>
    <n v="6"/>
    <n v="1"/>
    <n v="95"/>
    <n v="0"/>
    <n v="0"/>
    <n v="0"/>
    <n v="1"/>
    <n v="0"/>
    <n v="1"/>
    <n v="21"/>
    <n v="96"/>
    <n v="13"/>
    <n v="71"/>
    <n v="29"/>
    <n v="1"/>
    <n v="97"/>
    <n v="0"/>
    <n v="0"/>
    <n v="143"/>
    <n v="69"/>
    <n v="61"/>
  </r>
  <r>
    <x v="142"/>
    <x v="1"/>
    <x v="288"/>
    <n v="1991"/>
    <n v="26"/>
    <x v="9"/>
    <s v="Belgium"/>
    <n v="4950000"/>
    <n v="6300000"/>
    <x v="1"/>
    <n v="28"/>
    <n v="2332"/>
    <x v="5"/>
    <n v="903"/>
    <x v="0"/>
    <x v="2"/>
    <x v="0"/>
    <n v="1"/>
    <n v="3"/>
    <n v="10"/>
    <n v="5"/>
    <n v="0"/>
    <n v="99"/>
    <n v="2"/>
    <n v="0"/>
    <n v="0"/>
    <n v="0"/>
    <n v="0"/>
    <n v="5"/>
    <n v="0"/>
    <n v="1"/>
    <n v="23"/>
    <n v="34"/>
    <n v="31"/>
    <n v="1"/>
    <n v="42"/>
    <n v="0"/>
    <n v="1"/>
    <n v="173"/>
    <n v="103"/>
    <n v="46"/>
  </r>
  <r>
    <x v="142"/>
    <x v="2"/>
    <x v="289"/>
    <n v="1991"/>
    <n v="27"/>
    <x v="9"/>
    <s v="Belgium"/>
    <n v="6300000"/>
    <n v="7200000"/>
    <x v="1"/>
    <n v="21"/>
    <n v="1587"/>
    <x v="0"/>
    <n v="550"/>
    <x v="0"/>
    <x v="4"/>
    <x v="1"/>
    <n v="2"/>
    <n v="2"/>
    <n v="8"/>
    <n v="2"/>
    <n v="0"/>
    <n v="55"/>
    <n v="0"/>
    <n v="0"/>
    <n v="0"/>
    <n v="0"/>
    <n v="0"/>
    <n v="6"/>
    <n v="0"/>
    <n v="1"/>
    <n v="16"/>
    <n v="38"/>
    <n v="22"/>
    <n v="1"/>
    <n v="25"/>
    <n v="0"/>
    <n v="0"/>
    <n v="106"/>
    <n v="60"/>
    <n v="46"/>
  </r>
  <r>
    <x v="142"/>
    <x v="3"/>
    <x v="290"/>
    <n v="1991"/>
    <n v="25"/>
    <x v="9"/>
    <s v="Belgium"/>
    <n v="5400000"/>
    <n v="4950000"/>
    <x v="1"/>
    <n v="16"/>
    <n v="767"/>
    <x v="5"/>
    <n v="238"/>
    <x v="0"/>
    <x v="3"/>
    <x v="0"/>
    <n v="9"/>
    <n v="4"/>
    <n v="7"/>
    <n v="3"/>
    <n v="0"/>
    <n v="29"/>
    <n v="1"/>
    <n v="0"/>
    <n v="0"/>
    <n v="0"/>
    <n v="0"/>
    <n v="0"/>
    <n v="0"/>
    <n v="10"/>
    <n v="2"/>
    <n v="17"/>
    <n v="13"/>
    <n v="0"/>
    <n v="15"/>
    <n v="0"/>
    <n v="0"/>
    <n v="40"/>
    <n v="18"/>
    <n v="19"/>
  </r>
  <r>
    <x v="143"/>
    <x v="1"/>
    <x v="291"/>
    <n v="1990"/>
    <n v="27"/>
    <x v="6"/>
    <s v="Germany"/>
    <n v="1800000"/>
    <n v="5400000"/>
    <x v="1"/>
    <n v="37"/>
    <n v="3266"/>
    <x v="0"/>
    <n v="1389"/>
    <x v="3"/>
    <x v="8"/>
    <x v="1"/>
    <n v="0"/>
    <n v="1"/>
    <n v="10"/>
    <n v="0"/>
    <n v="1"/>
    <n v="143"/>
    <n v="0"/>
    <n v="0"/>
    <n v="0"/>
    <n v="0"/>
    <n v="0"/>
    <n v="10"/>
    <n v="0"/>
    <n v="4"/>
    <n v="30"/>
    <n v="75"/>
    <n v="30"/>
    <n v="2"/>
    <n v="83"/>
    <n v="0"/>
    <n v="0"/>
    <n v="265"/>
    <n v="155"/>
    <n v="95"/>
  </r>
  <r>
    <x v="143"/>
    <x v="2"/>
    <x v="292"/>
    <n v="1990"/>
    <n v="28"/>
    <x v="6"/>
    <s v="Germany"/>
    <n v="5400000"/>
    <n v="6300000"/>
    <x v="1"/>
    <n v="37"/>
    <n v="3262"/>
    <x v="4"/>
    <n v="1551"/>
    <x v="0"/>
    <x v="5"/>
    <x v="1"/>
    <n v="0"/>
    <n v="1"/>
    <n v="13"/>
    <n v="3"/>
    <n v="0"/>
    <n v="61"/>
    <n v="0"/>
    <n v="0"/>
    <n v="0"/>
    <n v="0"/>
    <n v="0"/>
    <n v="10"/>
    <n v="0"/>
    <n v="0"/>
    <n v="34"/>
    <n v="70"/>
    <n v="26"/>
    <n v="0"/>
    <n v="61"/>
    <n v="1"/>
    <n v="0"/>
    <n v="134"/>
    <n v="137"/>
    <n v="109"/>
  </r>
  <r>
    <x v="144"/>
    <x v="0"/>
    <x v="293"/>
    <n v="1988"/>
    <n v="27"/>
    <x v="8"/>
    <s v="South Korea"/>
    <n v="1000000"/>
    <n v="1350000"/>
    <x v="0"/>
    <n v="13"/>
    <n v="385"/>
    <x v="4"/>
    <n v="177"/>
    <x v="0"/>
    <x v="0"/>
    <x v="0"/>
    <n v="9"/>
    <n v="4"/>
    <n v="5"/>
    <n v="0"/>
    <n v="0"/>
    <n v="1"/>
    <n v="0"/>
    <n v="0"/>
    <n v="0"/>
    <n v="0"/>
    <n v="0"/>
    <n v="0"/>
    <n v="8"/>
    <n v="18"/>
    <n v="0"/>
    <n v="6"/>
    <n v="4"/>
    <n v="0"/>
    <n v="15"/>
    <n v="0"/>
    <n v="0"/>
    <n v="3"/>
    <n v="5"/>
    <n v="8"/>
  </r>
  <r>
    <x v="144"/>
    <x v="3"/>
    <x v="294"/>
    <n v="1988"/>
    <n v="28"/>
    <x v="8"/>
    <s v="South Korea"/>
    <n v="1350000"/>
    <n v="1350000"/>
    <x v="0"/>
    <n v="15"/>
    <n v="466"/>
    <x v="0"/>
    <n v="199"/>
    <x v="3"/>
    <x v="0"/>
    <x v="0"/>
    <n v="11"/>
    <n v="4"/>
    <n v="4"/>
    <n v="2"/>
    <n v="0"/>
    <n v="1"/>
    <n v="0"/>
    <n v="0"/>
    <n v="0"/>
    <n v="0"/>
    <n v="0"/>
    <n v="0"/>
    <n v="3"/>
    <n v="14"/>
    <n v="0"/>
    <n v="4"/>
    <n v="5"/>
    <n v="0"/>
    <n v="15"/>
    <n v="0"/>
    <n v="0"/>
    <n v="2"/>
    <n v="5"/>
    <n v="10"/>
  </r>
  <r>
    <x v="145"/>
    <x v="2"/>
    <x v="295"/>
    <n v="1989"/>
    <n v="28"/>
    <x v="20"/>
    <s v="Ireland"/>
    <n v="5400000"/>
    <n v="5400000"/>
    <x v="1"/>
    <n v="11"/>
    <n v="858"/>
    <x v="7"/>
    <n v="304"/>
    <x v="0"/>
    <x v="3"/>
    <x v="0"/>
    <n v="2"/>
    <n v="1"/>
    <n v="7"/>
    <n v="3"/>
    <n v="0"/>
    <n v="33"/>
    <n v="3"/>
    <n v="0"/>
    <n v="0"/>
    <n v="0"/>
    <n v="0"/>
    <n v="4"/>
    <n v="0"/>
    <n v="3"/>
    <n v="7"/>
    <n v="12"/>
    <n v="6"/>
    <n v="0"/>
    <n v="20"/>
    <n v="0"/>
    <n v="0"/>
    <n v="57"/>
    <n v="43"/>
    <n v="23"/>
  </r>
  <r>
    <x v="145"/>
    <x v="0"/>
    <x v="296"/>
    <n v="1989"/>
    <n v="25"/>
    <x v="15"/>
    <s v="Ireland"/>
    <n v="4500000"/>
    <n v="4050000"/>
    <x v="1"/>
    <n v="18"/>
    <n v="1442"/>
    <x v="4"/>
    <n v="559"/>
    <x v="0"/>
    <x v="8"/>
    <x v="0"/>
    <n v="2"/>
    <n v="0"/>
    <n v="10"/>
    <n v="2"/>
    <n v="0"/>
    <n v="70"/>
    <n v="1"/>
    <n v="0"/>
    <n v="0"/>
    <n v="0"/>
    <n v="0"/>
    <n v="1"/>
    <n v="0"/>
    <n v="1"/>
    <n v="13"/>
    <n v="47"/>
    <n v="14"/>
    <n v="0"/>
    <n v="24"/>
    <n v="2"/>
    <n v="0"/>
    <n v="127"/>
    <n v="50"/>
    <n v="30"/>
  </r>
  <r>
    <x v="145"/>
    <x v="1"/>
    <x v="297"/>
    <n v="1989"/>
    <n v="28"/>
    <x v="20"/>
    <s v="Ireland"/>
    <n v="4500000"/>
    <n v="5400000"/>
    <x v="1"/>
    <n v="20"/>
    <n v="1745"/>
    <x v="5"/>
    <n v="699"/>
    <x v="3"/>
    <x v="6"/>
    <x v="0"/>
    <n v="1"/>
    <n v="0"/>
    <n v="11"/>
    <n v="3"/>
    <n v="0"/>
    <n v="65"/>
    <n v="2"/>
    <n v="0"/>
    <n v="0"/>
    <n v="0"/>
    <n v="1"/>
    <n v="8"/>
    <n v="0"/>
    <n v="2"/>
    <n v="10"/>
    <n v="17"/>
    <n v="17"/>
    <n v="0"/>
    <n v="25"/>
    <n v="0"/>
    <n v="0"/>
    <n v="140"/>
    <n v="41"/>
    <n v="37"/>
  </r>
  <r>
    <x v="146"/>
    <x v="0"/>
    <x v="298"/>
    <n v="1987"/>
    <n v="28"/>
    <x v="18"/>
    <s v="Argentina"/>
    <n v="4400000"/>
    <n v="4400000"/>
    <x v="2"/>
    <n v="34"/>
    <n v="2854"/>
    <x v="0"/>
    <n v="1092"/>
    <x v="0"/>
    <x v="9"/>
    <x v="0"/>
    <n v="0"/>
    <n v="8"/>
    <n v="9"/>
    <n v="0"/>
    <n v="0"/>
    <n v="35"/>
    <n v="0"/>
    <n v="0"/>
    <n v="0"/>
    <n v="0"/>
    <n v="0"/>
    <n v="0"/>
    <n v="0"/>
    <n v="8"/>
    <n v="15"/>
    <n v="118"/>
    <n v="62"/>
    <n v="0"/>
    <n v="108"/>
    <n v="0"/>
    <n v="0"/>
    <n v="66"/>
    <n v="47"/>
    <n v="39"/>
  </r>
  <r>
    <x v="146"/>
    <x v="3"/>
    <x v="299"/>
    <n v="1987"/>
    <n v="29"/>
    <x v="18"/>
    <s v="Argentina"/>
    <n v="4400000"/>
    <n v="3850000"/>
    <x v="2"/>
    <n v="33"/>
    <n v="2417"/>
    <x v="0"/>
    <n v="933"/>
    <x v="0"/>
    <x v="10"/>
    <x v="0"/>
    <n v="6"/>
    <n v="6"/>
    <n v="9"/>
    <n v="0"/>
    <n v="0"/>
    <n v="32"/>
    <n v="0"/>
    <n v="0"/>
    <n v="0"/>
    <n v="0"/>
    <n v="0"/>
    <n v="0"/>
    <n v="0"/>
    <n v="2"/>
    <n v="18"/>
    <n v="54"/>
    <n v="39"/>
    <n v="0"/>
    <n v="94"/>
    <n v="0"/>
    <n v="0"/>
    <n v="58"/>
    <n v="46"/>
    <n v="30"/>
  </r>
  <r>
    <x v="146"/>
    <x v="1"/>
    <x v="300"/>
    <n v="1987"/>
    <n v="30"/>
    <x v="18"/>
    <s v="Argentina"/>
    <n v="3000000"/>
    <n v="3500000"/>
    <x v="2"/>
    <n v="16"/>
    <n v="900"/>
    <x v="0"/>
    <n v="374"/>
    <x v="0"/>
    <x v="2"/>
    <x v="0"/>
    <n v="7"/>
    <n v="3"/>
    <n v="1"/>
    <n v="1"/>
    <n v="0"/>
    <n v="12"/>
    <n v="0"/>
    <n v="0"/>
    <n v="0"/>
    <n v="0"/>
    <n v="0"/>
    <n v="0"/>
    <n v="0"/>
    <n v="0"/>
    <n v="6"/>
    <n v="16"/>
    <n v="25"/>
    <n v="0"/>
    <n v="36"/>
    <n v="0"/>
    <n v="0"/>
    <n v="25"/>
    <n v="18"/>
    <n v="28"/>
  </r>
  <r>
    <x v="147"/>
    <x v="1"/>
    <x v="301"/>
    <n v="1991"/>
    <n v="26"/>
    <x v="6"/>
    <s v="Germany"/>
    <n v="1100000"/>
    <n v="1350000"/>
    <x v="0"/>
    <n v="26"/>
    <n v="1272"/>
    <x v="0"/>
    <n v="422"/>
    <x v="2"/>
    <x v="5"/>
    <x v="0"/>
    <n v="13"/>
    <n v="5"/>
    <n v="16"/>
    <n v="4"/>
    <n v="0"/>
    <n v="2"/>
    <n v="0"/>
    <n v="0"/>
    <n v="0"/>
    <n v="3"/>
    <n v="0"/>
    <n v="12"/>
    <n v="1"/>
    <n v="22"/>
    <n v="4"/>
    <n v="11"/>
    <n v="14"/>
    <n v="0"/>
    <n v="22"/>
    <n v="0"/>
    <n v="0"/>
    <n v="13"/>
    <n v="15"/>
    <n v="26"/>
  </r>
  <r>
    <x v="148"/>
    <x v="0"/>
    <x v="302"/>
    <n v="1993"/>
    <n v="22"/>
    <x v="8"/>
    <s v="England"/>
    <n v="4500000"/>
    <n v="5400000"/>
    <x v="0"/>
    <n v="21"/>
    <n v="1324"/>
    <x v="2"/>
    <n v="387"/>
    <x v="6"/>
    <x v="3"/>
    <x v="0"/>
    <n v="6"/>
    <n v="10"/>
    <n v="34"/>
    <n v="9"/>
    <n v="2"/>
    <n v="15"/>
    <n v="0"/>
    <n v="1"/>
    <n v="0"/>
    <n v="2"/>
    <n v="0"/>
    <n v="4"/>
    <n v="0"/>
    <n v="11"/>
    <n v="3"/>
    <n v="4"/>
    <n v="32"/>
    <n v="0"/>
    <n v="13"/>
    <n v="0"/>
    <n v="0"/>
    <n v="20"/>
    <n v="55"/>
    <n v="103"/>
  </r>
  <r>
    <x v="149"/>
    <x v="2"/>
    <x v="303"/>
    <n v="1993"/>
    <n v="25"/>
    <x v="16"/>
    <s v="England"/>
    <n v="4500000"/>
    <n v="9000000"/>
    <x v="1"/>
    <n v="38"/>
    <n v="3420"/>
    <x v="0"/>
    <n v="1688"/>
    <x v="0"/>
    <x v="2"/>
    <x v="0"/>
    <n v="0"/>
    <n v="0"/>
    <n v="0"/>
    <n v="0"/>
    <n v="0"/>
    <n v="60"/>
    <n v="0"/>
    <n v="0"/>
    <n v="0"/>
    <n v="0"/>
    <n v="3"/>
    <n v="0"/>
    <n v="0"/>
    <n v="0"/>
    <n v="27"/>
    <n v="30"/>
    <n v="10"/>
    <n v="0"/>
    <n v="31"/>
    <n v="0"/>
    <n v="3"/>
    <n v="127"/>
    <n v="34"/>
    <n v="23"/>
  </r>
  <r>
    <x v="150"/>
    <x v="0"/>
    <x v="304"/>
    <n v="1989"/>
    <n v="26"/>
    <x v="9"/>
    <s v="Northern Ireland"/>
    <n v="900000"/>
    <n v="3600000"/>
    <x v="1"/>
    <n v="35"/>
    <n v="3033"/>
    <x v="4"/>
    <n v="1032"/>
    <x v="0"/>
    <x v="6"/>
    <x v="0"/>
    <n v="1"/>
    <n v="1"/>
    <n v="5"/>
    <n v="2"/>
    <n v="0"/>
    <n v="95"/>
    <n v="0"/>
    <n v="0"/>
    <n v="0"/>
    <n v="0"/>
    <n v="0"/>
    <n v="0"/>
    <n v="0"/>
    <n v="3"/>
    <n v="25"/>
    <n v="63"/>
    <n v="9"/>
    <n v="0"/>
    <n v="45"/>
    <n v="0"/>
    <n v="1"/>
    <n v="171"/>
    <n v="68"/>
    <n v="42"/>
  </r>
  <r>
    <x v="150"/>
    <x v="3"/>
    <x v="305"/>
    <n v="1989"/>
    <n v="27"/>
    <x v="9"/>
    <s v="Northern Ireland"/>
    <n v="3600000"/>
    <n v="3600000"/>
    <x v="1"/>
    <n v="15"/>
    <n v="1161"/>
    <x v="0"/>
    <n v="364"/>
    <x v="3"/>
    <x v="6"/>
    <x v="0"/>
    <n v="2"/>
    <n v="2"/>
    <n v="3"/>
    <n v="1"/>
    <n v="0"/>
    <n v="25"/>
    <n v="0"/>
    <n v="0"/>
    <n v="0"/>
    <n v="0"/>
    <n v="0"/>
    <n v="0"/>
    <n v="0"/>
    <n v="4"/>
    <n v="14"/>
    <n v="18"/>
    <n v="13"/>
    <n v="0"/>
    <n v="23"/>
    <n v="0"/>
    <n v="0"/>
    <n v="52"/>
    <n v="23"/>
    <n v="15"/>
  </r>
  <r>
    <x v="150"/>
    <x v="2"/>
    <x v="306"/>
    <n v="1989"/>
    <n v="29"/>
    <x v="9"/>
    <s v="Northern Ireland"/>
    <n v="3150000"/>
    <n v="4500000"/>
    <x v="1"/>
    <n v="36"/>
    <n v="3098"/>
    <x v="7"/>
    <n v="1280"/>
    <x v="0"/>
    <x v="4"/>
    <x v="0"/>
    <n v="1"/>
    <n v="4"/>
    <n v="13"/>
    <n v="5"/>
    <n v="0"/>
    <n v="76"/>
    <n v="3"/>
    <n v="0"/>
    <n v="0"/>
    <n v="0"/>
    <n v="0"/>
    <n v="8"/>
    <n v="0"/>
    <n v="3"/>
    <n v="30"/>
    <n v="38"/>
    <n v="16"/>
    <n v="2"/>
    <n v="50"/>
    <n v="1"/>
    <n v="2"/>
    <n v="179"/>
    <n v="86"/>
    <n v="79"/>
  </r>
  <r>
    <x v="151"/>
    <x v="1"/>
    <x v="307"/>
    <n v="1990"/>
    <n v="27"/>
    <x v="18"/>
    <s v="England"/>
    <n v="7200000"/>
    <n v="5400000"/>
    <x v="1"/>
    <n v="28"/>
    <n v="2509"/>
    <x v="5"/>
    <n v="906"/>
    <x v="0"/>
    <x v="8"/>
    <x v="0"/>
    <n v="0"/>
    <n v="1"/>
    <n v="16"/>
    <n v="4"/>
    <n v="0"/>
    <n v="81"/>
    <n v="2"/>
    <n v="0"/>
    <n v="0"/>
    <n v="4"/>
    <n v="0"/>
    <n v="12"/>
    <n v="0"/>
    <n v="42"/>
    <n v="26"/>
    <n v="52"/>
    <n v="35"/>
    <n v="0"/>
    <n v="38"/>
    <n v="0"/>
    <n v="0"/>
    <n v="132"/>
    <n v="117"/>
    <n v="68"/>
  </r>
  <r>
    <x v="151"/>
    <x v="0"/>
    <x v="308"/>
    <n v="1990"/>
    <n v="25"/>
    <x v="18"/>
    <s v="England"/>
    <n v="2700000"/>
    <n v="5400000"/>
    <x v="1"/>
    <n v="38"/>
    <n v="3385"/>
    <x v="6"/>
    <n v="1115"/>
    <x v="0"/>
    <x v="6"/>
    <x v="0"/>
    <n v="0"/>
    <n v="1"/>
    <n v="38"/>
    <n v="8"/>
    <n v="1"/>
    <n v="108"/>
    <n v="3"/>
    <n v="0"/>
    <n v="0"/>
    <n v="3"/>
    <n v="0"/>
    <n v="6"/>
    <n v="0"/>
    <n v="130"/>
    <n v="26"/>
    <n v="86"/>
    <n v="28"/>
    <n v="0"/>
    <n v="59"/>
    <n v="0"/>
    <n v="1"/>
    <n v="162"/>
    <n v="119"/>
    <n v="73"/>
  </r>
  <r>
    <x v="151"/>
    <x v="3"/>
    <x v="309"/>
    <n v="1990"/>
    <n v="26"/>
    <x v="18"/>
    <s v="England"/>
    <n v="5400000"/>
    <n v="7200000"/>
    <x v="1"/>
    <n v="37"/>
    <n v="3278"/>
    <x v="6"/>
    <n v="1017"/>
    <x v="0"/>
    <x v="7"/>
    <x v="0"/>
    <n v="0"/>
    <n v="2"/>
    <n v="21"/>
    <n v="8"/>
    <n v="1"/>
    <n v="96"/>
    <n v="3"/>
    <n v="0"/>
    <n v="0"/>
    <n v="2"/>
    <n v="1"/>
    <n v="1"/>
    <n v="0"/>
    <n v="85"/>
    <n v="29"/>
    <n v="58"/>
    <n v="53"/>
    <n v="0"/>
    <n v="58"/>
    <n v="0"/>
    <n v="0"/>
    <n v="149"/>
    <n v="131"/>
    <n v="93"/>
  </r>
  <r>
    <x v="152"/>
    <x v="0"/>
    <x v="310"/>
    <n v="1986"/>
    <n v="28"/>
    <x v="18"/>
    <s v="England"/>
    <n v="6600000"/>
    <n v="6600000"/>
    <x v="2"/>
    <n v="34"/>
    <n v="2033"/>
    <x v="7"/>
    <n v="616"/>
    <x v="6"/>
    <x v="2"/>
    <x v="0"/>
    <n v="14"/>
    <n v="11"/>
    <n v="46"/>
    <n v="12"/>
    <n v="2"/>
    <n v="8"/>
    <n v="0"/>
    <n v="0"/>
    <n v="1"/>
    <n v="8"/>
    <n v="2"/>
    <n v="3"/>
    <n v="53"/>
    <n v="113"/>
    <n v="2"/>
    <n v="30"/>
    <n v="38"/>
    <n v="0"/>
    <n v="51"/>
    <n v="0"/>
    <n v="0"/>
    <n v="24"/>
    <n v="33"/>
    <n v="45"/>
  </r>
  <r>
    <x v="153"/>
    <x v="3"/>
    <x v="311"/>
    <n v="1986"/>
    <n v="29"/>
    <x v="2"/>
    <s v="Uruguay"/>
    <n v="4400000"/>
    <n v="3150000"/>
    <x v="0"/>
    <n v="23"/>
    <n v="1361"/>
    <x v="6"/>
    <n v="383"/>
    <x v="0"/>
    <x v="5"/>
    <x v="0"/>
    <n v="7"/>
    <n v="12"/>
    <n v="21"/>
    <n v="10"/>
    <n v="0"/>
    <n v="9"/>
    <n v="1"/>
    <n v="0"/>
    <n v="0"/>
    <n v="4"/>
    <n v="0"/>
    <n v="2"/>
    <n v="0"/>
    <n v="25"/>
    <n v="3"/>
    <n v="10"/>
    <n v="21"/>
    <n v="0"/>
    <n v="35"/>
    <n v="0"/>
    <n v="0"/>
    <n v="15"/>
    <n v="47"/>
    <n v="39"/>
  </r>
  <r>
    <x v="154"/>
    <x v="1"/>
    <x v="312"/>
    <n v="1989"/>
    <n v="28"/>
    <x v="4"/>
    <s v="Curacao"/>
    <n v="1800000"/>
    <n v="1800000"/>
    <x v="1"/>
    <n v="21"/>
    <n v="1831"/>
    <x v="0"/>
    <n v="780"/>
    <x v="5"/>
    <x v="3"/>
    <x v="0"/>
    <n v="1"/>
    <n v="1"/>
    <n v="1"/>
    <n v="1"/>
    <n v="0"/>
    <n v="49"/>
    <n v="0"/>
    <n v="0"/>
    <n v="0"/>
    <n v="2"/>
    <n v="1"/>
    <n v="0"/>
    <n v="0"/>
    <n v="45"/>
    <n v="4"/>
    <n v="42"/>
    <n v="26"/>
    <n v="0"/>
    <n v="61"/>
    <n v="0"/>
    <n v="0"/>
    <n v="117"/>
    <n v="23"/>
    <n v="35"/>
  </r>
  <r>
    <x v="154"/>
    <x v="0"/>
    <x v="313"/>
    <n v="1989"/>
    <n v="25"/>
    <x v="27"/>
    <s v="Curacao"/>
    <n v="1100000"/>
    <n v="1800000"/>
    <x v="1"/>
    <n v="15"/>
    <n v="1084"/>
    <x v="4"/>
    <n v="428"/>
    <x v="3"/>
    <x v="3"/>
    <x v="0"/>
    <n v="4"/>
    <n v="1"/>
    <n v="3"/>
    <n v="0"/>
    <n v="0"/>
    <n v="6"/>
    <n v="0"/>
    <n v="0"/>
    <n v="0"/>
    <n v="2"/>
    <n v="1"/>
    <n v="0"/>
    <n v="0"/>
    <n v="37"/>
    <n v="3"/>
    <n v="24"/>
    <n v="15"/>
    <n v="0"/>
    <n v="37"/>
    <n v="1"/>
    <n v="0"/>
    <n v="34"/>
    <n v="6"/>
    <n v="10"/>
  </r>
  <r>
    <x v="155"/>
    <x v="3"/>
    <x v="314"/>
    <n v="1985"/>
    <n v="31"/>
    <x v="10"/>
    <s v="England"/>
    <n v="3850000"/>
    <n v="2750000"/>
    <x v="1"/>
    <n v="26"/>
    <n v="2137"/>
    <x v="0"/>
    <n v="857"/>
    <x v="5"/>
    <x v="5"/>
    <x v="0"/>
    <n v="1"/>
    <n v="5"/>
    <n v="10"/>
    <n v="3"/>
    <n v="1"/>
    <n v="101"/>
    <n v="0"/>
    <n v="0"/>
    <n v="0"/>
    <n v="0"/>
    <n v="0"/>
    <n v="0"/>
    <n v="0"/>
    <n v="4"/>
    <n v="35"/>
    <n v="92"/>
    <n v="12"/>
    <n v="0"/>
    <n v="40"/>
    <n v="2"/>
    <n v="1"/>
    <n v="173"/>
    <n v="74"/>
    <n v="52"/>
  </r>
  <r>
    <x v="156"/>
    <x v="2"/>
    <x v="315"/>
    <n v="1992"/>
    <n v="25"/>
    <x v="11"/>
    <s v="Ireland"/>
    <n v="2700000"/>
    <n v="3150000"/>
    <x v="1"/>
    <n v="28"/>
    <n v="1945"/>
    <x v="0"/>
    <n v="884"/>
    <x v="3"/>
    <x v="1"/>
    <x v="0"/>
    <n v="9"/>
    <n v="4"/>
    <n v="12"/>
    <n v="3"/>
    <n v="0"/>
    <n v="49"/>
    <n v="0"/>
    <n v="0"/>
    <n v="0"/>
    <n v="2"/>
    <n v="0"/>
    <n v="9"/>
    <n v="0"/>
    <n v="90"/>
    <n v="11"/>
    <n v="29"/>
    <n v="29"/>
    <n v="0"/>
    <n v="41"/>
    <n v="0"/>
    <n v="0"/>
    <n v="80"/>
    <n v="56"/>
    <n v="32"/>
  </r>
  <r>
    <x v="157"/>
    <x v="2"/>
    <x v="316"/>
    <n v="1989"/>
    <n v="29"/>
    <x v="23"/>
    <s v="England"/>
    <n v="5500000"/>
    <n v="6600000"/>
    <x v="2"/>
    <n v="30"/>
    <n v="2487"/>
    <x v="0"/>
    <n v="1353"/>
    <x v="0"/>
    <x v="8"/>
    <x v="1"/>
    <n v="0"/>
    <n v="2"/>
    <n v="11"/>
    <n v="0"/>
    <n v="0"/>
    <n v="29"/>
    <n v="0"/>
    <n v="0"/>
    <n v="0"/>
    <n v="0"/>
    <n v="1"/>
    <n v="11"/>
    <n v="0"/>
    <n v="2"/>
    <n v="12"/>
    <n v="46"/>
    <n v="44"/>
    <n v="0"/>
    <n v="84"/>
    <n v="0"/>
    <n v="0"/>
    <n v="46"/>
    <n v="26"/>
    <n v="23"/>
  </r>
  <r>
    <x v="157"/>
    <x v="1"/>
    <x v="317"/>
    <n v="1989"/>
    <n v="28"/>
    <x v="23"/>
    <s v="England"/>
    <n v="1650000"/>
    <n v="3300000"/>
    <x v="2"/>
    <n v="36"/>
    <n v="3240"/>
    <x v="0"/>
    <n v="1757"/>
    <x v="6"/>
    <x v="8"/>
    <x v="0"/>
    <n v="0"/>
    <n v="0"/>
    <n v="19"/>
    <n v="2"/>
    <n v="1"/>
    <n v="36"/>
    <n v="0"/>
    <n v="0"/>
    <n v="0"/>
    <n v="0"/>
    <n v="3"/>
    <n v="17"/>
    <n v="0"/>
    <n v="0"/>
    <n v="16"/>
    <n v="63"/>
    <n v="50"/>
    <n v="0"/>
    <n v="104"/>
    <n v="0"/>
    <n v="0"/>
    <n v="67"/>
    <n v="28"/>
    <n v="30"/>
  </r>
  <r>
    <x v="158"/>
    <x v="3"/>
    <x v="318"/>
    <n v="1990"/>
    <n v="26"/>
    <x v="22"/>
    <s v="Netherlands"/>
    <n v="19800000"/>
    <n v="19800000"/>
    <x v="1"/>
    <n v="23"/>
    <n v="1829"/>
    <x v="4"/>
    <n v="1040"/>
    <x v="5"/>
    <x v="4"/>
    <x v="0"/>
    <n v="3"/>
    <n v="2"/>
    <n v="9"/>
    <n v="2"/>
    <n v="0"/>
    <n v="49"/>
    <n v="0"/>
    <n v="0"/>
    <n v="0"/>
    <n v="0"/>
    <n v="1"/>
    <n v="0"/>
    <n v="45"/>
    <n v="87"/>
    <n v="9"/>
    <n v="44"/>
    <n v="14"/>
    <n v="0"/>
    <n v="45"/>
    <n v="0"/>
    <n v="0"/>
    <n v="108"/>
    <n v="25"/>
    <n v="22"/>
  </r>
  <r>
    <x v="158"/>
    <x v="0"/>
    <x v="319"/>
    <n v="1990"/>
    <n v="25"/>
    <x v="22"/>
    <s v="Netherlands"/>
    <n v="15300000"/>
    <n v="19800000"/>
    <x v="1"/>
    <n v="35"/>
    <n v="3117"/>
    <x v="4"/>
    <n v="2029"/>
    <x v="0"/>
    <x v="4"/>
    <x v="0"/>
    <n v="0"/>
    <n v="3"/>
    <n v="4"/>
    <n v="2"/>
    <n v="0"/>
    <n v="63"/>
    <n v="0"/>
    <n v="0"/>
    <n v="0"/>
    <n v="0"/>
    <n v="1"/>
    <n v="0"/>
    <n v="109"/>
    <n v="125"/>
    <n v="20"/>
    <n v="80"/>
    <n v="27"/>
    <n v="0"/>
    <n v="95"/>
    <n v="0"/>
    <n v="0"/>
    <n v="119"/>
    <n v="34"/>
    <n v="55"/>
  </r>
  <r>
    <x v="159"/>
    <x v="0"/>
    <x v="320"/>
    <n v="1985"/>
    <n v="30"/>
    <x v="12"/>
    <s v="Senegal"/>
    <n v="5000000"/>
    <n v="2700000"/>
    <x v="0"/>
    <n v="11"/>
    <n v="567"/>
    <x v="4"/>
    <n v="187"/>
    <x v="0"/>
    <x v="4"/>
    <x v="0"/>
    <n v="6"/>
    <n v="1"/>
    <n v="9"/>
    <n v="4"/>
    <n v="0"/>
    <n v="5"/>
    <n v="0"/>
    <n v="0"/>
    <n v="0"/>
    <n v="5"/>
    <n v="2"/>
    <n v="0"/>
    <n v="0"/>
    <n v="7"/>
    <n v="0"/>
    <n v="7"/>
    <n v="20"/>
    <n v="0"/>
    <n v="12"/>
    <n v="0"/>
    <n v="0"/>
    <n v="6"/>
    <n v="21"/>
    <n v="34"/>
  </r>
  <r>
    <x v="160"/>
    <x v="0"/>
    <x v="321"/>
    <n v="1981"/>
    <n v="34"/>
    <x v="8"/>
    <s v="Ireland"/>
    <n v="900000"/>
    <n v="1350000"/>
    <x v="1"/>
    <n v="32"/>
    <n v="2880"/>
    <x v="5"/>
    <n v="1055"/>
    <x v="6"/>
    <x v="4"/>
    <x v="0"/>
    <n v="0"/>
    <n v="0"/>
    <n v="21"/>
    <n v="7"/>
    <n v="1"/>
    <n v="128"/>
    <n v="1"/>
    <n v="0"/>
    <n v="0"/>
    <n v="0"/>
    <n v="0"/>
    <n v="1"/>
    <n v="0"/>
    <n v="7"/>
    <n v="36"/>
    <n v="56"/>
    <n v="18"/>
    <n v="1"/>
    <n v="31"/>
    <n v="0"/>
    <n v="2"/>
    <n v="204"/>
    <n v="96"/>
    <n v="61"/>
  </r>
  <r>
    <x v="160"/>
    <x v="3"/>
    <x v="322"/>
    <n v="1981"/>
    <n v="35"/>
    <x v="8"/>
    <s v="Ireland"/>
    <n v="1350000"/>
    <n v="900000"/>
    <x v="1"/>
    <n v="30"/>
    <n v="2007"/>
    <x v="0"/>
    <n v="889"/>
    <x v="5"/>
    <x v="9"/>
    <x v="0"/>
    <n v="9"/>
    <n v="2"/>
    <n v="5"/>
    <n v="1"/>
    <n v="0"/>
    <n v="89"/>
    <n v="0"/>
    <n v="0"/>
    <n v="0"/>
    <n v="0"/>
    <n v="1"/>
    <n v="0"/>
    <n v="0"/>
    <n v="5"/>
    <n v="21"/>
    <n v="35"/>
    <n v="26"/>
    <n v="2"/>
    <n v="25"/>
    <n v="0"/>
    <n v="0"/>
    <n v="150"/>
    <n v="59"/>
    <n v="55"/>
  </r>
  <r>
    <x v="161"/>
    <x v="0"/>
    <x v="323"/>
    <n v="1990"/>
    <n v="25"/>
    <x v="14"/>
    <s v="England"/>
    <n v="3300000"/>
    <n v="3300000"/>
    <x v="2"/>
    <n v="34"/>
    <n v="2441"/>
    <x v="7"/>
    <n v="1194"/>
    <x v="3"/>
    <x v="8"/>
    <x v="0"/>
    <n v="6"/>
    <n v="7"/>
    <n v="40"/>
    <n v="11"/>
    <n v="1"/>
    <n v="9"/>
    <n v="1"/>
    <n v="0"/>
    <n v="0"/>
    <n v="1"/>
    <n v="3"/>
    <n v="4"/>
    <n v="2"/>
    <n v="6"/>
    <n v="12"/>
    <n v="52"/>
    <n v="31"/>
    <n v="0"/>
    <n v="73"/>
    <n v="0"/>
    <n v="0"/>
    <n v="21"/>
    <n v="35"/>
    <n v="43"/>
  </r>
  <r>
    <x v="161"/>
    <x v="3"/>
    <x v="324"/>
    <n v="1990"/>
    <n v="26"/>
    <x v="14"/>
    <s v="England"/>
    <n v="3850000"/>
    <n v="3850000"/>
    <x v="2"/>
    <n v="27"/>
    <n v="1357"/>
    <x v="5"/>
    <n v="825"/>
    <x v="0"/>
    <x v="8"/>
    <x v="0"/>
    <n v="13"/>
    <n v="4"/>
    <n v="16"/>
    <n v="4"/>
    <n v="0"/>
    <n v="9"/>
    <n v="0"/>
    <n v="0"/>
    <n v="0"/>
    <n v="1"/>
    <n v="1"/>
    <n v="0"/>
    <n v="0"/>
    <n v="7"/>
    <n v="4"/>
    <n v="28"/>
    <n v="25"/>
    <n v="0"/>
    <n v="50"/>
    <n v="0"/>
    <n v="0"/>
    <n v="18"/>
    <n v="14"/>
    <n v="32"/>
  </r>
  <r>
    <x v="161"/>
    <x v="2"/>
    <x v="325"/>
    <n v="1990"/>
    <n v="28"/>
    <x v="14"/>
    <s v="England"/>
    <n v="3300000"/>
    <n v="3850000"/>
    <x v="2"/>
    <n v="25"/>
    <n v="1738"/>
    <x v="5"/>
    <n v="970"/>
    <x v="3"/>
    <x v="9"/>
    <x v="0"/>
    <n v="6"/>
    <n v="4"/>
    <n v="21"/>
    <n v="7"/>
    <n v="1"/>
    <n v="22"/>
    <n v="0"/>
    <n v="0"/>
    <n v="0"/>
    <n v="2"/>
    <n v="3"/>
    <n v="14"/>
    <n v="0"/>
    <n v="6"/>
    <n v="11"/>
    <n v="20"/>
    <n v="29"/>
    <n v="0"/>
    <n v="58"/>
    <n v="1"/>
    <n v="0"/>
    <n v="45"/>
    <n v="34"/>
    <n v="38"/>
  </r>
  <r>
    <x v="161"/>
    <x v="1"/>
    <x v="326"/>
    <n v="1990"/>
    <n v="27"/>
    <x v="14"/>
    <s v="England"/>
    <n v="4500000"/>
    <n v="4500000"/>
    <x v="2"/>
    <n v="28"/>
    <n v="1943"/>
    <x v="5"/>
    <n v="1062"/>
    <x v="3"/>
    <x v="9"/>
    <x v="0"/>
    <n v="7"/>
    <n v="2"/>
    <n v="22"/>
    <n v="8"/>
    <n v="0"/>
    <n v="14"/>
    <n v="0"/>
    <n v="0"/>
    <n v="0"/>
    <n v="2"/>
    <n v="1"/>
    <n v="14"/>
    <n v="1"/>
    <n v="6"/>
    <n v="8"/>
    <n v="25"/>
    <n v="38"/>
    <n v="0"/>
    <n v="50"/>
    <n v="0"/>
    <n v="0"/>
    <n v="25"/>
    <n v="54"/>
    <n v="58"/>
  </r>
  <r>
    <x v="162"/>
    <x v="3"/>
    <x v="327"/>
    <n v="1994"/>
    <n v="21"/>
    <x v="17"/>
    <s v="Ghana"/>
    <n v="3300000"/>
    <n v="11000000"/>
    <x v="2"/>
    <n v="24"/>
    <n v="1666"/>
    <x v="4"/>
    <n v="782"/>
    <x v="3"/>
    <x v="6"/>
    <x v="0"/>
    <n v="7"/>
    <n v="0"/>
    <n v="14"/>
    <n v="5"/>
    <n v="0"/>
    <n v="20"/>
    <n v="1"/>
    <n v="0"/>
    <n v="0"/>
    <n v="0"/>
    <n v="0"/>
    <n v="0"/>
    <n v="0"/>
    <n v="3"/>
    <n v="7"/>
    <n v="25"/>
    <n v="30"/>
    <n v="0"/>
    <n v="41"/>
    <n v="0"/>
    <n v="0"/>
    <n v="33"/>
    <n v="33"/>
    <n v="32"/>
  </r>
  <r>
    <x v="163"/>
    <x v="3"/>
    <x v="328"/>
    <n v="1990"/>
    <n v="25"/>
    <x v="2"/>
    <s v="Spain"/>
    <n v="2200000"/>
    <n v="2200000"/>
    <x v="1"/>
    <n v="14"/>
    <n v="917"/>
    <x v="4"/>
    <n v="380"/>
    <x v="0"/>
    <x v="6"/>
    <x v="0"/>
    <n v="3"/>
    <n v="2"/>
    <n v="10"/>
    <n v="5"/>
    <n v="0"/>
    <n v="40"/>
    <n v="1"/>
    <n v="0"/>
    <n v="0"/>
    <n v="1"/>
    <n v="1"/>
    <n v="1"/>
    <n v="0"/>
    <n v="6"/>
    <n v="6"/>
    <n v="27"/>
    <n v="15"/>
    <n v="0"/>
    <n v="11"/>
    <n v="0"/>
    <n v="0"/>
    <n v="68"/>
    <n v="36"/>
    <n v="19"/>
  </r>
  <r>
    <x v="164"/>
    <x v="0"/>
    <x v="329"/>
    <n v="1990"/>
    <n v="25"/>
    <x v="17"/>
    <s v="England"/>
    <n v="11000000"/>
    <n v="9900000"/>
    <x v="2"/>
    <n v="35"/>
    <n v="3038"/>
    <x v="5"/>
    <n v="1984"/>
    <x v="4"/>
    <x v="6"/>
    <x v="1"/>
    <n v="0"/>
    <n v="6"/>
    <n v="41"/>
    <n v="9"/>
    <n v="0"/>
    <n v="45"/>
    <n v="0"/>
    <n v="0"/>
    <n v="0"/>
    <n v="0"/>
    <n v="11"/>
    <n v="3"/>
    <n v="4"/>
    <n v="47"/>
    <n v="17"/>
    <n v="55"/>
    <n v="54"/>
    <n v="0"/>
    <n v="106"/>
    <n v="0"/>
    <n v="0"/>
    <n v="68"/>
    <n v="29"/>
    <n v="44"/>
  </r>
  <r>
    <x v="164"/>
    <x v="3"/>
    <x v="330"/>
    <n v="1990"/>
    <n v="26"/>
    <x v="17"/>
    <s v="England"/>
    <n v="9900000"/>
    <n v="22000000"/>
    <x v="2"/>
    <n v="29"/>
    <n v="2467"/>
    <x v="4"/>
    <n v="1745"/>
    <x v="3"/>
    <x v="8"/>
    <x v="0"/>
    <n v="2"/>
    <n v="2"/>
    <n v="31"/>
    <n v="3"/>
    <n v="0"/>
    <n v="31"/>
    <n v="0"/>
    <n v="0"/>
    <n v="0"/>
    <n v="1"/>
    <n v="3"/>
    <n v="0"/>
    <n v="1"/>
    <n v="27"/>
    <n v="12"/>
    <n v="40"/>
    <n v="46"/>
    <n v="0"/>
    <n v="84"/>
    <n v="1"/>
    <n v="0"/>
    <n v="52"/>
    <n v="38"/>
    <n v="45"/>
  </r>
  <r>
    <x v="164"/>
    <x v="1"/>
    <x v="331"/>
    <n v="1990"/>
    <n v="27"/>
    <x v="1"/>
    <s v="England"/>
    <n v="1800000"/>
    <n v="1800000"/>
    <x v="2"/>
    <n v="12"/>
    <n v="522"/>
    <x v="4"/>
    <n v="385"/>
    <x v="0"/>
    <x v="0"/>
    <x v="0"/>
    <n v="7"/>
    <n v="2"/>
    <n v="2"/>
    <n v="2"/>
    <n v="0"/>
    <n v="5"/>
    <n v="0"/>
    <n v="0"/>
    <n v="0"/>
    <n v="0"/>
    <n v="3"/>
    <n v="0"/>
    <n v="0"/>
    <n v="2"/>
    <n v="2"/>
    <n v="8"/>
    <n v="10"/>
    <n v="0"/>
    <n v="15"/>
    <n v="0"/>
    <n v="0"/>
    <n v="7"/>
    <n v="0"/>
    <n v="3"/>
  </r>
  <r>
    <x v="165"/>
    <x v="1"/>
    <x v="332"/>
    <n v="1989"/>
    <n v="28"/>
    <x v="13"/>
    <s v="England"/>
    <n v="18000000"/>
    <n v="13500000"/>
    <x v="0"/>
    <n v="15"/>
    <n v="547"/>
    <x v="5"/>
    <n v="158"/>
    <x v="3"/>
    <x v="0"/>
    <x v="0"/>
    <n v="8"/>
    <n v="6"/>
    <n v="24"/>
    <n v="8"/>
    <n v="0"/>
    <n v="1"/>
    <n v="1"/>
    <n v="0"/>
    <n v="0"/>
    <n v="3"/>
    <n v="1"/>
    <n v="16"/>
    <n v="0"/>
    <n v="4"/>
    <n v="0"/>
    <n v="0"/>
    <n v="1"/>
    <n v="0"/>
    <n v="0"/>
    <n v="0"/>
    <n v="0"/>
    <n v="1"/>
    <n v="3"/>
    <n v="6"/>
  </r>
  <r>
    <x v="165"/>
    <x v="2"/>
    <x v="333"/>
    <n v="1989"/>
    <n v="28"/>
    <x v="13"/>
    <s v="England"/>
    <n v="13500000"/>
    <n v="13500000"/>
    <x v="0"/>
    <n v="18"/>
    <n v="499"/>
    <x v="5"/>
    <n v="190"/>
    <x v="0"/>
    <x v="0"/>
    <x v="0"/>
    <n v="14"/>
    <n v="1"/>
    <n v="18"/>
    <n v="6"/>
    <n v="0"/>
    <n v="0"/>
    <n v="0"/>
    <n v="0"/>
    <n v="0"/>
    <n v="4"/>
    <n v="2"/>
    <n v="12"/>
    <n v="0"/>
    <n v="3"/>
    <n v="0"/>
    <n v="0"/>
    <n v="5"/>
    <n v="0"/>
    <n v="3"/>
    <n v="0"/>
    <n v="0"/>
    <n v="0"/>
    <n v="4"/>
    <n v="18"/>
  </r>
  <r>
    <x v="165"/>
    <x v="3"/>
    <x v="334"/>
    <n v="1989"/>
    <n v="26"/>
    <x v="13"/>
    <s v="England"/>
    <n v="22000000"/>
    <n v="18000000"/>
    <x v="0"/>
    <n v="20"/>
    <n v="769"/>
    <x v="7"/>
    <n v="278"/>
    <x v="3"/>
    <x v="3"/>
    <x v="0"/>
    <n v="13"/>
    <n v="7"/>
    <n v="40"/>
    <n v="21"/>
    <n v="4"/>
    <n v="0"/>
    <n v="1"/>
    <n v="0"/>
    <n v="0"/>
    <n v="7"/>
    <n v="3"/>
    <n v="3"/>
    <n v="1"/>
    <n v="7"/>
    <n v="1"/>
    <n v="2"/>
    <n v="5"/>
    <n v="0"/>
    <n v="1"/>
    <n v="0"/>
    <n v="0"/>
    <n v="0"/>
    <n v="3"/>
    <n v="12"/>
  </r>
  <r>
    <x v="165"/>
    <x v="0"/>
    <x v="335"/>
    <n v="1989"/>
    <n v="25"/>
    <x v="13"/>
    <s v="England"/>
    <n v="22000000"/>
    <n v="22000000"/>
    <x v="0"/>
    <n v="14"/>
    <n v="979"/>
    <x v="9"/>
    <n v="317"/>
    <x v="3"/>
    <x v="0"/>
    <x v="0"/>
    <n v="3"/>
    <n v="5"/>
    <n v="48"/>
    <n v="23"/>
    <n v="2"/>
    <n v="3"/>
    <n v="3"/>
    <n v="0"/>
    <n v="0"/>
    <n v="7"/>
    <n v="4"/>
    <n v="5"/>
    <n v="0"/>
    <n v="11"/>
    <n v="0"/>
    <n v="3"/>
    <n v="2"/>
    <n v="0"/>
    <n v="3"/>
    <n v="0"/>
    <n v="0"/>
    <n v="4"/>
    <n v="5"/>
    <n v="24"/>
  </r>
  <r>
    <x v="166"/>
    <x v="1"/>
    <x v="336"/>
    <n v="1991"/>
    <n v="26"/>
    <x v="19"/>
    <s v="Brazil"/>
    <n v="14400000"/>
    <n v="18000000"/>
    <x v="1"/>
    <n v="23"/>
    <n v="1341"/>
    <x v="7"/>
    <n v="1111"/>
    <x v="5"/>
    <x v="4"/>
    <x v="0"/>
    <n v="10"/>
    <n v="2"/>
    <n v="19"/>
    <n v="7"/>
    <n v="1"/>
    <n v="11"/>
    <n v="0"/>
    <n v="0"/>
    <n v="0"/>
    <n v="0"/>
    <n v="2"/>
    <n v="12"/>
    <n v="0"/>
    <n v="24"/>
    <n v="6"/>
    <n v="19"/>
    <n v="12"/>
    <n v="0"/>
    <n v="43"/>
    <n v="0"/>
    <n v="0"/>
    <n v="28"/>
    <n v="16"/>
    <n v="6"/>
  </r>
  <r>
    <x v="166"/>
    <x v="2"/>
    <x v="337"/>
    <n v="1991"/>
    <n v="27"/>
    <x v="19"/>
    <s v="Brazil"/>
    <n v="18000000"/>
    <n v="18000000"/>
    <x v="1"/>
    <n v="11"/>
    <n v="806"/>
    <x v="4"/>
    <n v="767"/>
    <x v="0"/>
    <x v="3"/>
    <x v="0"/>
    <n v="2"/>
    <n v="1"/>
    <n v="14"/>
    <n v="3"/>
    <n v="0"/>
    <n v="11"/>
    <n v="0"/>
    <n v="0"/>
    <n v="0"/>
    <n v="0"/>
    <n v="0"/>
    <n v="11"/>
    <n v="0"/>
    <n v="12"/>
    <n v="0"/>
    <n v="15"/>
    <n v="10"/>
    <n v="0"/>
    <n v="20"/>
    <n v="0"/>
    <n v="0"/>
    <n v="20"/>
    <n v="18"/>
    <n v="14"/>
  </r>
  <r>
    <x v="167"/>
    <x v="0"/>
    <x v="338"/>
    <n v="1985"/>
    <n v="29"/>
    <x v="12"/>
    <s v="England"/>
    <n v="1350000"/>
    <n v="1350000"/>
    <x v="0"/>
    <n v="10"/>
    <n v="358"/>
    <x v="0"/>
    <n v="88"/>
    <x v="0"/>
    <x v="0"/>
    <x v="0"/>
    <n v="6"/>
    <n v="4"/>
    <n v="4"/>
    <n v="0"/>
    <n v="0"/>
    <n v="4"/>
    <n v="0"/>
    <n v="0"/>
    <n v="0"/>
    <n v="1"/>
    <n v="0"/>
    <n v="1"/>
    <n v="0"/>
    <n v="3"/>
    <n v="3"/>
    <n v="5"/>
    <n v="8"/>
    <n v="0"/>
    <n v="1"/>
    <n v="0"/>
    <n v="0"/>
    <n v="6"/>
    <n v="11"/>
    <n v="21"/>
  </r>
  <r>
    <x v="168"/>
    <x v="2"/>
    <x v="339"/>
    <n v="1992"/>
    <n v="26"/>
    <x v="27"/>
    <s v="England"/>
    <n v="7200000"/>
    <n v="13500000"/>
    <x v="0"/>
    <n v="24"/>
    <n v="1666"/>
    <x v="8"/>
    <n v="392"/>
    <x v="6"/>
    <x v="3"/>
    <x v="0"/>
    <n v="1"/>
    <n v="18"/>
    <n v="55"/>
    <n v="23"/>
    <n v="1"/>
    <n v="2"/>
    <n v="2"/>
    <n v="3"/>
    <n v="0"/>
    <n v="6"/>
    <n v="5"/>
    <n v="32"/>
    <n v="0"/>
    <n v="14"/>
    <n v="2"/>
    <n v="5"/>
    <n v="16"/>
    <n v="0"/>
    <n v="30"/>
    <n v="0"/>
    <n v="0"/>
    <n v="7"/>
    <n v="19"/>
    <n v="58"/>
  </r>
  <r>
    <x v="169"/>
    <x v="3"/>
    <x v="340"/>
    <n v="1990"/>
    <n v="26"/>
    <x v="26"/>
    <s v="England"/>
    <n v="12600000"/>
    <n v="25200000"/>
    <x v="1"/>
    <n v="18"/>
    <n v="1533"/>
    <x v="5"/>
    <n v="783"/>
    <x v="5"/>
    <x v="9"/>
    <x v="0"/>
    <n v="0"/>
    <n v="3"/>
    <n v="23"/>
    <n v="5"/>
    <n v="0"/>
    <n v="25"/>
    <n v="0"/>
    <n v="0"/>
    <n v="0"/>
    <n v="1"/>
    <n v="0"/>
    <n v="0"/>
    <n v="7"/>
    <n v="65"/>
    <n v="3"/>
    <n v="22"/>
    <n v="26"/>
    <n v="0"/>
    <n v="50"/>
    <n v="0"/>
    <n v="0"/>
    <n v="52"/>
    <n v="27"/>
    <n v="16"/>
  </r>
  <r>
    <x v="169"/>
    <x v="1"/>
    <x v="341"/>
    <n v="1990"/>
    <n v="27"/>
    <x v="26"/>
    <s v="England"/>
    <n v="25200000"/>
    <n v="27000000"/>
    <x v="1"/>
    <n v="10"/>
    <n v="801"/>
    <x v="0"/>
    <n v="378"/>
    <x v="3"/>
    <x v="5"/>
    <x v="0"/>
    <n v="1"/>
    <n v="3"/>
    <n v="1"/>
    <n v="1"/>
    <n v="0"/>
    <n v="2"/>
    <n v="0"/>
    <n v="0"/>
    <n v="0"/>
    <n v="0"/>
    <n v="0"/>
    <n v="0"/>
    <n v="15"/>
    <n v="57"/>
    <n v="6"/>
    <n v="9"/>
    <n v="12"/>
    <n v="0"/>
    <n v="15"/>
    <n v="0"/>
    <n v="0"/>
    <n v="10"/>
    <n v="8"/>
    <n v="5"/>
  </r>
  <r>
    <x v="169"/>
    <x v="2"/>
    <x v="342"/>
    <n v="1990"/>
    <n v="28"/>
    <x v="26"/>
    <s v="England"/>
    <n v="27000000"/>
    <n v="22500000"/>
    <x v="1"/>
    <n v="26"/>
    <n v="1798"/>
    <x v="0"/>
    <n v="929"/>
    <x v="6"/>
    <x v="2"/>
    <x v="0"/>
    <n v="6"/>
    <n v="6"/>
    <n v="15"/>
    <n v="2"/>
    <n v="1"/>
    <n v="12"/>
    <n v="0"/>
    <n v="0"/>
    <n v="0"/>
    <n v="1"/>
    <n v="2"/>
    <n v="13"/>
    <n v="17"/>
    <n v="89"/>
    <n v="4"/>
    <n v="24"/>
    <n v="26"/>
    <n v="0"/>
    <n v="49"/>
    <n v="1"/>
    <n v="0"/>
    <n v="20"/>
    <n v="27"/>
    <n v="17"/>
  </r>
  <r>
    <x v="169"/>
    <x v="0"/>
    <x v="343"/>
    <n v="1990"/>
    <n v="25"/>
    <x v="26"/>
    <s v="England"/>
    <n v="9900000"/>
    <n v="12600000"/>
    <x v="1"/>
    <n v="24"/>
    <n v="2132"/>
    <x v="4"/>
    <n v="1062"/>
    <x v="6"/>
    <x v="1"/>
    <x v="0"/>
    <n v="0"/>
    <n v="3"/>
    <n v="26"/>
    <n v="4"/>
    <n v="0"/>
    <n v="54"/>
    <n v="0"/>
    <n v="0"/>
    <n v="0"/>
    <n v="0"/>
    <n v="1"/>
    <n v="2"/>
    <n v="0"/>
    <n v="88"/>
    <n v="11"/>
    <n v="39"/>
    <n v="41"/>
    <n v="0"/>
    <n v="67"/>
    <n v="1"/>
    <n v="0"/>
    <n v="79"/>
    <n v="23"/>
    <n v="20"/>
  </r>
  <r>
    <x v="170"/>
    <x v="0"/>
    <x v="344"/>
    <n v="1987"/>
    <n v="28"/>
    <x v="17"/>
    <s v="England"/>
    <n v="1800000"/>
    <n v="4500000"/>
    <x v="1"/>
    <n v="30"/>
    <n v="2613"/>
    <x v="0"/>
    <n v="869"/>
    <x v="0"/>
    <x v="6"/>
    <x v="0"/>
    <n v="0"/>
    <n v="3"/>
    <n v="7"/>
    <n v="2"/>
    <n v="0"/>
    <n v="65"/>
    <n v="0"/>
    <n v="0"/>
    <n v="0"/>
    <n v="0"/>
    <n v="0"/>
    <n v="0"/>
    <n v="0"/>
    <n v="29"/>
    <n v="17"/>
    <n v="94"/>
    <n v="29"/>
    <n v="0"/>
    <n v="52"/>
    <n v="0"/>
    <n v="0"/>
    <n v="125"/>
    <n v="59"/>
    <n v="53"/>
  </r>
  <r>
    <x v="170"/>
    <x v="1"/>
    <x v="345"/>
    <n v="1987"/>
    <n v="30"/>
    <x v="17"/>
    <s v="England"/>
    <n v="4500000"/>
    <n v="4500000"/>
    <x v="1"/>
    <n v="28"/>
    <n v="2313"/>
    <x v="0"/>
    <n v="904"/>
    <x v="0"/>
    <x v="5"/>
    <x v="0"/>
    <n v="1"/>
    <n v="7"/>
    <n v="1"/>
    <n v="1"/>
    <n v="0"/>
    <n v="53"/>
    <n v="0"/>
    <n v="0"/>
    <n v="0"/>
    <n v="0"/>
    <n v="2"/>
    <n v="0"/>
    <n v="0"/>
    <n v="23"/>
    <n v="19"/>
    <n v="34"/>
    <n v="21"/>
    <n v="0"/>
    <n v="38"/>
    <n v="1"/>
    <n v="0"/>
    <n v="94"/>
    <n v="40"/>
    <n v="46"/>
  </r>
  <r>
    <x v="170"/>
    <x v="3"/>
    <x v="346"/>
    <n v="1987"/>
    <n v="29"/>
    <x v="17"/>
    <s v="England"/>
    <n v="4500000"/>
    <n v="4500000"/>
    <x v="1"/>
    <n v="35"/>
    <n v="2990"/>
    <x v="0"/>
    <n v="1092"/>
    <x v="5"/>
    <x v="11"/>
    <x v="0"/>
    <n v="0"/>
    <n v="3"/>
    <n v="2"/>
    <n v="0"/>
    <n v="0"/>
    <n v="80"/>
    <n v="0"/>
    <n v="0"/>
    <n v="0"/>
    <n v="2"/>
    <n v="0"/>
    <n v="0"/>
    <n v="0"/>
    <n v="26"/>
    <n v="11"/>
    <n v="68"/>
    <n v="35"/>
    <n v="0"/>
    <n v="50"/>
    <n v="0"/>
    <n v="0"/>
    <n v="142"/>
    <n v="52"/>
    <n v="66"/>
  </r>
  <r>
    <x v="171"/>
    <x v="2"/>
    <x v="347"/>
    <n v="1991"/>
    <n v="26"/>
    <x v="24"/>
    <s v="England"/>
    <n v="1350000"/>
    <n v="1350000"/>
    <x v="0"/>
    <n v="14"/>
    <n v="440"/>
    <x v="4"/>
    <n v="92"/>
    <x v="0"/>
    <x v="0"/>
    <x v="0"/>
    <n v="10"/>
    <n v="5"/>
    <n v="11"/>
    <n v="6"/>
    <n v="0"/>
    <n v="7"/>
    <n v="1"/>
    <n v="0"/>
    <n v="0"/>
    <n v="3"/>
    <n v="0"/>
    <n v="5"/>
    <n v="0"/>
    <n v="2"/>
    <n v="1"/>
    <n v="0"/>
    <n v="2"/>
    <n v="0"/>
    <n v="2"/>
    <n v="0"/>
    <n v="0"/>
    <n v="9"/>
    <n v="31"/>
    <n v="38"/>
  </r>
  <r>
    <x v="172"/>
    <x v="0"/>
    <x v="348"/>
    <n v="1990"/>
    <n v="24"/>
    <x v="7"/>
    <s v="England"/>
    <n v="15300000"/>
    <n v="15300000"/>
    <x v="0"/>
    <n v="11"/>
    <n v="578"/>
    <x v="6"/>
    <n v="148"/>
    <x v="5"/>
    <x v="3"/>
    <x v="0"/>
    <n v="4"/>
    <n v="7"/>
    <n v="20"/>
    <n v="11"/>
    <n v="0"/>
    <n v="6"/>
    <n v="2"/>
    <n v="0"/>
    <n v="0"/>
    <n v="0"/>
    <n v="0"/>
    <n v="3"/>
    <n v="0"/>
    <n v="2"/>
    <n v="0"/>
    <n v="2"/>
    <n v="6"/>
    <n v="0"/>
    <n v="11"/>
    <n v="0"/>
    <n v="0"/>
    <n v="6"/>
    <n v="10"/>
    <n v="17"/>
  </r>
  <r>
    <x v="172"/>
    <x v="3"/>
    <x v="349"/>
    <n v="1990"/>
    <n v="25"/>
    <x v="7"/>
    <s v="England"/>
    <n v="15300000"/>
    <n v="13500000"/>
    <x v="0"/>
    <n v="16"/>
    <n v="746"/>
    <x v="5"/>
    <n v="192"/>
    <x v="5"/>
    <x v="0"/>
    <x v="0"/>
    <n v="8"/>
    <n v="6"/>
    <n v="19"/>
    <n v="8"/>
    <n v="0"/>
    <n v="7"/>
    <n v="0"/>
    <n v="0"/>
    <n v="0"/>
    <n v="2"/>
    <n v="0"/>
    <n v="5"/>
    <n v="0"/>
    <n v="0"/>
    <n v="1"/>
    <n v="6"/>
    <n v="7"/>
    <n v="0"/>
    <n v="8"/>
    <n v="0"/>
    <n v="0"/>
    <n v="10"/>
    <n v="17"/>
    <n v="14"/>
  </r>
  <r>
    <x v="172"/>
    <x v="1"/>
    <x v="350"/>
    <n v="1990"/>
    <n v="27"/>
    <x v="7"/>
    <s v="England"/>
    <n v="13500000"/>
    <n v="13500000"/>
    <x v="0"/>
    <n v="28"/>
    <n v="1185"/>
    <x v="2"/>
    <n v="392"/>
    <x v="5"/>
    <x v="3"/>
    <x v="0"/>
    <n v="16"/>
    <n v="7"/>
    <n v="32"/>
    <n v="13"/>
    <n v="1"/>
    <n v="8"/>
    <n v="2"/>
    <n v="0"/>
    <n v="0"/>
    <n v="4"/>
    <n v="2"/>
    <n v="19"/>
    <n v="0"/>
    <n v="2"/>
    <n v="1"/>
    <n v="11"/>
    <n v="13"/>
    <n v="0"/>
    <n v="20"/>
    <n v="0"/>
    <n v="0"/>
    <n v="12"/>
    <n v="24"/>
    <n v="33"/>
  </r>
  <r>
    <x v="173"/>
    <x v="1"/>
    <x v="351"/>
    <n v="1989"/>
    <n v="28"/>
    <x v="6"/>
    <s v="United States"/>
    <n v="1800000"/>
    <n v="1800000"/>
    <x v="2"/>
    <n v="20"/>
    <n v="1116"/>
    <x v="0"/>
    <n v="414"/>
    <x v="0"/>
    <x v="4"/>
    <x v="0"/>
    <n v="9"/>
    <n v="2"/>
    <n v="12"/>
    <n v="2"/>
    <n v="0"/>
    <n v="9"/>
    <n v="0"/>
    <n v="0"/>
    <n v="0"/>
    <n v="2"/>
    <n v="3"/>
    <n v="10"/>
    <n v="0"/>
    <n v="8"/>
    <n v="2"/>
    <n v="26"/>
    <n v="17"/>
    <n v="0"/>
    <n v="23"/>
    <n v="0"/>
    <n v="0"/>
    <n v="26"/>
    <n v="9"/>
    <n v="21"/>
  </r>
  <r>
    <x v="174"/>
    <x v="0"/>
    <x v="352"/>
    <n v="1984"/>
    <n v="31"/>
    <x v="18"/>
    <s v="Scotland"/>
    <n v="1800000"/>
    <n v="1800000"/>
    <x v="2"/>
    <n v="38"/>
    <n v="3374"/>
    <x v="4"/>
    <n v="1480"/>
    <x v="6"/>
    <x v="6"/>
    <x v="0"/>
    <n v="0"/>
    <n v="2"/>
    <n v="22"/>
    <n v="4"/>
    <n v="0"/>
    <n v="13"/>
    <n v="1"/>
    <n v="0"/>
    <n v="0"/>
    <n v="0"/>
    <n v="6"/>
    <n v="2"/>
    <n v="1"/>
    <n v="45"/>
    <n v="9"/>
    <n v="51"/>
    <n v="18"/>
    <n v="0"/>
    <n v="52"/>
    <n v="0"/>
    <n v="0"/>
    <n v="36"/>
    <n v="36"/>
    <n v="38"/>
  </r>
  <r>
    <x v="174"/>
    <x v="3"/>
    <x v="353"/>
    <n v="1984"/>
    <n v="32"/>
    <x v="18"/>
    <s v="Scotland"/>
    <n v="1800000"/>
    <n v="1800000"/>
    <x v="2"/>
    <n v="38"/>
    <n v="3235"/>
    <x v="5"/>
    <n v="1222"/>
    <x v="6"/>
    <x v="0"/>
    <x v="0"/>
    <n v="1"/>
    <n v="5"/>
    <n v="20"/>
    <n v="7"/>
    <n v="1"/>
    <n v="15"/>
    <n v="0"/>
    <n v="0"/>
    <n v="0"/>
    <n v="1"/>
    <n v="8"/>
    <n v="1"/>
    <n v="5"/>
    <n v="30"/>
    <n v="2"/>
    <n v="43"/>
    <n v="22"/>
    <n v="0"/>
    <n v="42"/>
    <n v="2"/>
    <n v="0"/>
    <n v="36"/>
    <n v="18"/>
    <n v="37"/>
  </r>
  <r>
    <x v="174"/>
    <x v="1"/>
    <x v="354"/>
    <n v="1984"/>
    <n v="33"/>
    <x v="25"/>
    <s v="Scotland"/>
    <n v="1350000"/>
    <n v="1350000"/>
    <x v="2"/>
    <n v="27"/>
    <n v="2222"/>
    <x v="4"/>
    <n v="1048"/>
    <x v="3"/>
    <x v="0"/>
    <x v="0"/>
    <n v="2"/>
    <n v="6"/>
    <n v="11"/>
    <n v="2"/>
    <n v="0"/>
    <n v="12"/>
    <n v="0"/>
    <n v="0"/>
    <n v="0"/>
    <n v="0"/>
    <n v="6"/>
    <n v="9"/>
    <n v="26"/>
    <n v="49"/>
    <n v="3"/>
    <n v="26"/>
    <n v="14"/>
    <n v="0"/>
    <n v="47"/>
    <n v="1"/>
    <n v="0"/>
    <n v="31"/>
    <n v="21"/>
    <n v="21"/>
  </r>
  <r>
    <x v="175"/>
    <x v="3"/>
    <x v="355"/>
    <n v="1987"/>
    <n v="28"/>
    <x v="12"/>
    <s v="Ireland"/>
    <n v="9900000"/>
    <n v="33000000"/>
    <x v="2"/>
    <n v="12"/>
    <n v="641"/>
    <x v="0"/>
    <n v="387"/>
    <x v="0"/>
    <x v="5"/>
    <x v="0"/>
    <n v="5"/>
    <n v="6"/>
    <n v="6"/>
    <n v="0"/>
    <n v="0"/>
    <n v="10"/>
    <n v="0"/>
    <n v="0"/>
    <n v="0"/>
    <n v="0"/>
    <n v="1"/>
    <n v="0"/>
    <n v="6"/>
    <n v="11"/>
    <n v="2"/>
    <n v="14"/>
    <n v="12"/>
    <n v="0"/>
    <n v="13"/>
    <n v="0"/>
    <n v="0"/>
    <n v="18"/>
    <n v="7"/>
    <n v="4"/>
  </r>
  <r>
    <x v="176"/>
    <x v="1"/>
    <x v="356"/>
    <n v="1989"/>
    <n v="28"/>
    <x v="9"/>
    <s v="Netherlands"/>
    <n v="6300000"/>
    <n v="5400000"/>
    <x v="1"/>
    <n v="23"/>
    <n v="1822"/>
    <x v="7"/>
    <n v="768"/>
    <x v="0"/>
    <x v="6"/>
    <x v="0"/>
    <n v="2"/>
    <n v="4"/>
    <n v="24"/>
    <n v="10"/>
    <n v="1"/>
    <n v="26"/>
    <n v="1"/>
    <n v="0"/>
    <n v="0"/>
    <n v="0"/>
    <n v="0"/>
    <n v="14"/>
    <n v="0"/>
    <n v="68"/>
    <n v="5"/>
    <n v="33"/>
    <n v="14"/>
    <n v="0"/>
    <n v="46"/>
    <n v="0"/>
    <n v="0"/>
    <n v="53"/>
    <n v="27"/>
    <n v="17"/>
  </r>
  <r>
    <x v="176"/>
    <x v="2"/>
    <x v="357"/>
    <n v="1989"/>
    <n v="29"/>
    <x v="9"/>
    <s v="Netherlands"/>
    <n v="5400000"/>
    <n v="5400000"/>
    <x v="1"/>
    <n v="18"/>
    <n v="1522"/>
    <x v="0"/>
    <n v="599"/>
    <x v="5"/>
    <x v="6"/>
    <x v="0"/>
    <n v="1"/>
    <n v="2"/>
    <n v="11"/>
    <n v="1"/>
    <n v="0"/>
    <n v="27"/>
    <n v="0"/>
    <n v="0"/>
    <n v="0"/>
    <n v="1"/>
    <n v="1"/>
    <n v="10"/>
    <n v="0"/>
    <n v="61"/>
    <n v="6"/>
    <n v="32"/>
    <n v="16"/>
    <n v="0"/>
    <n v="36"/>
    <n v="0"/>
    <n v="0"/>
    <n v="61"/>
    <n v="20"/>
    <n v="13"/>
  </r>
  <r>
    <x v="176"/>
    <x v="3"/>
    <x v="358"/>
    <n v="1989"/>
    <n v="27"/>
    <x v="9"/>
    <s v="Netherlands"/>
    <n v="6750000"/>
    <n v="6300000"/>
    <x v="1"/>
    <n v="27"/>
    <n v="1615"/>
    <x v="5"/>
    <n v="604"/>
    <x v="3"/>
    <x v="4"/>
    <x v="0"/>
    <n v="9"/>
    <n v="6"/>
    <n v="26"/>
    <n v="8"/>
    <n v="1"/>
    <n v="20"/>
    <n v="0"/>
    <n v="0"/>
    <n v="0"/>
    <n v="5"/>
    <n v="1"/>
    <n v="1"/>
    <n v="0"/>
    <n v="52"/>
    <n v="3"/>
    <n v="20"/>
    <n v="17"/>
    <n v="0"/>
    <n v="45"/>
    <n v="0"/>
    <n v="0"/>
    <n v="35"/>
    <n v="21"/>
    <n v="21"/>
  </r>
  <r>
    <x v="176"/>
    <x v="0"/>
    <x v="359"/>
    <n v="1989"/>
    <n v="26"/>
    <x v="20"/>
    <s v="Netherlands"/>
    <n v="6750000"/>
    <n v="6750000"/>
    <x v="1"/>
    <n v="31"/>
    <n v="2755"/>
    <x v="5"/>
    <n v="1252"/>
    <x v="2"/>
    <x v="2"/>
    <x v="1"/>
    <n v="0"/>
    <n v="3"/>
    <n v="19"/>
    <n v="8"/>
    <n v="0"/>
    <n v="44"/>
    <n v="0"/>
    <n v="0"/>
    <n v="0"/>
    <n v="5"/>
    <n v="3"/>
    <n v="0"/>
    <n v="3"/>
    <n v="144"/>
    <n v="8"/>
    <n v="56"/>
    <n v="29"/>
    <n v="0"/>
    <n v="80"/>
    <n v="0"/>
    <n v="0"/>
    <n v="83"/>
    <n v="27"/>
    <n v="28"/>
  </r>
  <r>
    <x v="177"/>
    <x v="2"/>
    <x v="360"/>
    <n v="1997"/>
    <n v="21"/>
    <x v="14"/>
    <s v="Wales"/>
    <n v="4950000"/>
    <n v="4950000"/>
    <x v="2"/>
    <n v="30"/>
    <n v="2276"/>
    <x v="8"/>
    <n v="855"/>
    <x v="8"/>
    <x v="6"/>
    <x v="0"/>
    <n v="1"/>
    <n v="19"/>
    <n v="41"/>
    <n v="20"/>
    <n v="2"/>
    <n v="2"/>
    <n v="1"/>
    <n v="0"/>
    <n v="0"/>
    <n v="2"/>
    <n v="16"/>
    <n v="21"/>
    <n v="19"/>
    <n v="33"/>
    <n v="7"/>
    <n v="24"/>
    <n v="15"/>
    <n v="0"/>
    <n v="38"/>
    <n v="0"/>
    <n v="0"/>
    <n v="22"/>
    <n v="8"/>
    <n v="31"/>
  </r>
  <r>
    <x v="178"/>
    <x v="2"/>
    <x v="361"/>
    <n v="1990"/>
    <n v="28"/>
    <x v="24"/>
    <s v="Canada"/>
    <n v="2250000"/>
    <n v="1800000"/>
    <x v="2"/>
    <n v="32"/>
    <n v="2142"/>
    <x v="7"/>
    <n v="443"/>
    <x v="3"/>
    <x v="5"/>
    <x v="0"/>
    <n v="9"/>
    <n v="10"/>
    <n v="40"/>
    <n v="10"/>
    <n v="1"/>
    <n v="9"/>
    <n v="0"/>
    <n v="0"/>
    <n v="0"/>
    <n v="8"/>
    <n v="2"/>
    <n v="30"/>
    <n v="26"/>
    <n v="85"/>
    <n v="0"/>
    <n v="32"/>
    <n v="35"/>
    <n v="0"/>
    <n v="40"/>
    <n v="0"/>
    <n v="0"/>
    <n v="25"/>
    <n v="19"/>
    <n v="52"/>
  </r>
  <r>
    <x v="179"/>
    <x v="3"/>
    <x v="362"/>
    <n v="1987"/>
    <n v="29"/>
    <x v="1"/>
    <s v="Brazil"/>
    <n v="25200000"/>
    <n v="27000000"/>
    <x v="1"/>
    <n v="33"/>
    <n v="2956"/>
    <x v="0"/>
    <n v="1570"/>
    <x v="0"/>
    <x v="8"/>
    <x v="0"/>
    <n v="0"/>
    <n v="2"/>
    <n v="31"/>
    <n v="10"/>
    <n v="0"/>
    <n v="101"/>
    <n v="0"/>
    <n v="0"/>
    <n v="1"/>
    <n v="3"/>
    <n v="7"/>
    <n v="0"/>
    <n v="0"/>
    <n v="6"/>
    <n v="14"/>
    <n v="64"/>
    <n v="29"/>
    <n v="0"/>
    <n v="42"/>
    <n v="0"/>
    <n v="0"/>
    <n v="171"/>
    <n v="60"/>
    <n v="39"/>
  </r>
  <r>
    <x v="179"/>
    <x v="2"/>
    <x v="363"/>
    <n v="1987"/>
    <n v="31"/>
    <x v="1"/>
    <s v="Brazil"/>
    <n v="22500000"/>
    <n v="18000000"/>
    <x v="1"/>
    <n v="36"/>
    <n v="3239"/>
    <x v="7"/>
    <n v="2620"/>
    <x v="5"/>
    <x v="6"/>
    <x v="0"/>
    <n v="0"/>
    <n v="1"/>
    <n v="34"/>
    <n v="8"/>
    <n v="1"/>
    <n v="83"/>
    <n v="3"/>
    <n v="0"/>
    <n v="0"/>
    <n v="0"/>
    <n v="41"/>
    <n v="26"/>
    <n v="0"/>
    <n v="4"/>
    <n v="18"/>
    <n v="35"/>
    <n v="34"/>
    <n v="1"/>
    <n v="41"/>
    <n v="1"/>
    <n v="0"/>
    <n v="144"/>
    <n v="82"/>
    <n v="72"/>
  </r>
  <r>
    <x v="179"/>
    <x v="1"/>
    <x v="364"/>
    <n v="1987"/>
    <n v="30"/>
    <x v="1"/>
    <s v="Brazil"/>
    <n v="27000000"/>
    <n v="22500000"/>
    <x v="1"/>
    <n v="10"/>
    <n v="839"/>
    <x v="4"/>
    <n v="492"/>
    <x v="0"/>
    <x v="5"/>
    <x v="1"/>
    <n v="1"/>
    <n v="0"/>
    <n v="11"/>
    <n v="4"/>
    <n v="0"/>
    <n v="23"/>
    <n v="0"/>
    <n v="0"/>
    <n v="0"/>
    <n v="0"/>
    <n v="0"/>
    <n v="7"/>
    <n v="0"/>
    <n v="1"/>
    <n v="5"/>
    <n v="24"/>
    <n v="12"/>
    <n v="0"/>
    <n v="18"/>
    <n v="0"/>
    <n v="0"/>
    <n v="41"/>
    <n v="17"/>
    <n v="16"/>
  </r>
  <r>
    <x v="180"/>
    <x v="3"/>
    <x v="365"/>
    <n v="1989"/>
    <n v="27"/>
    <x v="10"/>
    <s v="Ireland"/>
    <n v="41800000"/>
    <n v="36300000"/>
    <x v="2"/>
    <n v="20"/>
    <n v="954"/>
    <x v="0"/>
    <n v="512"/>
    <x v="0"/>
    <x v="4"/>
    <x v="0"/>
    <n v="11"/>
    <n v="3"/>
    <n v="8"/>
    <n v="3"/>
    <n v="0"/>
    <n v="10"/>
    <n v="0"/>
    <n v="0"/>
    <n v="0"/>
    <n v="1"/>
    <n v="1"/>
    <n v="0"/>
    <n v="0"/>
    <n v="15"/>
    <n v="2"/>
    <n v="20"/>
    <n v="9"/>
    <n v="0"/>
    <n v="27"/>
    <n v="0"/>
    <n v="0"/>
    <n v="22"/>
    <n v="10"/>
    <n v="19"/>
  </r>
  <r>
    <x v="181"/>
    <x v="0"/>
    <x v="366"/>
    <n v="1986"/>
    <n v="29"/>
    <x v="19"/>
    <s v="Spain"/>
    <n v="36300000"/>
    <n v="33000000"/>
    <x v="2"/>
    <n v="20"/>
    <n v="1800"/>
    <x v="5"/>
    <n v="1386"/>
    <x v="10"/>
    <x v="3"/>
    <x v="0"/>
    <n v="2"/>
    <n v="12"/>
    <n v="29"/>
    <n v="4"/>
    <n v="0"/>
    <n v="0"/>
    <n v="0"/>
    <n v="0"/>
    <n v="0"/>
    <n v="0"/>
    <n v="11"/>
    <n v="0"/>
    <n v="57"/>
    <n v="96"/>
    <n v="0"/>
    <n v="16"/>
    <n v="19"/>
    <n v="0"/>
    <n v="36"/>
    <n v="0"/>
    <n v="0"/>
    <n v="3"/>
    <n v="9"/>
    <n v="14"/>
  </r>
  <r>
    <x v="181"/>
    <x v="3"/>
    <x v="367"/>
    <n v="1986"/>
    <n v="30"/>
    <x v="19"/>
    <s v="Spain"/>
    <n v="33000000"/>
    <n v="33000000"/>
    <x v="2"/>
    <n v="34"/>
    <n v="2766"/>
    <x v="6"/>
    <n v="2075"/>
    <x v="4"/>
    <x v="8"/>
    <x v="0"/>
    <n v="3"/>
    <n v="11"/>
    <n v="48"/>
    <n v="17"/>
    <n v="1"/>
    <n v="8"/>
    <n v="0"/>
    <n v="0"/>
    <n v="0"/>
    <n v="5"/>
    <n v="26"/>
    <n v="4"/>
    <n v="87"/>
    <n v="125"/>
    <n v="4"/>
    <n v="17"/>
    <n v="29"/>
    <n v="0"/>
    <n v="43"/>
    <n v="0"/>
    <n v="0"/>
    <n v="21"/>
    <n v="16"/>
    <n v="32"/>
  </r>
  <r>
    <x v="181"/>
    <x v="1"/>
    <x v="368"/>
    <n v="1986"/>
    <n v="31"/>
    <x v="19"/>
    <s v="Spain"/>
    <n v="33000000"/>
    <n v="22000000"/>
    <x v="2"/>
    <n v="29"/>
    <n v="2435"/>
    <x v="3"/>
    <n v="2429"/>
    <x v="10"/>
    <x v="2"/>
    <x v="0"/>
    <n v="1"/>
    <n v="8"/>
    <n v="54"/>
    <n v="20"/>
    <n v="1"/>
    <n v="2"/>
    <n v="0"/>
    <n v="0"/>
    <n v="0"/>
    <n v="4"/>
    <n v="18"/>
    <n v="34"/>
    <n v="48"/>
    <n v="74"/>
    <n v="5"/>
    <n v="18"/>
    <n v="21"/>
    <n v="0"/>
    <n v="32"/>
    <n v="0"/>
    <n v="0"/>
    <n v="6"/>
    <n v="17"/>
    <n v="11"/>
  </r>
  <r>
    <x v="181"/>
    <x v="2"/>
    <x v="369"/>
    <n v="1986"/>
    <n v="32"/>
    <x v="19"/>
    <s v="Spain"/>
    <n v="11000000"/>
    <n v="16500000"/>
    <x v="2"/>
    <n v="33"/>
    <n v="2409"/>
    <x v="14"/>
    <n v="2015"/>
    <x v="7"/>
    <x v="6"/>
    <x v="0"/>
    <n v="5"/>
    <n v="15"/>
    <n v="51"/>
    <n v="20"/>
    <n v="0"/>
    <n v="1"/>
    <n v="0"/>
    <n v="0"/>
    <n v="1"/>
    <n v="5"/>
    <n v="18"/>
    <n v="31"/>
    <n v="23"/>
    <n v="75"/>
    <n v="1"/>
    <n v="22"/>
    <n v="26"/>
    <n v="0"/>
    <n v="30"/>
    <n v="0"/>
    <n v="0"/>
    <n v="13"/>
    <n v="20"/>
    <n v="23"/>
  </r>
  <r>
    <x v="182"/>
    <x v="1"/>
    <x v="370"/>
    <n v="1992"/>
    <n v="25"/>
    <x v="1"/>
    <s v="Italy"/>
    <n v="9350000"/>
    <n v="22000000"/>
    <x v="1"/>
    <n v="22"/>
    <n v="1095"/>
    <x v="4"/>
    <n v="445"/>
    <x v="3"/>
    <x v="0"/>
    <x v="0"/>
    <n v="10"/>
    <n v="7"/>
    <n v="25"/>
    <n v="11"/>
    <n v="1"/>
    <n v="13"/>
    <n v="0"/>
    <n v="0"/>
    <n v="0"/>
    <n v="5"/>
    <n v="0"/>
    <n v="14"/>
    <n v="1"/>
    <n v="84"/>
    <n v="2"/>
    <n v="6"/>
    <n v="7"/>
    <n v="0"/>
    <n v="26"/>
    <n v="0"/>
    <n v="0"/>
    <n v="20"/>
    <n v="14"/>
    <n v="6"/>
  </r>
  <r>
    <x v="183"/>
    <x v="2"/>
    <x v="371"/>
    <n v="1996"/>
    <n v="22"/>
    <x v="26"/>
    <s v="Colombia"/>
    <n v="36000000"/>
    <n v="49500000"/>
    <x v="1"/>
    <n v="23"/>
    <n v="1943"/>
    <x v="4"/>
    <n v="1440"/>
    <x v="3"/>
    <x v="0"/>
    <x v="0"/>
    <n v="0"/>
    <n v="2"/>
    <n v="14"/>
    <n v="3"/>
    <n v="0"/>
    <n v="58"/>
    <n v="0"/>
    <n v="0"/>
    <n v="0"/>
    <n v="0"/>
    <n v="0"/>
    <n v="11"/>
    <n v="0"/>
    <n v="0"/>
    <n v="9"/>
    <n v="30"/>
    <n v="20"/>
    <n v="0"/>
    <n v="37"/>
    <n v="1"/>
    <n v="0"/>
    <n v="101"/>
    <n v="66"/>
    <n v="50"/>
  </r>
  <r>
    <x v="183"/>
    <x v="1"/>
    <x v="372"/>
    <n v="1996"/>
    <n v="21"/>
    <x v="26"/>
    <s v="Colombia"/>
    <n v="22500000"/>
    <n v="36000000"/>
    <x v="1"/>
    <n v="31"/>
    <n v="2535"/>
    <x v="0"/>
    <n v="1867"/>
    <x v="0"/>
    <x v="3"/>
    <x v="1"/>
    <n v="2"/>
    <n v="2"/>
    <n v="1"/>
    <n v="1"/>
    <n v="0"/>
    <n v="81"/>
    <n v="0"/>
    <n v="0"/>
    <n v="0"/>
    <n v="0"/>
    <n v="0"/>
    <n v="0"/>
    <n v="0"/>
    <n v="3"/>
    <n v="10"/>
    <n v="38"/>
    <n v="25"/>
    <n v="0"/>
    <n v="38"/>
    <n v="0"/>
    <n v="1"/>
    <n v="159"/>
    <n v="73"/>
    <n v="62"/>
  </r>
  <r>
    <x v="184"/>
    <x v="1"/>
    <x v="373"/>
    <n v="1991"/>
    <n v="26"/>
    <x v="23"/>
    <s v="Netherlands"/>
    <n v="16500000"/>
    <n v="16500000"/>
    <x v="2"/>
    <n v="35"/>
    <n v="3120"/>
    <x v="0"/>
    <n v="1387"/>
    <x v="2"/>
    <x v="4"/>
    <x v="1"/>
    <n v="0"/>
    <n v="1"/>
    <n v="36"/>
    <n v="5"/>
    <n v="1"/>
    <n v="27"/>
    <n v="0"/>
    <n v="0"/>
    <n v="0"/>
    <n v="2"/>
    <n v="2"/>
    <n v="31"/>
    <n v="0"/>
    <n v="12"/>
    <n v="11"/>
    <n v="60"/>
    <n v="41"/>
    <n v="0"/>
    <n v="73"/>
    <n v="0"/>
    <n v="0"/>
    <n v="68"/>
    <n v="47"/>
    <n v="41"/>
  </r>
  <r>
    <x v="184"/>
    <x v="2"/>
    <x v="374"/>
    <n v="1991"/>
    <n v="26"/>
    <x v="23"/>
    <s v="Netherlands"/>
    <n v="1000000"/>
    <n v="1000000"/>
    <x v="2"/>
    <n v="30"/>
    <n v="2551"/>
    <x v="4"/>
    <n v="1213"/>
    <x v="3"/>
    <x v="0"/>
    <x v="0"/>
    <n v="0"/>
    <n v="5"/>
    <n v="15"/>
    <n v="2"/>
    <n v="1"/>
    <n v="12"/>
    <n v="0"/>
    <n v="0"/>
    <n v="0"/>
    <n v="1"/>
    <n v="2"/>
    <n v="13"/>
    <n v="0"/>
    <n v="16"/>
    <n v="6"/>
    <n v="53"/>
    <n v="33"/>
    <n v="0"/>
    <n v="50"/>
    <n v="0"/>
    <n v="0"/>
    <n v="33"/>
    <n v="37"/>
    <n v="26"/>
  </r>
  <r>
    <x v="185"/>
    <x v="3"/>
    <x v="375"/>
    <n v="1984"/>
    <n v="32"/>
    <x v="5"/>
    <s v="England"/>
    <n v="5500000"/>
    <n v="22000000"/>
    <x v="2"/>
    <n v="21"/>
    <n v="1770"/>
    <x v="0"/>
    <n v="728"/>
    <x v="5"/>
    <x v="1"/>
    <x v="0"/>
    <n v="0"/>
    <n v="6"/>
    <n v="12"/>
    <n v="3"/>
    <n v="0"/>
    <n v="14"/>
    <n v="0"/>
    <n v="0"/>
    <n v="0"/>
    <n v="0"/>
    <n v="1"/>
    <n v="0"/>
    <n v="0"/>
    <n v="7"/>
    <n v="16"/>
    <n v="27"/>
    <n v="35"/>
    <n v="0"/>
    <n v="36"/>
    <n v="0"/>
    <n v="0"/>
    <n v="29"/>
    <n v="12"/>
    <n v="13"/>
  </r>
  <r>
    <x v="186"/>
    <x v="1"/>
    <x v="376"/>
    <n v="1993"/>
    <n v="24"/>
    <x v="20"/>
    <s v="United States"/>
    <n v="4500000"/>
    <n v="7200000"/>
    <x v="1"/>
    <n v="34"/>
    <n v="2842"/>
    <x v="0"/>
    <n v="1000"/>
    <x v="5"/>
    <x v="2"/>
    <x v="0"/>
    <n v="3"/>
    <n v="0"/>
    <n v="0"/>
    <n v="0"/>
    <n v="0"/>
    <n v="40"/>
    <n v="0"/>
    <n v="0"/>
    <n v="0"/>
    <n v="9"/>
    <n v="2"/>
    <n v="0"/>
    <n v="0"/>
    <n v="73"/>
    <n v="7"/>
    <n v="44"/>
    <n v="32"/>
    <n v="2"/>
    <n v="57"/>
    <n v="0"/>
    <n v="1"/>
    <n v="93"/>
    <n v="47"/>
    <n v="50"/>
  </r>
  <r>
    <x v="186"/>
    <x v="0"/>
    <x v="377"/>
    <n v="1993"/>
    <n v="22"/>
    <x v="12"/>
    <s v="United States"/>
    <n v="1350000"/>
    <n v="2700000"/>
    <x v="1"/>
    <n v="23"/>
    <n v="1812"/>
    <x v="0"/>
    <n v="519"/>
    <x v="0"/>
    <x v="4"/>
    <x v="0"/>
    <n v="2"/>
    <n v="3"/>
    <n v="4"/>
    <n v="1"/>
    <n v="0"/>
    <n v="36"/>
    <n v="0"/>
    <n v="0"/>
    <n v="0"/>
    <n v="0"/>
    <n v="0"/>
    <n v="0"/>
    <n v="0"/>
    <n v="41"/>
    <n v="13"/>
    <n v="25"/>
    <n v="21"/>
    <n v="0"/>
    <n v="39"/>
    <n v="0"/>
    <n v="0"/>
    <n v="89"/>
    <n v="24"/>
    <n v="30"/>
  </r>
  <r>
    <x v="186"/>
    <x v="2"/>
    <x v="378"/>
    <n v="1993"/>
    <n v="25"/>
    <x v="20"/>
    <s v="United States"/>
    <n v="7200000"/>
    <n v="7200000"/>
    <x v="1"/>
    <n v="29"/>
    <n v="2474"/>
    <x v="4"/>
    <n v="732"/>
    <x v="5"/>
    <x v="8"/>
    <x v="0"/>
    <n v="0"/>
    <n v="2"/>
    <n v="11"/>
    <n v="2"/>
    <n v="0"/>
    <n v="33"/>
    <n v="0"/>
    <n v="0"/>
    <n v="0"/>
    <n v="4"/>
    <n v="0"/>
    <n v="9"/>
    <n v="0"/>
    <n v="77"/>
    <n v="10"/>
    <n v="28"/>
    <n v="41"/>
    <n v="0"/>
    <n v="54"/>
    <n v="0"/>
    <n v="1"/>
    <n v="71"/>
    <n v="30"/>
    <n v="41"/>
  </r>
  <r>
    <x v="187"/>
    <x v="2"/>
    <x v="379"/>
    <n v="1999"/>
    <n v="19"/>
    <x v="3"/>
    <s v="England"/>
    <n v="9000000"/>
    <n v="40000000"/>
    <x v="1"/>
    <n v="34"/>
    <n v="3004"/>
    <x v="5"/>
    <n v="1518"/>
    <x v="0"/>
    <x v="5"/>
    <x v="0"/>
    <n v="0"/>
    <n v="2"/>
    <n v="22"/>
    <n v="5"/>
    <n v="1"/>
    <n v="22"/>
    <n v="0"/>
    <n v="0"/>
    <n v="0"/>
    <n v="1"/>
    <n v="2"/>
    <n v="17"/>
    <n v="0"/>
    <n v="3"/>
    <n v="12"/>
    <n v="52"/>
    <n v="17"/>
    <n v="0"/>
    <n v="98"/>
    <n v="0"/>
    <n v="0"/>
    <n v="54"/>
    <n v="55"/>
    <n v="42"/>
  </r>
  <r>
    <x v="187"/>
    <x v="1"/>
    <x v="380"/>
    <n v="1999"/>
    <n v="18"/>
    <x v="3"/>
    <s v="England"/>
    <n v="450000"/>
    <n v="9000000"/>
    <x v="1"/>
    <n v="26"/>
    <n v="1423"/>
    <x v="0"/>
    <n v="573"/>
    <x v="0"/>
    <x v="3"/>
    <x v="0"/>
    <n v="11"/>
    <n v="3"/>
    <n v="0"/>
    <n v="0"/>
    <n v="0"/>
    <n v="33"/>
    <n v="0"/>
    <n v="0"/>
    <n v="0"/>
    <n v="0"/>
    <n v="1"/>
    <n v="0"/>
    <n v="0"/>
    <n v="5"/>
    <n v="13"/>
    <n v="27"/>
    <n v="5"/>
    <n v="0"/>
    <n v="36"/>
    <n v="1"/>
    <n v="0"/>
    <n v="70"/>
    <n v="0"/>
    <n v="35"/>
  </r>
  <r>
    <x v="188"/>
    <x v="0"/>
    <x v="381"/>
    <n v="1989"/>
    <n v="26"/>
    <x v="13"/>
    <s v="Croatia"/>
    <n v="11700000"/>
    <n v="13500000"/>
    <x v="1"/>
    <n v="24"/>
    <n v="1897"/>
    <x v="0"/>
    <n v="1052"/>
    <x v="0"/>
    <x v="4"/>
    <x v="0"/>
    <n v="2"/>
    <n v="3"/>
    <n v="22"/>
    <n v="6"/>
    <n v="0"/>
    <n v="83"/>
    <n v="0"/>
    <n v="0"/>
    <n v="0"/>
    <n v="0"/>
    <n v="0"/>
    <n v="0"/>
    <n v="0"/>
    <n v="4"/>
    <n v="14"/>
    <n v="37"/>
    <n v="23"/>
    <n v="0"/>
    <n v="34"/>
    <n v="1"/>
    <n v="0"/>
    <n v="153"/>
    <n v="80"/>
    <n v="21"/>
  </r>
  <r>
    <x v="188"/>
    <x v="2"/>
    <x v="382"/>
    <n v="1989"/>
    <n v="29"/>
    <x v="13"/>
    <s v="Croatia"/>
    <n v="18000000"/>
    <n v="18000000"/>
    <x v="1"/>
    <n v="13"/>
    <n v="986"/>
    <x v="4"/>
    <n v="821"/>
    <x v="0"/>
    <x v="3"/>
    <x v="0"/>
    <n v="2"/>
    <n v="1"/>
    <n v="6"/>
    <n v="1"/>
    <n v="0"/>
    <n v="27"/>
    <n v="0"/>
    <n v="0"/>
    <n v="0"/>
    <n v="0"/>
    <n v="1"/>
    <n v="5"/>
    <n v="0"/>
    <n v="4"/>
    <n v="7"/>
    <n v="11"/>
    <n v="3"/>
    <n v="0"/>
    <n v="15"/>
    <n v="0"/>
    <n v="0"/>
    <n v="51"/>
    <n v="53"/>
    <n v="25"/>
  </r>
  <r>
    <x v="188"/>
    <x v="3"/>
    <x v="383"/>
    <n v="1989"/>
    <n v="27"/>
    <x v="13"/>
    <s v="Croatia"/>
    <n v="13500000"/>
    <n v="15300000"/>
    <x v="1"/>
    <n v="29"/>
    <n v="2554"/>
    <x v="5"/>
    <n v="2001"/>
    <x v="3"/>
    <x v="8"/>
    <x v="0"/>
    <n v="0"/>
    <n v="2"/>
    <n v="15"/>
    <n v="5"/>
    <n v="0"/>
    <n v="112"/>
    <n v="1"/>
    <n v="0"/>
    <n v="0"/>
    <n v="1"/>
    <n v="1"/>
    <n v="0"/>
    <n v="0"/>
    <n v="7"/>
    <n v="16"/>
    <n v="45"/>
    <n v="25"/>
    <n v="0"/>
    <n v="41"/>
    <n v="1"/>
    <n v="0"/>
    <n v="182"/>
    <n v="103"/>
    <n v="57"/>
  </r>
  <r>
    <x v="188"/>
    <x v="1"/>
    <x v="384"/>
    <n v="1989"/>
    <n v="28"/>
    <x v="13"/>
    <s v="Croatia"/>
    <n v="15300000"/>
    <n v="18000000"/>
    <x v="1"/>
    <n v="29"/>
    <n v="2125"/>
    <x v="5"/>
    <n v="1803"/>
    <x v="3"/>
    <x v="5"/>
    <x v="0"/>
    <n v="5"/>
    <n v="2"/>
    <n v="14"/>
    <n v="4"/>
    <n v="0"/>
    <n v="86"/>
    <n v="2"/>
    <n v="0"/>
    <n v="0"/>
    <n v="0"/>
    <n v="0"/>
    <n v="10"/>
    <n v="0"/>
    <n v="4"/>
    <n v="15"/>
    <n v="38"/>
    <n v="15"/>
    <n v="0"/>
    <n v="26"/>
    <n v="1"/>
    <n v="0"/>
    <n v="142"/>
    <n v="104"/>
    <n v="60"/>
  </r>
  <r>
    <x v="189"/>
    <x v="0"/>
    <x v="385"/>
    <n v="1996"/>
    <n v="19"/>
    <x v="26"/>
    <s v="England"/>
    <n v="22000000"/>
    <n v="49500000"/>
    <x v="2"/>
    <n v="33"/>
    <n v="2479"/>
    <x v="15"/>
    <n v="1083"/>
    <x v="11"/>
    <x v="1"/>
    <x v="0"/>
    <n v="5"/>
    <n v="17"/>
    <n v="74"/>
    <n v="28"/>
    <n v="3"/>
    <n v="20"/>
    <n v="1"/>
    <n v="0"/>
    <n v="0"/>
    <n v="6"/>
    <n v="18"/>
    <n v="6"/>
    <n v="3"/>
    <n v="19"/>
    <n v="5"/>
    <n v="61"/>
    <n v="50"/>
    <n v="0"/>
    <n v="71"/>
    <n v="0"/>
    <n v="0"/>
    <n v="32"/>
    <n v="37"/>
    <n v="44"/>
  </r>
  <r>
    <x v="189"/>
    <x v="3"/>
    <x v="386"/>
    <n v="1996"/>
    <n v="20"/>
    <x v="26"/>
    <s v="England"/>
    <n v="110000000"/>
    <n v="99000000"/>
    <x v="2"/>
    <n v="37"/>
    <n v="3043"/>
    <x v="17"/>
    <n v="1328"/>
    <x v="4"/>
    <x v="5"/>
    <x v="0"/>
    <n v="2"/>
    <n v="13"/>
    <n v="94"/>
    <n v="44"/>
    <n v="3"/>
    <n v="11"/>
    <n v="4"/>
    <n v="1"/>
    <n v="0"/>
    <n v="11"/>
    <n v="12"/>
    <n v="11"/>
    <n v="3"/>
    <n v="22"/>
    <n v="1"/>
    <n v="11"/>
    <n v="50"/>
    <n v="0"/>
    <n v="52"/>
    <n v="0"/>
    <n v="0"/>
    <n v="17"/>
    <n v="14"/>
    <n v="26"/>
  </r>
  <r>
    <x v="189"/>
    <x v="2"/>
    <x v="387"/>
    <n v="1996"/>
    <n v="22"/>
    <x v="26"/>
    <s v="England"/>
    <n v="49500000"/>
    <n v="110000000"/>
    <x v="2"/>
    <n v="25"/>
    <n v="1833"/>
    <x v="2"/>
    <n v="1028"/>
    <x v="6"/>
    <x v="5"/>
    <x v="0"/>
    <n v="3"/>
    <n v="12"/>
    <n v="39"/>
    <n v="19"/>
    <n v="0"/>
    <n v="9"/>
    <n v="4"/>
    <n v="0"/>
    <n v="0"/>
    <n v="3"/>
    <n v="18"/>
    <n v="20"/>
    <n v="3"/>
    <n v="10"/>
    <n v="5"/>
    <n v="19"/>
    <n v="23"/>
    <n v="0"/>
    <n v="33"/>
    <n v="0"/>
    <n v="0"/>
    <n v="17"/>
    <n v="20"/>
    <n v="20"/>
  </r>
  <r>
    <x v="189"/>
    <x v="1"/>
    <x v="388"/>
    <n v="1996"/>
    <n v="21"/>
    <x v="26"/>
    <s v="England"/>
    <n v="4400000"/>
    <n v="6600000"/>
    <x v="2"/>
    <n v="36"/>
    <n v="2970"/>
    <x v="3"/>
    <n v="1251"/>
    <x v="9"/>
    <x v="1"/>
    <x v="0"/>
    <n v="2"/>
    <n v="16"/>
    <n v="69"/>
    <n v="17"/>
    <n v="1"/>
    <n v="10"/>
    <n v="0"/>
    <n v="0"/>
    <n v="0"/>
    <n v="5"/>
    <n v="15"/>
    <n v="52"/>
    <n v="4"/>
    <n v="18"/>
    <n v="7"/>
    <n v="19"/>
    <n v="43"/>
    <n v="0"/>
    <n v="46"/>
    <n v="1"/>
    <n v="0"/>
    <n v="18"/>
    <n v="30"/>
    <n v="52"/>
  </r>
  <r>
    <x v="190"/>
    <x v="0"/>
    <x v="389"/>
    <n v="1996"/>
    <n v="19"/>
    <x v="17"/>
    <s v="England"/>
    <n v="6600000"/>
    <n v="9900000"/>
    <x v="2"/>
    <n v="12"/>
    <n v="177"/>
    <x v="0"/>
    <n v="89"/>
    <x v="3"/>
    <x v="0"/>
    <x v="0"/>
    <n v="11"/>
    <n v="1"/>
    <n v="5"/>
    <n v="3"/>
    <n v="0"/>
    <n v="1"/>
    <n v="0"/>
    <n v="0"/>
    <n v="0"/>
    <n v="0"/>
    <n v="0"/>
    <n v="1"/>
    <n v="7"/>
    <n v="12"/>
    <n v="1"/>
    <n v="6"/>
    <n v="3"/>
    <n v="0"/>
    <n v="3"/>
    <n v="0"/>
    <n v="0"/>
    <n v="2"/>
    <n v="1"/>
    <n v="2"/>
  </r>
  <r>
    <x v="190"/>
    <x v="3"/>
    <x v="390"/>
    <n v="1996"/>
    <n v="20"/>
    <x v="17"/>
    <s v="England"/>
    <n v="22000000"/>
    <n v="22000000"/>
    <x v="2"/>
    <n v="30"/>
    <n v="1038"/>
    <x v="4"/>
    <n v="326"/>
    <x v="6"/>
    <x v="4"/>
    <x v="0"/>
    <n v="21"/>
    <n v="7"/>
    <n v="27"/>
    <n v="8"/>
    <n v="0"/>
    <n v="3"/>
    <n v="0"/>
    <n v="0"/>
    <n v="0"/>
    <n v="2"/>
    <n v="0"/>
    <n v="0"/>
    <n v="36"/>
    <n v="82"/>
    <n v="1"/>
    <n v="8"/>
    <n v="10"/>
    <n v="0"/>
    <n v="19"/>
    <n v="0"/>
    <n v="0"/>
    <n v="10"/>
    <n v="5"/>
    <n v="33"/>
  </r>
  <r>
    <x v="190"/>
    <x v="2"/>
    <x v="391"/>
    <n v="1996"/>
    <n v="22"/>
    <x v="17"/>
    <s v="England"/>
    <n v="9900000"/>
    <n v="22000000"/>
    <x v="2"/>
    <n v="34"/>
    <n v="1996"/>
    <x v="6"/>
    <n v="657"/>
    <x v="3"/>
    <x v="4"/>
    <x v="0"/>
    <n v="11"/>
    <n v="18"/>
    <n v="47"/>
    <n v="19"/>
    <n v="1"/>
    <n v="2"/>
    <n v="0"/>
    <n v="0"/>
    <n v="0"/>
    <n v="3"/>
    <n v="8"/>
    <n v="28"/>
    <n v="9"/>
    <n v="52"/>
    <n v="0"/>
    <n v="9"/>
    <n v="14"/>
    <n v="0"/>
    <n v="25"/>
    <n v="0"/>
    <n v="0"/>
    <n v="13"/>
    <n v="11"/>
    <n v="35"/>
  </r>
  <r>
    <x v="190"/>
    <x v="1"/>
    <x v="392"/>
    <n v="1996"/>
    <n v="21"/>
    <x v="17"/>
    <s v="England"/>
    <n v="5000000"/>
    <n v="10000000"/>
    <x v="2"/>
    <n v="35"/>
    <n v="1690"/>
    <x v="7"/>
    <n v="557"/>
    <x v="3"/>
    <x v="4"/>
    <x v="0"/>
    <n v="18"/>
    <n v="11"/>
    <n v="36"/>
    <n v="9"/>
    <n v="1"/>
    <n v="2"/>
    <n v="0"/>
    <n v="0"/>
    <n v="0"/>
    <n v="4"/>
    <n v="1"/>
    <n v="27"/>
    <n v="29"/>
    <n v="86"/>
    <n v="0"/>
    <n v="11"/>
    <n v="7"/>
    <n v="0"/>
    <n v="17"/>
    <n v="1"/>
    <n v="0"/>
    <n v="11"/>
    <n v="5"/>
    <n v="24"/>
  </r>
  <r>
    <x v="191"/>
    <x v="2"/>
    <x v="393"/>
    <n v="1988"/>
    <n v="30"/>
    <x v="11"/>
    <s v="Belgium"/>
    <n v="1350000"/>
    <n v="2250000"/>
    <x v="1"/>
    <n v="31"/>
    <n v="2594"/>
    <x v="0"/>
    <n v="1332"/>
    <x v="3"/>
    <x v="5"/>
    <x v="0"/>
    <n v="2"/>
    <n v="1"/>
    <n v="10"/>
    <n v="1"/>
    <n v="0"/>
    <n v="59"/>
    <n v="0"/>
    <n v="0"/>
    <n v="0"/>
    <n v="0"/>
    <n v="2"/>
    <n v="9"/>
    <n v="0"/>
    <n v="13"/>
    <n v="24"/>
    <n v="42"/>
    <n v="37"/>
    <n v="0"/>
    <n v="48"/>
    <n v="0"/>
    <n v="1"/>
    <n v="144"/>
    <n v="55"/>
    <n v="53"/>
  </r>
  <r>
    <x v="192"/>
    <x v="0"/>
    <x v="394"/>
    <n v="1989"/>
    <n v="25"/>
    <x v="3"/>
    <s v="Senegal"/>
    <n v="9000000"/>
    <n v="10800000"/>
    <x v="0"/>
    <n v="21"/>
    <n v="1525"/>
    <x v="2"/>
    <n v="344"/>
    <x v="3"/>
    <x v="6"/>
    <x v="0"/>
    <n v="3"/>
    <n v="11"/>
    <n v="48"/>
    <n v="18"/>
    <n v="0"/>
    <n v="14"/>
    <n v="0"/>
    <n v="0"/>
    <n v="0"/>
    <n v="12"/>
    <n v="0"/>
    <n v="8"/>
    <n v="0"/>
    <n v="24"/>
    <n v="0"/>
    <n v="9"/>
    <n v="19"/>
    <n v="0"/>
    <n v="15"/>
    <n v="0"/>
    <n v="0"/>
    <n v="19"/>
    <n v="54"/>
    <n v="100"/>
  </r>
  <r>
    <x v="192"/>
    <x v="1"/>
    <x v="395"/>
    <n v="1989"/>
    <n v="28"/>
    <x v="3"/>
    <s v="Senegal"/>
    <n v="9000000"/>
    <n v="4500000"/>
    <x v="0"/>
    <n v="14"/>
    <n v="294"/>
    <x v="5"/>
    <n v="64"/>
    <x v="0"/>
    <x v="4"/>
    <x v="0"/>
    <n v="14"/>
    <n v="0"/>
    <n v="3"/>
    <n v="3"/>
    <n v="1"/>
    <n v="2"/>
    <n v="0"/>
    <n v="0"/>
    <n v="0"/>
    <n v="5"/>
    <n v="0"/>
    <n v="0"/>
    <n v="1"/>
    <n v="3"/>
    <n v="0"/>
    <n v="1"/>
    <n v="4"/>
    <n v="0"/>
    <n v="5"/>
    <n v="0"/>
    <n v="0"/>
    <n v="2"/>
    <n v="16"/>
    <n v="27"/>
  </r>
  <r>
    <x v="193"/>
    <x v="3"/>
    <x v="396"/>
    <n v="1994"/>
    <n v="22"/>
    <x v="12"/>
    <s v="Gabon"/>
    <n v="20700000"/>
    <n v="23400000"/>
    <x v="2"/>
    <n v="31"/>
    <n v="2519"/>
    <x v="0"/>
    <n v="1008"/>
    <x v="0"/>
    <x v="2"/>
    <x v="0"/>
    <n v="4"/>
    <n v="3"/>
    <n v="16"/>
    <n v="5"/>
    <n v="0"/>
    <n v="22"/>
    <n v="0"/>
    <n v="0"/>
    <n v="0"/>
    <n v="4"/>
    <n v="5"/>
    <n v="1"/>
    <n v="1"/>
    <n v="38"/>
    <n v="8"/>
    <n v="50"/>
    <n v="37"/>
    <n v="0"/>
    <n v="82"/>
    <n v="1"/>
    <n v="0"/>
    <n v="36"/>
    <n v="22"/>
    <n v="39"/>
  </r>
  <r>
    <x v="194"/>
    <x v="0"/>
    <x v="397"/>
    <n v="1988"/>
    <n v="26"/>
    <x v="1"/>
    <s v="Spain"/>
    <n v="45000000"/>
    <n v="40500000"/>
    <x v="0"/>
    <n v="28"/>
    <n v="2379"/>
    <x v="13"/>
    <n v="824"/>
    <x v="1"/>
    <x v="9"/>
    <x v="0"/>
    <n v="1"/>
    <n v="6"/>
    <n v="68"/>
    <n v="28"/>
    <n v="1"/>
    <n v="19"/>
    <n v="0"/>
    <n v="0"/>
    <n v="0"/>
    <n v="33"/>
    <n v="2"/>
    <n v="9"/>
    <n v="1"/>
    <n v="12"/>
    <n v="4"/>
    <n v="6"/>
    <n v="43"/>
    <n v="0"/>
    <n v="21"/>
    <n v="0"/>
    <n v="0"/>
    <n v="25"/>
    <n v="42"/>
    <n v="92"/>
  </r>
  <r>
    <x v="194"/>
    <x v="3"/>
    <x v="398"/>
    <n v="1988"/>
    <n v="27"/>
    <x v="1"/>
    <s v="Spain"/>
    <n v="40500000"/>
    <n v="45000000"/>
    <x v="0"/>
    <n v="35"/>
    <n v="3089"/>
    <x v="18"/>
    <n v="1034"/>
    <x v="4"/>
    <x v="7"/>
    <x v="0"/>
    <n v="0"/>
    <n v="8"/>
    <n v="111"/>
    <n v="42"/>
    <n v="4"/>
    <n v="30"/>
    <n v="2"/>
    <n v="0"/>
    <n v="0"/>
    <n v="26"/>
    <n v="12"/>
    <n v="12"/>
    <n v="2"/>
    <n v="9"/>
    <n v="3"/>
    <n v="7"/>
    <n v="43"/>
    <n v="0"/>
    <n v="18"/>
    <n v="0"/>
    <n v="0"/>
    <n v="39"/>
    <n v="44"/>
    <n v="110"/>
  </r>
  <r>
    <x v="195"/>
    <x v="2"/>
    <x v="399"/>
    <n v="1993"/>
    <n v="25"/>
    <x v="14"/>
    <s v="Spain"/>
    <n v="2250000"/>
    <n v="8100000"/>
    <x v="1"/>
    <n v="12"/>
    <n v="607"/>
    <x v="0"/>
    <n v="285"/>
    <x v="0"/>
    <x v="0"/>
    <x v="0"/>
    <n v="7"/>
    <n v="2"/>
    <n v="9"/>
    <n v="0"/>
    <n v="0"/>
    <n v="7"/>
    <n v="0"/>
    <n v="0"/>
    <n v="0"/>
    <n v="0"/>
    <n v="0"/>
    <n v="9"/>
    <n v="12"/>
    <n v="39"/>
    <n v="2"/>
    <n v="14"/>
    <n v="10"/>
    <n v="0"/>
    <n v="14"/>
    <n v="0"/>
    <n v="0"/>
    <n v="17"/>
    <n v="7"/>
    <n v="9"/>
  </r>
  <r>
    <x v="196"/>
    <x v="0"/>
    <x v="400"/>
    <n v="1985"/>
    <n v="30"/>
    <x v="21"/>
    <s v="The Democratic Republic Of Congo"/>
    <n v="12100000"/>
    <n v="6300000"/>
    <x v="0"/>
    <n v="29"/>
    <n v="1588"/>
    <x v="8"/>
    <n v="484"/>
    <x v="3"/>
    <x v="0"/>
    <x v="0"/>
    <n v="14"/>
    <n v="5"/>
    <n v="37"/>
    <n v="20"/>
    <n v="1"/>
    <n v="17"/>
    <n v="1"/>
    <n v="0"/>
    <n v="0"/>
    <n v="29"/>
    <n v="0"/>
    <n v="6"/>
    <n v="0"/>
    <n v="8"/>
    <n v="1"/>
    <n v="3"/>
    <n v="17"/>
    <n v="0"/>
    <n v="11"/>
    <n v="0"/>
    <n v="0"/>
    <n v="22"/>
    <n v="119"/>
    <n v="141"/>
  </r>
  <r>
    <x v="196"/>
    <x v="3"/>
    <x v="401"/>
    <n v="1985"/>
    <n v="31"/>
    <x v="10"/>
    <s v="The Democratic Republic Of Congo"/>
    <n v="6300000"/>
    <n v="4500000"/>
    <x v="0"/>
    <n v="12"/>
    <n v="763"/>
    <x v="0"/>
    <n v="172"/>
    <x v="3"/>
    <x v="0"/>
    <x v="0"/>
    <n v="4"/>
    <n v="3"/>
    <n v="14"/>
    <n v="4"/>
    <n v="0"/>
    <n v="4"/>
    <n v="0"/>
    <n v="0"/>
    <n v="0"/>
    <n v="12"/>
    <n v="1"/>
    <n v="0"/>
    <n v="0"/>
    <n v="3"/>
    <n v="2"/>
    <n v="1"/>
    <n v="14"/>
    <n v="0"/>
    <n v="3"/>
    <n v="0"/>
    <n v="0"/>
    <n v="5"/>
    <n v="39"/>
    <n v="61"/>
  </r>
  <r>
    <x v="197"/>
    <x v="0"/>
    <x v="402"/>
    <n v="1987"/>
    <n v="28"/>
    <x v="3"/>
    <s v="France"/>
    <n v="14300000"/>
    <n v="20700000"/>
    <x v="0"/>
    <n v="30"/>
    <n v="2571"/>
    <x v="3"/>
    <n v="1269"/>
    <x v="12"/>
    <x v="6"/>
    <x v="0"/>
    <n v="1"/>
    <n v="6"/>
    <n v="69"/>
    <n v="28"/>
    <n v="2"/>
    <n v="2"/>
    <n v="0"/>
    <n v="0"/>
    <n v="2"/>
    <n v="3"/>
    <n v="19"/>
    <n v="1"/>
    <n v="159"/>
    <n v="290"/>
    <n v="0"/>
    <n v="23"/>
    <n v="13"/>
    <n v="0"/>
    <n v="24"/>
    <n v="1"/>
    <n v="0"/>
    <n v="2"/>
    <n v="2"/>
    <n v="10"/>
  </r>
  <r>
    <x v="197"/>
    <x v="3"/>
    <x v="403"/>
    <n v="1987"/>
    <n v="29"/>
    <x v="3"/>
    <s v="France"/>
    <n v="16200000"/>
    <n v="31500000"/>
    <x v="2"/>
    <n v="18"/>
    <n v="1513"/>
    <x v="5"/>
    <n v="763"/>
    <x v="1"/>
    <x v="4"/>
    <x v="0"/>
    <n v="1"/>
    <n v="5"/>
    <n v="55"/>
    <n v="15"/>
    <n v="3"/>
    <n v="0"/>
    <n v="0"/>
    <n v="0"/>
    <n v="1"/>
    <n v="0"/>
    <n v="8"/>
    <n v="2"/>
    <n v="85"/>
    <n v="156"/>
    <n v="0"/>
    <n v="5"/>
    <n v="7"/>
    <n v="0"/>
    <n v="9"/>
    <n v="0"/>
    <n v="0"/>
    <n v="5"/>
    <n v="3"/>
    <n v="7"/>
  </r>
  <r>
    <x v="198"/>
    <x v="2"/>
    <x v="404"/>
    <n v="1999"/>
    <n v="19"/>
    <x v="22"/>
    <s v="Portugal"/>
    <n v="13500000"/>
    <n v="18000000"/>
    <x v="1"/>
    <n v="16"/>
    <n v="1014"/>
    <x v="0"/>
    <n v="423"/>
    <x v="5"/>
    <x v="6"/>
    <x v="0"/>
    <n v="4"/>
    <n v="6"/>
    <n v="15"/>
    <n v="0"/>
    <n v="0"/>
    <n v="12"/>
    <n v="0"/>
    <n v="0"/>
    <n v="0"/>
    <n v="2"/>
    <n v="0"/>
    <n v="15"/>
    <n v="3"/>
    <n v="50"/>
    <n v="2"/>
    <n v="10"/>
    <n v="12"/>
    <n v="0"/>
    <n v="24"/>
    <n v="0"/>
    <n v="0"/>
    <n v="30"/>
    <n v="22"/>
    <n v="5"/>
  </r>
  <r>
    <x v="199"/>
    <x v="2"/>
    <x v="405"/>
    <n v="1996"/>
    <n v="21"/>
    <x v="16"/>
    <s v="Portugal"/>
    <n v="110000"/>
    <n v="3850000"/>
    <x v="2"/>
    <n v="33"/>
    <n v="2368"/>
    <x v="3"/>
    <n v="745"/>
    <x v="8"/>
    <x v="12"/>
    <x v="0"/>
    <n v="4"/>
    <n v="20"/>
    <n v="58"/>
    <n v="24"/>
    <n v="3"/>
    <n v="9"/>
    <n v="0"/>
    <n v="0"/>
    <n v="0"/>
    <n v="6"/>
    <n v="3"/>
    <n v="34"/>
    <n v="0"/>
    <n v="36"/>
    <n v="1"/>
    <n v="13"/>
    <n v="42"/>
    <n v="0"/>
    <n v="28"/>
    <n v="0"/>
    <n v="0"/>
    <n v="11"/>
    <n v="27"/>
    <n v="71"/>
  </r>
  <r>
    <x v="200"/>
    <x v="0"/>
    <x v="406"/>
    <n v="1995"/>
    <n v="20"/>
    <x v="13"/>
    <s v="Belgium"/>
    <n v="9900000"/>
    <n v="9900000"/>
    <x v="0"/>
    <n v="16"/>
    <n v="666"/>
    <x v="2"/>
    <n v="164"/>
    <x v="3"/>
    <x v="0"/>
    <x v="0"/>
    <n v="9"/>
    <n v="5"/>
    <n v="24"/>
    <n v="12"/>
    <n v="1"/>
    <n v="0"/>
    <n v="2"/>
    <n v="0"/>
    <n v="0"/>
    <n v="10"/>
    <n v="0"/>
    <n v="3"/>
    <n v="0"/>
    <n v="14"/>
    <n v="0"/>
    <n v="0"/>
    <n v="11"/>
    <n v="0"/>
    <n v="5"/>
    <n v="0"/>
    <n v="0"/>
    <n v="1"/>
    <n v="7"/>
    <n v="29"/>
  </r>
  <r>
    <x v="200"/>
    <x v="3"/>
    <x v="407"/>
    <n v="1995"/>
    <n v="21"/>
    <x v="13"/>
    <s v="Belgium"/>
    <n v="9900000"/>
    <n v="10800000"/>
    <x v="0"/>
    <n v="34"/>
    <n v="1459"/>
    <x v="8"/>
    <n v="391"/>
    <x v="6"/>
    <x v="0"/>
    <x v="0"/>
    <n v="20"/>
    <n v="9"/>
    <n v="38"/>
    <n v="15"/>
    <n v="2"/>
    <n v="1"/>
    <n v="1"/>
    <n v="0"/>
    <n v="0"/>
    <n v="13"/>
    <n v="0"/>
    <n v="4"/>
    <n v="0"/>
    <n v="31"/>
    <n v="2"/>
    <n v="3"/>
    <n v="22"/>
    <n v="0"/>
    <n v="11"/>
    <n v="0"/>
    <n v="0"/>
    <n v="2"/>
    <n v="31"/>
    <n v="89"/>
  </r>
  <r>
    <x v="200"/>
    <x v="2"/>
    <x v="408"/>
    <n v="1995"/>
    <n v="23"/>
    <x v="13"/>
    <s v="Belgium"/>
    <n v="9000000"/>
    <n v="18000000"/>
    <x v="0"/>
    <n v="12"/>
    <n v="367"/>
    <x v="7"/>
    <n v="108"/>
    <x v="3"/>
    <x v="0"/>
    <x v="0"/>
    <n v="8"/>
    <n v="3"/>
    <n v="13"/>
    <n v="6"/>
    <n v="1"/>
    <n v="0"/>
    <n v="2"/>
    <n v="0"/>
    <n v="0"/>
    <n v="3"/>
    <n v="0"/>
    <n v="7"/>
    <n v="0"/>
    <n v="5"/>
    <n v="0"/>
    <n v="0"/>
    <n v="2"/>
    <n v="0"/>
    <n v="6"/>
    <n v="0"/>
    <n v="0"/>
    <n v="0"/>
    <n v="4"/>
    <n v="12"/>
  </r>
  <r>
    <x v="201"/>
    <x v="3"/>
    <x v="409"/>
    <n v="1997"/>
    <n v="19"/>
    <x v="4"/>
    <s v="England"/>
    <n v="16500000"/>
    <n v="22000000"/>
    <x v="2"/>
    <n v="11"/>
    <n v="345"/>
    <x v="4"/>
    <n v="87"/>
    <x v="0"/>
    <x v="3"/>
    <x v="0"/>
    <n v="6"/>
    <n v="5"/>
    <n v="7"/>
    <n v="1"/>
    <n v="1"/>
    <n v="5"/>
    <n v="0"/>
    <n v="0"/>
    <n v="0"/>
    <n v="1"/>
    <n v="0"/>
    <n v="1"/>
    <n v="0"/>
    <n v="0"/>
    <n v="1"/>
    <n v="5"/>
    <n v="4"/>
    <n v="0"/>
    <n v="7"/>
    <n v="0"/>
    <n v="0"/>
    <n v="7"/>
    <n v="17"/>
    <n v="6"/>
  </r>
  <r>
    <x v="201"/>
    <x v="2"/>
    <x v="410"/>
    <n v="1997"/>
    <n v="21"/>
    <x v="4"/>
    <s v="England"/>
    <n v="3850000"/>
    <n v="16500000"/>
    <x v="2"/>
    <n v="35"/>
    <n v="1775"/>
    <x v="14"/>
    <n v="430"/>
    <x v="5"/>
    <x v="6"/>
    <x v="0"/>
    <n v="16"/>
    <n v="6"/>
    <n v="52"/>
    <n v="16"/>
    <n v="1"/>
    <n v="14"/>
    <n v="4"/>
    <n v="0"/>
    <n v="0"/>
    <n v="6"/>
    <n v="3"/>
    <n v="36"/>
    <n v="0"/>
    <n v="8"/>
    <n v="3"/>
    <n v="8"/>
    <n v="34"/>
    <n v="0"/>
    <n v="13"/>
    <n v="0"/>
    <n v="0"/>
    <n v="19"/>
    <n v="112"/>
    <n v="150"/>
  </r>
  <r>
    <x v="201"/>
    <x v="1"/>
    <x v="411"/>
    <n v="1997"/>
    <n v="20"/>
    <x v="4"/>
    <s v="England"/>
    <n v="2500000"/>
    <n v="3000000"/>
    <x v="2"/>
    <n v="32"/>
    <n v="1875"/>
    <x v="6"/>
    <n v="493"/>
    <x v="1"/>
    <x v="5"/>
    <x v="0"/>
    <n v="14"/>
    <n v="5"/>
    <n v="43"/>
    <n v="17"/>
    <n v="0"/>
    <n v="13"/>
    <n v="2"/>
    <n v="0"/>
    <n v="0"/>
    <n v="15"/>
    <n v="1"/>
    <n v="26"/>
    <n v="0"/>
    <n v="19"/>
    <n v="1"/>
    <n v="10"/>
    <n v="43"/>
    <n v="0"/>
    <n v="15"/>
    <n v="1"/>
    <n v="0"/>
    <n v="22"/>
    <n v="135"/>
    <n v="170"/>
  </r>
  <r>
    <x v="202"/>
    <x v="1"/>
    <x v="412"/>
    <n v="1997"/>
    <n v="20"/>
    <x v="13"/>
    <s v="England"/>
    <n v="3300000"/>
    <n v="7200000"/>
    <x v="0"/>
    <n v="21"/>
    <n v="583"/>
    <x v="4"/>
    <n v="197"/>
    <x v="3"/>
    <x v="0"/>
    <x v="0"/>
    <n v="16"/>
    <n v="2"/>
    <n v="22"/>
    <n v="8"/>
    <n v="1"/>
    <n v="4"/>
    <n v="0"/>
    <n v="0"/>
    <n v="0"/>
    <n v="0"/>
    <n v="3"/>
    <n v="14"/>
    <n v="0"/>
    <n v="3"/>
    <n v="1"/>
    <n v="2"/>
    <n v="13"/>
    <n v="0"/>
    <n v="7"/>
    <n v="0"/>
    <n v="0"/>
    <n v="7"/>
    <n v="21"/>
    <n v="38"/>
  </r>
  <r>
    <x v="202"/>
    <x v="2"/>
    <x v="413"/>
    <n v="1997"/>
    <n v="20"/>
    <x v="14"/>
    <s v="England"/>
    <n v="7200000"/>
    <n v="9000000"/>
    <x v="0"/>
    <n v="10"/>
    <n v="340"/>
    <x v="0"/>
    <n v="99"/>
    <x v="0"/>
    <x v="0"/>
    <x v="0"/>
    <n v="8"/>
    <n v="2"/>
    <n v="11"/>
    <n v="3"/>
    <n v="0"/>
    <n v="4"/>
    <n v="0"/>
    <n v="0"/>
    <n v="0"/>
    <n v="1"/>
    <n v="1"/>
    <n v="8"/>
    <n v="0"/>
    <n v="0"/>
    <n v="1"/>
    <n v="2"/>
    <n v="2"/>
    <n v="0"/>
    <n v="8"/>
    <n v="0"/>
    <n v="0"/>
    <n v="9"/>
    <n v="15"/>
    <n v="24"/>
  </r>
  <r>
    <x v="203"/>
    <x v="3"/>
    <x v="414"/>
    <n v="1994"/>
    <n v="21"/>
    <x v="12"/>
    <s v="Scotland"/>
    <n v="1100000"/>
    <n v="1100000"/>
    <x v="1"/>
    <n v="12"/>
    <n v="607"/>
    <x v="0"/>
    <n v="215"/>
    <x v="3"/>
    <x v="3"/>
    <x v="0"/>
    <n v="6"/>
    <n v="1"/>
    <n v="2"/>
    <n v="1"/>
    <n v="0"/>
    <n v="9"/>
    <n v="0"/>
    <n v="0"/>
    <n v="0"/>
    <n v="0"/>
    <n v="1"/>
    <n v="0"/>
    <n v="0"/>
    <n v="20"/>
    <n v="7"/>
    <n v="15"/>
    <n v="9"/>
    <n v="0"/>
    <n v="20"/>
    <n v="0"/>
    <n v="0"/>
    <n v="24"/>
    <n v="9"/>
    <n v="17"/>
  </r>
  <r>
    <x v="204"/>
    <x v="0"/>
    <x v="415"/>
    <n v="1994"/>
    <n v="21"/>
    <x v="12"/>
    <s v="England"/>
    <n v="1000000"/>
    <n v="2250000"/>
    <x v="0"/>
    <n v="23"/>
    <n v="907"/>
    <x v="7"/>
    <n v="156"/>
    <x v="0"/>
    <x v="0"/>
    <x v="0"/>
    <n v="16"/>
    <n v="3"/>
    <n v="14"/>
    <n v="8"/>
    <n v="0"/>
    <n v="3"/>
    <n v="0"/>
    <n v="0"/>
    <n v="0"/>
    <n v="9"/>
    <n v="0"/>
    <n v="2"/>
    <n v="0"/>
    <n v="23"/>
    <n v="0"/>
    <n v="2"/>
    <n v="5"/>
    <n v="0"/>
    <n v="7"/>
    <n v="0"/>
    <n v="0"/>
    <n v="4"/>
    <n v="5"/>
    <n v="17"/>
  </r>
  <r>
    <x v="204"/>
    <x v="3"/>
    <x v="416"/>
    <n v="1994"/>
    <n v="22"/>
    <x v="12"/>
    <s v="England"/>
    <n v="2200000"/>
    <n v="15000000"/>
    <x v="2"/>
    <n v="14"/>
    <n v="1028"/>
    <x v="0"/>
    <n v="192"/>
    <x v="5"/>
    <x v="3"/>
    <x v="0"/>
    <n v="3"/>
    <n v="8"/>
    <n v="16"/>
    <n v="4"/>
    <n v="0"/>
    <n v="2"/>
    <n v="0"/>
    <n v="0"/>
    <n v="0"/>
    <n v="4"/>
    <n v="2"/>
    <n v="0"/>
    <n v="0"/>
    <n v="22"/>
    <n v="2"/>
    <n v="8"/>
    <n v="10"/>
    <n v="0"/>
    <n v="13"/>
    <n v="0"/>
    <n v="0"/>
    <n v="6"/>
    <n v="8"/>
    <n v="24"/>
  </r>
  <r>
    <x v="205"/>
    <x v="0"/>
    <x v="417"/>
    <n v="1988"/>
    <n v="27"/>
    <x v="27"/>
    <s v="Serbia"/>
    <n v="13500000"/>
    <n v="15300000"/>
    <x v="0"/>
    <n v="34"/>
    <n v="2290"/>
    <x v="8"/>
    <n v="872"/>
    <x v="12"/>
    <x v="4"/>
    <x v="0"/>
    <n v="7"/>
    <n v="19"/>
    <n v="56"/>
    <n v="16"/>
    <n v="0"/>
    <n v="3"/>
    <n v="0"/>
    <n v="1"/>
    <n v="0"/>
    <n v="9"/>
    <n v="8"/>
    <n v="4"/>
    <n v="40"/>
    <n v="201"/>
    <n v="0"/>
    <n v="24"/>
    <n v="25"/>
    <n v="0"/>
    <n v="37"/>
    <n v="0"/>
    <n v="0"/>
    <n v="18"/>
    <n v="9"/>
    <n v="20"/>
  </r>
  <r>
    <x v="205"/>
    <x v="3"/>
    <x v="418"/>
    <n v="1988"/>
    <n v="28"/>
    <x v="27"/>
    <s v="Serbia"/>
    <n v="15300000"/>
    <n v="15300000"/>
    <x v="0"/>
    <n v="33"/>
    <n v="2426"/>
    <x v="7"/>
    <n v="1061"/>
    <x v="8"/>
    <x v="5"/>
    <x v="0"/>
    <n v="3"/>
    <n v="19"/>
    <n v="63"/>
    <n v="21"/>
    <n v="2"/>
    <n v="2"/>
    <n v="0"/>
    <n v="1"/>
    <n v="0"/>
    <n v="9"/>
    <n v="20"/>
    <n v="6"/>
    <n v="65"/>
    <n v="184"/>
    <n v="2"/>
    <n v="17"/>
    <n v="30"/>
    <n v="0"/>
    <n v="19"/>
    <n v="0"/>
    <n v="0"/>
    <n v="10"/>
    <n v="4"/>
    <n v="14"/>
  </r>
  <r>
    <x v="205"/>
    <x v="1"/>
    <x v="419"/>
    <n v="1988"/>
    <n v="29"/>
    <x v="27"/>
    <s v="Serbia"/>
    <n v="15300000"/>
    <n v="13500000"/>
    <x v="0"/>
    <n v="36"/>
    <n v="2810"/>
    <x v="14"/>
    <n v="1111"/>
    <x v="6"/>
    <x v="5"/>
    <x v="0"/>
    <n v="2"/>
    <n v="23"/>
    <n v="40"/>
    <n v="16"/>
    <n v="0"/>
    <n v="5"/>
    <n v="0"/>
    <n v="1"/>
    <n v="0"/>
    <n v="10"/>
    <n v="14"/>
    <n v="24"/>
    <n v="31"/>
    <n v="121"/>
    <n v="2"/>
    <n v="19"/>
    <n v="46"/>
    <n v="0"/>
    <n v="46"/>
    <n v="1"/>
    <n v="0"/>
    <n v="18"/>
    <n v="8"/>
    <n v="42"/>
  </r>
  <r>
    <x v="206"/>
    <x v="0"/>
    <x v="420"/>
    <n v="1990"/>
    <n v="24"/>
    <x v="8"/>
    <s v="England"/>
    <n v="4400000"/>
    <n v="5400000"/>
    <x v="0"/>
    <n v="16"/>
    <n v="768"/>
    <x v="7"/>
    <n v="144"/>
    <x v="0"/>
    <x v="3"/>
    <x v="1"/>
    <n v="8"/>
    <n v="5"/>
    <n v="22"/>
    <n v="9"/>
    <n v="1"/>
    <n v="1"/>
    <n v="0"/>
    <n v="0"/>
    <n v="1"/>
    <n v="2"/>
    <n v="0"/>
    <n v="5"/>
    <n v="0"/>
    <n v="9"/>
    <n v="0"/>
    <n v="3"/>
    <n v="20"/>
    <n v="0"/>
    <n v="11"/>
    <n v="0"/>
    <n v="0"/>
    <n v="3"/>
    <n v="22"/>
    <n v="35"/>
  </r>
  <r>
    <x v="206"/>
    <x v="1"/>
    <x v="421"/>
    <n v="1990"/>
    <n v="27"/>
    <x v="20"/>
    <s v="England"/>
    <n v="11000000"/>
    <n v="11000000"/>
    <x v="0"/>
    <n v="35"/>
    <n v="1961"/>
    <x v="14"/>
    <n v="433"/>
    <x v="6"/>
    <x v="6"/>
    <x v="0"/>
    <n v="12"/>
    <n v="15"/>
    <n v="57"/>
    <n v="21"/>
    <n v="1"/>
    <n v="10"/>
    <n v="1"/>
    <n v="0"/>
    <n v="0"/>
    <n v="22"/>
    <n v="4"/>
    <n v="36"/>
    <n v="0"/>
    <n v="5"/>
    <n v="2"/>
    <n v="6"/>
    <n v="23"/>
    <n v="0"/>
    <n v="12"/>
    <n v="0"/>
    <n v="0"/>
    <n v="17"/>
    <n v="67"/>
    <n v="92"/>
  </r>
  <r>
    <x v="207"/>
    <x v="2"/>
    <x v="422"/>
    <n v="1999"/>
    <n v="18"/>
    <x v="5"/>
    <s v="England"/>
    <n v="4950000"/>
    <n v="5500000"/>
    <x v="2"/>
    <n v="21"/>
    <n v="1597"/>
    <x v="7"/>
    <n v="453"/>
    <x v="8"/>
    <x v="4"/>
    <x v="0"/>
    <n v="2"/>
    <n v="10"/>
    <n v="27"/>
    <n v="6"/>
    <n v="1"/>
    <n v="14"/>
    <n v="0"/>
    <n v="0"/>
    <n v="0"/>
    <n v="1"/>
    <n v="4"/>
    <n v="21"/>
    <n v="22"/>
    <n v="117"/>
    <n v="3"/>
    <n v="13"/>
    <n v="15"/>
    <n v="0"/>
    <n v="36"/>
    <n v="0"/>
    <n v="0"/>
    <n v="32"/>
    <n v="21"/>
    <n v="23"/>
  </r>
  <r>
    <x v="208"/>
    <x v="0"/>
    <x v="423"/>
    <n v="1991"/>
    <n v="24"/>
    <x v="1"/>
    <s v="Belgium"/>
    <n v="66000000"/>
    <n v="58500000"/>
    <x v="0"/>
    <n v="24"/>
    <n v="2190"/>
    <x v="6"/>
    <n v="1415"/>
    <x v="6"/>
    <x v="4"/>
    <x v="0"/>
    <n v="6"/>
    <n v="6"/>
    <n v="36"/>
    <n v="14"/>
    <n v="0"/>
    <n v="4"/>
    <n v="0"/>
    <n v="0"/>
    <n v="0"/>
    <n v="10"/>
    <n v="7"/>
    <n v="1"/>
    <n v="7"/>
    <n v="44"/>
    <n v="1"/>
    <n v="13"/>
    <n v="15"/>
    <n v="0"/>
    <n v="21"/>
    <n v="0"/>
    <n v="0"/>
    <n v="4"/>
    <n v="11"/>
    <n v="23"/>
  </r>
  <r>
    <x v="208"/>
    <x v="3"/>
    <x v="424"/>
    <n v="1991"/>
    <n v="25"/>
    <x v="1"/>
    <s v="Belgium"/>
    <n v="58500000"/>
    <n v="67500000"/>
    <x v="0"/>
    <n v="36"/>
    <n v="3002"/>
    <x v="19"/>
    <n v="1750"/>
    <x v="8"/>
    <x v="6"/>
    <x v="0"/>
    <n v="0"/>
    <n v="25"/>
    <n v="77"/>
    <n v="33"/>
    <n v="0"/>
    <n v="0"/>
    <n v="0"/>
    <n v="2"/>
    <n v="0"/>
    <n v="8"/>
    <n v="6"/>
    <n v="9"/>
    <n v="46"/>
    <n v="84"/>
    <n v="0"/>
    <n v="28"/>
    <n v="19"/>
    <n v="0"/>
    <n v="18"/>
    <n v="0"/>
    <n v="0"/>
    <n v="4"/>
    <n v="20"/>
    <n v="34"/>
  </r>
  <r>
    <x v="208"/>
    <x v="1"/>
    <x v="425"/>
    <n v="1991"/>
    <n v="26"/>
    <x v="1"/>
    <s v="Belgium"/>
    <n v="67500000"/>
    <n v="99000000"/>
    <x v="0"/>
    <n v="34"/>
    <n v="2432"/>
    <x v="13"/>
    <n v="1369"/>
    <x v="2"/>
    <x v="4"/>
    <x v="0"/>
    <n v="6"/>
    <n v="17"/>
    <n v="71"/>
    <n v="37"/>
    <n v="0"/>
    <n v="0"/>
    <n v="0"/>
    <n v="2"/>
    <n v="0"/>
    <n v="16"/>
    <n v="4"/>
    <n v="34"/>
    <n v="25"/>
    <n v="51"/>
    <n v="0"/>
    <n v="3"/>
    <n v="13"/>
    <n v="0"/>
    <n v="6"/>
    <n v="0"/>
    <n v="0"/>
    <n v="0"/>
    <n v="8"/>
    <n v="19"/>
  </r>
  <r>
    <x v="208"/>
    <x v="2"/>
    <x v="426"/>
    <n v="1991"/>
    <n v="27"/>
    <x v="1"/>
    <s v="Belgium"/>
    <n v="99000000"/>
    <n v="135000000"/>
    <x v="0"/>
    <n v="37"/>
    <n v="2925"/>
    <x v="19"/>
    <n v="1819"/>
    <x v="14"/>
    <x v="4"/>
    <x v="0"/>
    <n v="5"/>
    <n v="8"/>
    <n v="93"/>
    <n v="43"/>
    <n v="3"/>
    <n v="3"/>
    <n v="0"/>
    <n v="4"/>
    <n v="0"/>
    <n v="11"/>
    <n v="13"/>
    <n v="50"/>
    <n v="92"/>
    <n v="145"/>
    <n v="0"/>
    <n v="13"/>
    <n v="12"/>
    <n v="0"/>
    <n v="14"/>
    <n v="0"/>
    <n v="0"/>
    <n v="4"/>
    <n v="20"/>
    <n v="33"/>
  </r>
  <r>
    <x v="209"/>
    <x v="3"/>
    <x v="427"/>
    <n v="1996"/>
    <n v="20"/>
    <x v="3"/>
    <s v="Switzerland"/>
    <n v="5500000"/>
    <n v="5500000"/>
    <x v="2"/>
    <n v="28"/>
    <n v="986"/>
    <x v="0"/>
    <n v="473"/>
    <x v="0"/>
    <x v="5"/>
    <x v="0"/>
    <n v="20"/>
    <n v="3"/>
    <n v="20"/>
    <n v="4"/>
    <n v="1"/>
    <n v="4"/>
    <n v="0"/>
    <n v="0"/>
    <n v="0"/>
    <n v="1"/>
    <n v="0"/>
    <n v="0"/>
    <n v="0"/>
    <n v="11"/>
    <n v="2"/>
    <n v="19"/>
    <n v="16"/>
    <n v="0"/>
    <n v="22"/>
    <n v="0"/>
    <n v="0"/>
    <n v="10"/>
    <n v="3"/>
    <n v="12"/>
  </r>
  <r>
    <x v="209"/>
    <x v="1"/>
    <x v="428"/>
    <n v="1996"/>
    <n v="21"/>
    <x v="3"/>
    <s v="Switzerland"/>
    <n v="16500000"/>
    <n v="19800000"/>
    <x v="2"/>
    <n v="14"/>
    <n v="845"/>
    <x v="0"/>
    <n v="268"/>
    <x v="3"/>
    <x v="3"/>
    <x v="0"/>
    <n v="5"/>
    <n v="6"/>
    <n v="1"/>
    <n v="1"/>
    <n v="0"/>
    <n v="1"/>
    <n v="0"/>
    <n v="0"/>
    <n v="0"/>
    <n v="0"/>
    <n v="0"/>
    <n v="0"/>
    <n v="0"/>
    <n v="7"/>
    <n v="1"/>
    <n v="16"/>
    <n v="5"/>
    <n v="0"/>
    <n v="17"/>
    <n v="0"/>
    <n v="0"/>
    <n v="4"/>
    <n v="10"/>
    <n v="16"/>
  </r>
  <r>
    <x v="210"/>
    <x v="0"/>
    <x v="429"/>
    <n v="1991"/>
    <n v="24"/>
    <x v="19"/>
    <s v="France"/>
    <n v="25200000"/>
    <n v="20600000"/>
    <x v="1"/>
    <n v="22"/>
    <n v="2010"/>
    <x v="0"/>
    <n v="1003"/>
    <x v="0"/>
    <x v="9"/>
    <x v="0"/>
    <n v="0"/>
    <n v="2"/>
    <n v="7"/>
    <n v="1"/>
    <n v="0"/>
    <n v="55"/>
    <n v="0"/>
    <n v="0"/>
    <n v="0"/>
    <n v="0"/>
    <n v="0"/>
    <n v="0"/>
    <n v="0"/>
    <n v="2"/>
    <n v="7"/>
    <n v="66"/>
    <n v="36"/>
    <n v="2"/>
    <n v="32"/>
    <n v="1"/>
    <n v="0"/>
    <n v="120"/>
    <n v="41"/>
    <n v="21"/>
  </r>
  <r>
    <x v="210"/>
    <x v="1"/>
    <x v="430"/>
    <n v="1991"/>
    <n v="26"/>
    <x v="19"/>
    <s v="France"/>
    <n v="13500000"/>
    <n v="13500000"/>
    <x v="1"/>
    <n v="11"/>
    <n v="618"/>
    <x v="0"/>
    <n v="413"/>
    <x v="0"/>
    <x v="0"/>
    <x v="0"/>
    <n v="5"/>
    <n v="1"/>
    <n v="0"/>
    <n v="0"/>
    <n v="0"/>
    <n v="12"/>
    <n v="0"/>
    <n v="0"/>
    <n v="0"/>
    <n v="0"/>
    <n v="1"/>
    <n v="0"/>
    <n v="0"/>
    <n v="0"/>
    <n v="3"/>
    <n v="3"/>
    <n v="3"/>
    <n v="0"/>
    <n v="7"/>
    <n v="1"/>
    <n v="0"/>
    <n v="28"/>
    <n v="14"/>
    <n v="14"/>
  </r>
  <r>
    <x v="211"/>
    <x v="1"/>
    <x v="431"/>
    <n v="1992"/>
    <n v="25"/>
    <x v="6"/>
    <s v="The Democratic Republic Of Congo"/>
    <n v="3150000"/>
    <n v="3150000"/>
    <x v="0"/>
    <n v="19"/>
    <n v="1338"/>
    <x v="4"/>
    <n v="339"/>
    <x v="3"/>
    <x v="3"/>
    <x v="0"/>
    <n v="2"/>
    <n v="11"/>
    <n v="12"/>
    <n v="5"/>
    <n v="0"/>
    <n v="3"/>
    <n v="0"/>
    <n v="0"/>
    <n v="0"/>
    <n v="5"/>
    <n v="1"/>
    <n v="7"/>
    <n v="0"/>
    <n v="24"/>
    <n v="1"/>
    <n v="2"/>
    <n v="20"/>
    <n v="0"/>
    <n v="30"/>
    <n v="0"/>
    <n v="0"/>
    <n v="7"/>
    <n v="17"/>
    <n v="35"/>
  </r>
  <r>
    <x v="211"/>
    <x v="2"/>
    <x v="432"/>
    <n v="1992"/>
    <n v="26"/>
    <x v="6"/>
    <s v="The Democratic Republic Of Congo"/>
    <n v="3150000"/>
    <n v="2700000"/>
    <x v="0"/>
    <n v="20"/>
    <n v="1181"/>
    <x v="0"/>
    <n v="296"/>
    <x v="0"/>
    <x v="4"/>
    <x v="0"/>
    <n v="7"/>
    <n v="6"/>
    <n v="14"/>
    <n v="3"/>
    <n v="0"/>
    <n v="5"/>
    <n v="0"/>
    <n v="0"/>
    <n v="0"/>
    <n v="9"/>
    <n v="0"/>
    <n v="11"/>
    <n v="0"/>
    <n v="15"/>
    <n v="1"/>
    <n v="4"/>
    <n v="24"/>
    <n v="0"/>
    <n v="22"/>
    <n v="0"/>
    <n v="0"/>
    <n v="9"/>
    <n v="23"/>
    <n v="30"/>
  </r>
  <r>
    <x v="212"/>
    <x v="2"/>
    <x v="433"/>
    <n v="1994"/>
    <n v="24"/>
    <x v="1"/>
    <s v="Italy"/>
    <n v="18000000"/>
    <n v="13500000"/>
    <x v="1"/>
    <n v="10"/>
    <n v="660"/>
    <x v="0"/>
    <n v="436"/>
    <x v="0"/>
    <x v="0"/>
    <x v="0"/>
    <n v="3"/>
    <n v="0"/>
    <n v="5"/>
    <n v="1"/>
    <n v="0"/>
    <n v="3"/>
    <n v="0"/>
    <n v="0"/>
    <n v="0"/>
    <n v="0"/>
    <n v="2"/>
    <n v="4"/>
    <n v="0"/>
    <n v="28"/>
    <n v="1"/>
    <n v="8"/>
    <n v="8"/>
    <n v="0"/>
    <n v="14"/>
    <n v="0"/>
    <n v="0"/>
    <n v="8"/>
    <n v="5"/>
    <n v="9"/>
  </r>
  <r>
    <x v="213"/>
    <x v="0"/>
    <x v="434"/>
    <n v="1984"/>
    <n v="31"/>
    <x v="8"/>
    <s v="Togo"/>
    <n v="5500000"/>
    <n v="2250000"/>
    <x v="0"/>
    <n v="12"/>
    <n v="616"/>
    <x v="4"/>
    <n v="230"/>
    <x v="3"/>
    <x v="3"/>
    <x v="0"/>
    <n v="5"/>
    <n v="5"/>
    <n v="12"/>
    <n v="4"/>
    <n v="1"/>
    <n v="4"/>
    <n v="1"/>
    <n v="0"/>
    <n v="0"/>
    <n v="11"/>
    <n v="0"/>
    <n v="2"/>
    <n v="0"/>
    <n v="6"/>
    <n v="0"/>
    <n v="1"/>
    <n v="10"/>
    <n v="0"/>
    <n v="2"/>
    <n v="0"/>
    <n v="0"/>
    <n v="7"/>
    <n v="20"/>
    <n v="43"/>
  </r>
  <r>
    <x v="214"/>
    <x v="0"/>
    <x v="435"/>
    <n v="1987"/>
    <n v="28"/>
    <x v="3"/>
    <s v="Nigeria"/>
    <n v="11000000"/>
    <n v="9000000"/>
    <x v="0"/>
    <n v="13"/>
    <n v="509"/>
    <x v="0"/>
    <n v="142"/>
    <x v="0"/>
    <x v="0"/>
    <x v="0"/>
    <n v="8"/>
    <n v="4"/>
    <n v="10"/>
    <n v="0"/>
    <n v="0"/>
    <n v="3"/>
    <n v="0"/>
    <n v="0"/>
    <n v="0"/>
    <n v="7"/>
    <n v="0"/>
    <n v="2"/>
    <n v="0"/>
    <n v="6"/>
    <n v="1"/>
    <n v="1"/>
    <n v="5"/>
    <n v="0"/>
    <n v="5"/>
    <n v="0"/>
    <n v="0"/>
    <n v="4"/>
    <n v="10"/>
    <n v="29"/>
  </r>
  <r>
    <x v="215"/>
    <x v="0"/>
    <x v="436"/>
    <n v="1994"/>
    <n v="21"/>
    <x v="13"/>
    <s v="Germany"/>
    <n v="19800000"/>
    <n v="16500000"/>
    <x v="2"/>
    <n v="30"/>
    <n v="2492"/>
    <x v="4"/>
    <n v="1793"/>
    <x v="0"/>
    <x v="10"/>
    <x v="0"/>
    <n v="2"/>
    <n v="4"/>
    <n v="30"/>
    <n v="13"/>
    <n v="1"/>
    <n v="18"/>
    <n v="0"/>
    <n v="0"/>
    <n v="0"/>
    <n v="5"/>
    <n v="6"/>
    <n v="0"/>
    <n v="0"/>
    <n v="9"/>
    <n v="9"/>
    <n v="62"/>
    <n v="36"/>
    <n v="0"/>
    <n v="79"/>
    <n v="2"/>
    <n v="0"/>
    <n v="43"/>
    <n v="45"/>
    <n v="40"/>
  </r>
  <r>
    <x v="215"/>
    <x v="3"/>
    <x v="437"/>
    <n v="1994"/>
    <n v="22"/>
    <x v="13"/>
    <s v="Germany"/>
    <n v="16500000"/>
    <n v="33000000"/>
    <x v="2"/>
    <n v="32"/>
    <n v="2368"/>
    <x v="2"/>
    <n v="1659"/>
    <x v="5"/>
    <x v="8"/>
    <x v="0"/>
    <n v="6"/>
    <n v="3"/>
    <n v="45"/>
    <n v="11"/>
    <n v="0"/>
    <n v="29"/>
    <n v="1"/>
    <n v="0"/>
    <n v="0"/>
    <n v="2"/>
    <n v="6"/>
    <n v="0"/>
    <n v="0"/>
    <n v="23"/>
    <n v="3"/>
    <n v="32"/>
    <n v="70"/>
    <n v="0"/>
    <n v="66"/>
    <n v="0"/>
    <n v="0"/>
    <n v="52"/>
    <n v="68"/>
    <n v="57"/>
  </r>
  <r>
    <x v="215"/>
    <x v="1"/>
    <x v="438"/>
    <n v="1994"/>
    <n v="23"/>
    <x v="13"/>
    <s v="Germany"/>
    <n v="11000000"/>
    <n v="19800000"/>
    <x v="2"/>
    <n v="26"/>
    <n v="2094"/>
    <x v="7"/>
    <n v="1543"/>
    <x v="2"/>
    <x v="9"/>
    <x v="0"/>
    <n v="2"/>
    <n v="5"/>
    <n v="27"/>
    <n v="8"/>
    <n v="1"/>
    <n v="20"/>
    <n v="2"/>
    <n v="0"/>
    <n v="0"/>
    <n v="0"/>
    <n v="11"/>
    <n v="19"/>
    <n v="0"/>
    <n v="11"/>
    <n v="4"/>
    <n v="28"/>
    <n v="27"/>
    <n v="0"/>
    <n v="67"/>
    <n v="0"/>
    <n v="0"/>
    <n v="32"/>
    <n v="46"/>
    <n v="49"/>
  </r>
  <r>
    <x v="216"/>
    <x v="0"/>
    <x v="439"/>
    <n v="1989"/>
    <n v="25"/>
    <x v="3"/>
    <s v="Ecuador"/>
    <n v="12000000"/>
    <n v="9000000"/>
    <x v="0"/>
    <n v="19"/>
    <n v="1009"/>
    <x v="6"/>
    <n v="248"/>
    <x v="5"/>
    <x v="3"/>
    <x v="0"/>
    <n v="9"/>
    <n v="7"/>
    <n v="34"/>
    <n v="12"/>
    <n v="0"/>
    <n v="15"/>
    <n v="0"/>
    <n v="0"/>
    <n v="1"/>
    <n v="9"/>
    <n v="0"/>
    <n v="4"/>
    <n v="7"/>
    <n v="24"/>
    <n v="0"/>
    <n v="10"/>
    <n v="11"/>
    <n v="0"/>
    <n v="19"/>
    <n v="0"/>
    <n v="0"/>
    <n v="16"/>
    <n v="23"/>
    <n v="42"/>
  </r>
  <r>
    <x v="216"/>
    <x v="3"/>
    <x v="440"/>
    <n v="1989"/>
    <n v="26"/>
    <x v="4"/>
    <s v="Ecuador"/>
    <n v="9000000"/>
    <n v="9000000"/>
    <x v="0"/>
    <n v="24"/>
    <n v="921"/>
    <x v="7"/>
    <n v="228"/>
    <x v="3"/>
    <x v="3"/>
    <x v="0"/>
    <n v="16"/>
    <n v="7"/>
    <n v="31"/>
    <n v="12"/>
    <n v="0"/>
    <n v="6"/>
    <n v="0"/>
    <n v="0"/>
    <n v="0"/>
    <n v="6"/>
    <n v="2"/>
    <n v="3"/>
    <n v="0"/>
    <n v="23"/>
    <n v="1"/>
    <n v="11"/>
    <n v="26"/>
    <n v="0"/>
    <n v="16"/>
    <n v="0"/>
    <n v="0"/>
    <n v="12"/>
    <n v="18"/>
    <n v="52"/>
  </r>
  <r>
    <x v="217"/>
    <x v="2"/>
    <x v="441"/>
    <n v="1994"/>
    <n v="24"/>
    <x v="22"/>
    <s v="Cote D'Ivoire"/>
    <n v="31500000"/>
    <n v="22500000"/>
    <x v="1"/>
    <n v="12"/>
    <n v="639"/>
    <x v="0"/>
    <n v="302"/>
    <x v="0"/>
    <x v="0"/>
    <x v="1"/>
    <n v="4"/>
    <n v="2"/>
    <n v="3"/>
    <n v="1"/>
    <n v="0"/>
    <n v="11"/>
    <n v="0"/>
    <n v="0"/>
    <n v="0"/>
    <n v="0"/>
    <n v="0"/>
    <n v="2"/>
    <n v="0"/>
    <n v="0"/>
    <n v="4"/>
    <n v="13"/>
    <n v="5"/>
    <n v="0"/>
    <n v="15"/>
    <n v="0"/>
    <n v="0"/>
    <n v="37"/>
    <n v="13"/>
    <n v="4"/>
  </r>
  <r>
    <x v="217"/>
    <x v="1"/>
    <x v="442"/>
    <n v="1994"/>
    <n v="23"/>
    <x v="22"/>
    <s v="Cote D'Ivoire"/>
    <n v="27000000"/>
    <n v="31500000"/>
    <x v="1"/>
    <n v="13"/>
    <n v="1000"/>
    <x v="4"/>
    <n v="426"/>
    <x v="0"/>
    <x v="4"/>
    <x v="0"/>
    <n v="2"/>
    <n v="0"/>
    <n v="1"/>
    <n v="1"/>
    <n v="0"/>
    <n v="14"/>
    <n v="0"/>
    <n v="0"/>
    <n v="0"/>
    <n v="0"/>
    <n v="1"/>
    <n v="0"/>
    <n v="0"/>
    <n v="0"/>
    <n v="6"/>
    <n v="25"/>
    <n v="10"/>
    <n v="0"/>
    <n v="17"/>
    <n v="0"/>
    <n v="1"/>
    <n v="56"/>
    <n v="17"/>
    <n v="8"/>
  </r>
  <r>
    <x v="217"/>
    <x v="3"/>
    <x v="443"/>
    <n v="1994"/>
    <n v="22"/>
    <x v="22"/>
    <s v="Cote D'Ivoire"/>
    <n v="18000000"/>
    <n v="27000000"/>
    <x v="1"/>
    <n v="25"/>
    <n v="2060"/>
    <x v="0"/>
    <n v="876"/>
    <x v="0"/>
    <x v="5"/>
    <x v="0"/>
    <n v="1"/>
    <n v="3"/>
    <n v="6"/>
    <n v="1"/>
    <n v="1"/>
    <n v="60"/>
    <n v="0"/>
    <n v="0"/>
    <n v="0"/>
    <n v="0"/>
    <n v="0"/>
    <n v="1"/>
    <n v="0"/>
    <n v="2"/>
    <n v="16"/>
    <n v="60"/>
    <n v="28"/>
    <n v="1"/>
    <n v="60"/>
    <n v="0"/>
    <n v="0"/>
    <n v="126"/>
    <n v="37"/>
    <n v="30"/>
  </r>
  <r>
    <x v="218"/>
    <x v="0"/>
    <x v="444"/>
    <n v="1994"/>
    <n v="21"/>
    <x v="26"/>
    <s v="England"/>
    <n v="19800000"/>
    <n v="27500000"/>
    <x v="2"/>
    <n v="37"/>
    <n v="3266"/>
    <x v="7"/>
    <n v="2084"/>
    <x v="0"/>
    <x v="7"/>
    <x v="0"/>
    <n v="0"/>
    <n v="5"/>
    <n v="30"/>
    <n v="7"/>
    <n v="0"/>
    <n v="48"/>
    <n v="2"/>
    <n v="0"/>
    <n v="0"/>
    <n v="0"/>
    <n v="5"/>
    <n v="1"/>
    <n v="0"/>
    <n v="19"/>
    <n v="21"/>
    <n v="80"/>
    <n v="52"/>
    <n v="0"/>
    <n v="80"/>
    <n v="0"/>
    <n v="0"/>
    <n v="70"/>
    <n v="88"/>
    <n v="68"/>
  </r>
  <r>
    <x v="218"/>
    <x v="3"/>
    <x v="445"/>
    <n v="1994"/>
    <n v="22"/>
    <x v="26"/>
    <s v="England"/>
    <n v="44000000"/>
    <n v="44000000"/>
    <x v="2"/>
    <n v="36"/>
    <n v="3044"/>
    <x v="5"/>
    <n v="1981"/>
    <x v="0"/>
    <x v="8"/>
    <x v="0"/>
    <n v="2"/>
    <n v="3"/>
    <n v="23"/>
    <n v="7"/>
    <n v="0"/>
    <n v="87"/>
    <n v="0"/>
    <n v="0"/>
    <n v="0"/>
    <n v="3"/>
    <n v="0"/>
    <n v="1"/>
    <n v="0"/>
    <n v="20"/>
    <n v="17"/>
    <n v="35"/>
    <n v="24"/>
    <n v="0"/>
    <n v="48"/>
    <n v="1"/>
    <n v="0"/>
    <n v="149"/>
    <n v="73"/>
    <n v="55"/>
  </r>
  <r>
    <x v="218"/>
    <x v="2"/>
    <x v="446"/>
    <n v="1994"/>
    <n v="24"/>
    <x v="26"/>
    <s v="England"/>
    <n v="27500000"/>
    <n v="44000000"/>
    <x v="2"/>
    <n v="20"/>
    <n v="1509"/>
    <x v="7"/>
    <n v="1082"/>
    <x v="0"/>
    <x v="5"/>
    <x v="0"/>
    <n v="2"/>
    <n v="6"/>
    <n v="9"/>
    <n v="3"/>
    <n v="0"/>
    <n v="23"/>
    <n v="1"/>
    <n v="0"/>
    <n v="0"/>
    <n v="0"/>
    <n v="5"/>
    <n v="6"/>
    <n v="0"/>
    <n v="6"/>
    <n v="12"/>
    <n v="22"/>
    <n v="24"/>
    <n v="0"/>
    <n v="27"/>
    <n v="0"/>
    <n v="0"/>
    <n v="43"/>
    <n v="36"/>
    <n v="31"/>
  </r>
  <r>
    <x v="218"/>
    <x v="1"/>
    <x v="447"/>
    <n v="1994"/>
    <n v="23"/>
    <x v="26"/>
    <s v="England"/>
    <n v="24200000"/>
    <n v="28600000"/>
    <x v="2"/>
    <n v="34"/>
    <n v="2827"/>
    <x v="0"/>
    <n v="2248"/>
    <x v="5"/>
    <x v="5"/>
    <x v="0"/>
    <n v="2"/>
    <n v="5"/>
    <n v="32"/>
    <n v="7"/>
    <n v="1"/>
    <n v="46"/>
    <n v="0"/>
    <n v="0"/>
    <n v="0"/>
    <n v="1"/>
    <n v="2"/>
    <n v="25"/>
    <n v="0"/>
    <n v="26"/>
    <n v="11"/>
    <n v="48"/>
    <n v="23"/>
    <n v="1"/>
    <n v="61"/>
    <n v="2"/>
    <n v="0"/>
    <n v="82"/>
    <n v="83"/>
    <n v="62"/>
  </r>
  <r>
    <x v="219"/>
    <x v="1"/>
    <x v="448"/>
    <n v="1989"/>
    <n v="28"/>
    <x v="25"/>
    <s v="Cameroon"/>
    <n v="5400000"/>
    <n v="7200000"/>
    <x v="0"/>
    <n v="30"/>
    <n v="2247"/>
    <x v="2"/>
    <n v="641"/>
    <x v="8"/>
    <x v="6"/>
    <x v="0"/>
    <n v="4"/>
    <n v="9"/>
    <n v="60"/>
    <n v="20"/>
    <n v="1"/>
    <n v="11"/>
    <n v="1"/>
    <n v="0"/>
    <n v="0"/>
    <n v="14"/>
    <n v="1"/>
    <n v="40"/>
    <n v="0"/>
    <n v="35"/>
    <n v="3"/>
    <n v="23"/>
    <n v="21"/>
    <n v="0"/>
    <n v="42"/>
    <n v="0"/>
    <n v="0"/>
    <n v="25"/>
    <n v="60"/>
    <n v="74"/>
  </r>
  <r>
    <x v="220"/>
    <x v="2"/>
    <x v="449"/>
    <n v="1992"/>
    <n v="26"/>
    <x v="6"/>
    <s v="Germany"/>
    <n v="900000"/>
    <n v="1800000"/>
    <x v="1"/>
    <n v="28"/>
    <n v="2052"/>
    <x v="0"/>
    <n v="774"/>
    <x v="3"/>
    <x v="0"/>
    <x v="0"/>
    <n v="7"/>
    <n v="3"/>
    <n v="9"/>
    <n v="0"/>
    <n v="1"/>
    <n v="12"/>
    <n v="0"/>
    <n v="0"/>
    <n v="0"/>
    <n v="1"/>
    <n v="0"/>
    <n v="9"/>
    <n v="1"/>
    <n v="66"/>
    <n v="6"/>
    <n v="41"/>
    <n v="13"/>
    <n v="0"/>
    <n v="35"/>
    <n v="0"/>
    <n v="0"/>
    <n v="37"/>
    <n v="22"/>
    <n v="36"/>
  </r>
  <r>
    <x v="221"/>
    <x v="0"/>
    <x v="450"/>
    <n v="1992"/>
    <n v="23"/>
    <x v="26"/>
    <s v="Argentina"/>
    <n v="27500000"/>
    <n v="22000000"/>
    <x v="2"/>
    <n v="34"/>
    <n v="2383"/>
    <x v="2"/>
    <n v="985"/>
    <x v="11"/>
    <x v="10"/>
    <x v="0"/>
    <n v="6"/>
    <n v="19"/>
    <n v="59"/>
    <n v="21"/>
    <n v="2"/>
    <n v="2"/>
    <n v="0"/>
    <n v="0"/>
    <n v="0"/>
    <n v="14"/>
    <n v="12"/>
    <n v="5"/>
    <n v="99"/>
    <n v="139"/>
    <n v="2"/>
    <n v="27"/>
    <n v="66"/>
    <n v="0"/>
    <n v="81"/>
    <n v="0"/>
    <n v="0"/>
    <n v="5"/>
    <n v="12"/>
    <n v="27"/>
  </r>
  <r>
    <x v="221"/>
    <x v="1"/>
    <x v="451"/>
    <n v="1992"/>
    <n v="25"/>
    <x v="26"/>
    <s v="Argentina"/>
    <n v="22000000"/>
    <n v="19800000"/>
    <x v="2"/>
    <n v="25"/>
    <n v="832"/>
    <x v="5"/>
    <n v="446"/>
    <x v="5"/>
    <x v="5"/>
    <x v="0"/>
    <n v="18"/>
    <n v="7"/>
    <n v="20"/>
    <n v="6"/>
    <n v="1"/>
    <n v="4"/>
    <n v="0"/>
    <n v="0"/>
    <n v="0"/>
    <n v="3"/>
    <n v="5"/>
    <n v="14"/>
    <n v="18"/>
    <n v="25"/>
    <n v="1"/>
    <n v="7"/>
    <n v="24"/>
    <n v="0"/>
    <n v="23"/>
    <n v="0"/>
    <n v="0"/>
    <n v="4"/>
    <n v="6"/>
    <n v="14"/>
  </r>
  <r>
    <x v="221"/>
    <x v="2"/>
    <x v="452"/>
    <n v="1992"/>
    <n v="26"/>
    <x v="26"/>
    <s v="Argentina"/>
    <n v="8250000"/>
    <n v="9900000"/>
    <x v="2"/>
    <n v="19"/>
    <n v="972"/>
    <x v="6"/>
    <n v="422"/>
    <x v="5"/>
    <x v="4"/>
    <x v="0"/>
    <n v="10"/>
    <n v="7"/>
    <n v="29"/>
    <n v="11"/>
    <n v="1"/>
    <n v="0"/>
    <n v="1"/>
    <n v="0"/>
    <n v="0"/>
    <n v="1"/>
    <n v="6"/>
    <n v="18"/>
    <n v="20"/>
    <n v="28"/>
    <n v="0"/>
    <n v="7"/>
    <n v="23"/>
    <n v="0"/>
    <n v="17"/>
    <n v="0"/>
    <n v="0"/>
    <n v="0"/>
    <n v="4"/>
    <n v="15"/>
  </r>
  <r>
    <x v="222"/>
    <x v="3"/>
    <x v="453"/>
    <n v="1988"/>
    <n v="27"/>
    <x v="25"/>
    <s v="Netherlands"/>
    <n v="6300000"/>
    <n v="6300000"/>
    <x v="1"/>
    <n v="36"/>
    <n v="3151"/>
    <x v="0"/>
    <n v="1331"/>
    <x v="3"/>
    <x v="5"/>
    <x v="0"/>
    <n v="1"/>
    <n v="0"/>
    <n v="9"/>
    <n v="0"/>
    <n v="0"/>
    <n v="60"/>
    <n v="0"/>
    <n v="0"/>
    <n v="0"/>
    <n v="1"/>
    <n v="0"/>
    <n v="1"/>
    <n v="0"/>
    <n v="109"/>
    <n v="20"/>
    <n v="54"/>
    <n v="60"/>
    <n v="0"/>
    <n v="106"/>
    <n v="1"/>
    <n v="0"/>
    <n v="110"/>
    <n v="54"/>
    <n v="39"/>
  </r>
  <r>
    <x v="222"/>
    <x v="1"/>
    <x v="454"/>
    <n v="1988"/>
    <n v="29"/>
    <x v="25"/>
    <s v="Netherlands"/>
    <n v="6300000"/>
    <n v="5400000"/>
    <x v="1"/>
    <n v="31"/>
    <n v="2720"/>
    <x v="0"/>
    <n v="1000"/>
    <x v="3"/>
    <x v="2"/>
    <x v="0"/>
    <n v="1"/>
    <n v="3"/>
    <n v="1"/>
    <n v="1"/>
    <n v="0"/>
    <n v="48"/>
    <n v="0"/>
    <n v="0"/>
    <n v="0"/>
    <n v="2"/>
    <n v="0"/>
    <n v="0"/>
    <n v="0"/>
    <n v="64"/>
    <n v="25"/>
    <n v="61"/>
    <n v="58"/>
    <n v="0"/>
    <n v="71"/>
    <n v="1"/>
    <n v="0"/>
    <n v="106"/>
    <n v="53"/>
    <n v="46"/>
  </r>
  <r>
    <x v="222"/>
    <x v="0"/>
    <x v="455"/>
    <n v="1988"/>
    <n v="26"/>
    <x v="25"/>
    <s v="Netherlands"/>
    <n v="2700000"/>
    <n v="6300000"/>
    <x v="1"/>
    <n v="35"/>
    <n v="3096"/>
    <x v="0"/>
    <n v="1504"/>
    <x v="3"/>
    <x v="7"/>
    <x v="0"/>
    <n v="0"/>
    <n v="3"/>
    <n v="5"/>
    <n v="1"/>
    <n v="0"/>
    <n v="47"/>
    <n v="0"/>
    <n v="0"/>
    <n v="0"/>
    <n v="0"/>
    <n v="1"/>
    <n v="0"/>
    <n v="2"/>
    <n v="103"/>
    <n v="18"/>
    <n v="95"/>
    <n v="58"/>
    <n v="0"/>
    <n v="116"/>
    <n v="1"/>
    <n v="0"/>
    <n v="93"/>
    <n v="47"/>
    <n v="44"/>
  </r>
  <r>
    <x v="223"/>
    <x v="0"/>
    <x v="456"/>
    <n v="1988"/>
    <n v="27"/>
    <x v="9"/>
    <s v="France"/>
    <n v="9900000"/>
    <n v="9900000"/>
    <x v="2"/>
    <n v="33"/>
    <n v="2822"/>
    <x v="0"/>
    <n v="1544"/>
    <x v="0"/>
    <x v="1"/>
    <x v="0"/>
    <n v="0"/>
    <n v="8"/>
    <n v="35"/>
    <n v="8"/>
    <n v="0"/>
    <n v="17"/>
    <n v="0"/>
    <n v="0"/>
    <n v="0"/>
    <n v="2"/>
    <n v="3"/>
    <n v="5"/>
    <n v="3"/>
    <n v="34"/>
    <n v="7"/>
    <n v="82"/>
    <n v="53"/>
    <n v="0"/>
    <n v="95"/>
    <n v="0"/>
    <n v="0"/>
    <n v="45"/>
    <n v="37"/>
    <n v="24"/>
  </r>
  <r>
    <x v="223"/>
    <x v="3"/>
    <x v="457"/>
    <n v="1988"/>
    <n v="28"/>
    <x v="9"/>
    <s v="France"/>
    <n v="9900000"/>
    <n v="8800000"/>
    <x v="2"/>
    <n v="37"/>
    <n v="3212"/>
    <x v="8"/>
    <n v="1483"/>
    <x v="3"/>
    <x v="2"/>
    <x v="0"/>
    <n v="0"/>
    <n v="10"/>
    <n v="50"/>
    <n v="19"/>
    <n v="0"/>
    <n v="10"/>
    <n v="1"/>
    <n v="0"/>
    <n v="0"/>
    <n v="1"/>
    <n v="2"/>
    <n v="3"/>
    <n v="37"/>
    <n v="78"/>
    <n v="7"/>
    <n v="59"/>
    <n v="51"/>
    <n v="0"/>
    <n v="61"/>
    <n v="1"/>
    <n v="0"/>
    <n v="25"/>
    <n v="33"/>
    <n v="35"/>
  </r>
  <r>
    <x v="223"/>
    <x v="1"/>
    <x v="458"/>
    <n v="1988"/>
    <n v="29"/>
    <x v="9"/>
    <s v="France"/>
    <n v="8800000"/>
    <n v="8800000"/>
    <x v="2"/>
    <n v="23"/>
    <n v="1541"/>
    <x v="4"/>
    <n v="875"/>
    <x v="0"/>
    <x v="6"/>
    <x v="0"/>
    <n v="5"/>
    <n v="5"/>
    <n v="23"/>
    <n v="3"/>
    <n v="1"/>
    <n v="22"/>
    <n v="0"/>
    <n v="0"/>
    <n v="0"/>
    <n v="1"/>
    <n v="5"/>
    <n v="20"/>
    <n v="2"/>
    <n v="4"/>
    <n v="1"/>
    <n v="43"/>
    <n v="21"/>
    <n v="0"/>
    <n v="43"/>
    <n v="0"/>
    <n v="0"/>
    <n v="35"/>
    <n v="42"/>
    <n v="23"/>
  </r>
  <r>
    <x v="223"/>
    <x v="2"/>
    <x v="459"/>
    <n v="1988"/>
    <n v="30"/>
    <x v="9"/>
    <s v="France"/>
    <n v="450000"/>
    <n v="1800000"/>
    <x v="2"/>
    <n v="33"/>
    <n v="2946"/>
    <x v="4"/>
    <n v="1749"/>
    <x v="6"/>
    <x v="13"/>
    <x v="1"/>
    <n v="0"/>
    <n v="2"/>
    <n v="18"/>
    <n v="4"/>
    <n v="0"/>
    <n v="51"/>
    <n v="0"/>
    <n v="0"/>
    <n v="0"/>
    <n v="0"/>
    <n v="5"/>
    <n v="14"/>
    <n v="1"/>
    <n v="5"/>
    <n v="13"/>
    <n v="86"/>
    <n v="47"/>
    <n v="0"/>
    <n v="90"/>
    <n v="0"/>
    <n v="0"/>
    <n v="91"/>
    <n v="66"/>
    <n v="49"/>
  </r>
  <r>
    <x v="224"/>
    <x v="0"/>
    <x v="460"/>
    <n v="1990"/>
    <n v="25"/>
    <x v="14"/>
    <s v="Ireland"/>
    <n v="2200000"/>
    <n v="2200000"/>
    <x v="2"/>
    <n v="16"/>
    <n v="752"/>
    <x v="0"/>
    <n v="379"/>
    <x v="3"/>
    <x v="4"/>
    <x v="0"/>
    <n v="10"/>
    <n v="3"/>
    <n v="6"/>
    <n v="2"/>
    <n v="0"/>
    <n v="4"/>
    <n v="0"/>
    <n v="0"/>
    <n v="0"/>
    <n v="0"/>
    <n v="4"/>
    <n v="1"/>
    <n v="1"/>
    <n v="1"/>
    <n v="0"/>
    <n v="8"/>
    <n v="6"/>
    <n v="0"/>
    <n v="9"/>
    <n v="2"/>
    <n v="0"/>
    <n v="13"/>
    <n v="3"/>
    <n v="6"/>
  </r>
  <r>
    <x v="225"/>
    <x v="3"/>
    <x v="461"/>
    <n v="1986"/>
    <n v="30"/>
    <x v="10"/>
    <s v="Brazil"/>
    <n v="11000000"/>
    <n v="11000000"/>
    <x v="2"/>
    <n v="11"/>
    <n v="576"/>
    <x v="0"/>
    <n v="279"/>
    <x v="0"/>
    <x v="3"/>
    <x v="0"/>
    <n v="4"/>
    <n v="5"/>
    <n v="3"/>
    <n v="0"/>
    <n v="0"/>
    <n v="1"/>
    <n v="0"/>
    <n v="0"/>
    <n v="0"/>
    <n v="0"/>
    <n v="1"/>
    <n v="0"/>
    <n v="7"/>
    <n v="17"/>
    <n v="0"/>
    <n v="4"/>
    <n v="14"/>
    <n v="0"/>
    <n v="17"/>
    <n v="0"/>
    <n v="0"/>
    <n v="1"/>
    <n v="5"/>
    <n v="11"/>
  </r>
  <r>
    <x v="226"/>
    <x v="1"/>
    <x v="462"/>
    <n v="1989"/>
    <n v="28"/>
    <x v="23"/>
    <s v="Italy"/>
    <n v="4950000"/>
    <n v="4950000"/>
    <x v="1"/>
    <n v="20"/>
    <n v="1315"/>
    <x v="0"/>
    <n v="455"/>
    <x v="0"/>
    <x v="6"/>
    <x v="0"/>
    <n v="5"/>
    <n v="3"/>
    <n v="2"/>
    <n v="2"/>
    <n v="0"/>
    <n v="30"/>
    <n v="0"/>
    <n v="0"/>
    <n v="0"/>
    <n v="0"/>
    <n v="1"/>
    <n v="0"/>
    <n v="0"/>
    <n v="33"/>
    <n v="3"/>
    <n v="19"/>
    <n v="8"/>
    <n v="0"/>
    <n v="20"/>
    <n v="0"/>
    <n v="0"/>
    <n v="51"/>
    <n v="27"/>
    <n v="19"/>
  </r>
  <r>
    <x v="227"/>
    <x v="2"/>
    <x v="463"/>
    <n v="1991"/>
    <n v="26"/>
    <x v="3"/>
    <s v="Paraguay"/>
    <n v="4500000"/>
    <n v="10800000"/>
    <x v="1"/>
    <n v="23"/>
    <n v="2014"/>
    <x v="4"/>
    <n v="832"/>
    <x v="0"/>
    <x v="0"/>
    <x v="0"/>
    <n v="0"/>
    <n v="1"/>
    <n v="19"/>
    <n v="2"/>
    <n v="1"/>
    <n v="82"/>
    <n v="0"/>
    <n v="0"/>
    <n v="0"/>
    <n v="0"/>
    <n v="1"/>
    <n v="17"/>
    <n v="0"/>
    <n v="1"/>
    <n v="15"/>
    <n v="53"/>
    <n v="19"/>
    <n v="1"/>
    <n v="40"/>
    <n v="0"/>
    <n v="0"/>
    <n v="172"/>
    <n v="70"/>
    <n v="62"/>
  </r>
  <r>
    <x v="228"/>
    <x v="0"/>
    <x v="464"/>
    <n v="1989"/>
    <n v="25"/>
    <x v="19"/>
    <s v="England"/>
    <n v="16500000"/>
    <n v="16500000"/>
    <x v="2"/>
    <n v="17"/>
    <n v="753"/>
    <x v="5"/>
    <n v="483"/>
    <x v="0"/>
    <x v="0"/>
    <x v="0"/>
    <n v="9"/>
    <n v="7"/>
    <n v="13"/>
    <n v="0"/>
    <n v="1"/>
    <n v="1"/>
    <n v="0"/>
    <n v="0"/>
    <n v="0"/>
    <n v="0"/>
    <n v="1"/>
    <n v="0"/>
    <n v="0"/>
    <n v="7"/>
    <n v="2"/>
    <n v="22"/>
    <n v="7"/>
    <n v="0"/>
    <n v="26"/>
    <n v="0"/>
    <n v="0"/>
    <n v="8"/>
    <n v="6"/>
    <n v="9"/>
  </r>
  <r>
    <x v="228"/>
    <x v="2"/>
    <x v="465"/>
    <n v="1989"/>
    <n v="28"/>
    <x v="19"/>
    <s v="England"/>
    <n v="8800000"/>
    <n v="16500000"/>
    <x v="2"/>
    <n v="11"/>
    <n v="725"/>
    <x v="0"/>
    <n v="693"/>
    <x v="3"/>
    <x v="3"/>
    <x v="1"/>
    <n v="3"/>
    <n v="2"/>
    <n v="4"/>
    <n v="3"/>
    <n v="0"/>
    <n v="5"/>
    <n v="0"/>
    <n v="0"/>
    <n v="0"/>
    <n v="0"/>
    <n v="0"/>
    <n v="1"/>
    <n v="0"/>
    <n v="8"/>
    <n v="0"/>
    <n v="13"/>
    <n v="6"/>
    <n v="0"/>
    <n v="23"/>
    <n v="0"/>
    <n v="0"/>
    <n v="17"/>
    <n v="9"/>
    <n v="14"/>
  </r>
  <r>
    <x v="228"/>
    <x v="1"/>
    <x v="466"/>
    <n v="1989"/>
    <n v="28"/>
    <x v="19"/>
    <s v="England"/>
    <n v="30800000"/>
    <n v="30800000"/>
    <x v="2"/>
    <n v="22"/>
    <n v="1746"/>
    <x v="4"/>
    <n v="1614"/>
    <x v="5"/>
    <x v="4"/>
    <x v="0"/>
    <n v="1"/>
    <n v="6"/>
    <n v="10"/>
    <n v="3"/>
    <n v="0"/>
    <n v="11"/>
    <n v="0"/>
    <n v="0"/>
    <n v="0"/>
    <n v="0"/>
    <n v="0"/>
    <n v="7"/>
    <n v="0"/>
    <n v="13"/>
    <n v="0"/>
    <n v="30"/>
    <n v="15"/>
    <n v="1"/>
    <n v="46"/>
    <n v="1"/>
    <n v="0"/>
    <n v="35"/>
    <n v="21"/>
    <n v="31"/>
  </r>
  <r>
    <x v="229"/>
    <x v="2"/>
    <x v="467"/>
    <n v="1991"/>
    <n v="26"/>
    <x v="20"/>
    <s v="Switzerland"/>
    <n v="2700000"/>
    <n v="7200000"/>
    <x v="1"/>
    <n v="24"/>
    <n v="2003"/>
    <x v="6"/>
    <n v="994"/>
    <x v="3"/>
    <x v="0"/>
    <x v="0"/>
    <n v="2"/>
    <n v="5"/>
    <n v="25"/>
    <n v="7"/>
    <n v="0"/>
    <n v="76"/>
    <n v="0"/>
    <n v="0"/>
    <n v="0"/>
    <n v="1"/>
    <n v="4"/>
    <n v="18"/>
    <n v="0"/>
    <n v="17"/>
    <n v="16"/>
    <n v="67"/>
    <n v="28"/>
    <n v="0"/>
    <n v="60"/>
    <n v="0"/>
    <n v="0"/>
    <n v="137"/>
    <n v="65"/>
    <n v="65"/>
  </r>
  <r>
    <x v="230"/>
    <x v="2"/>
    <x v="468"/>
    <n v="1993"/>
    <n v="24"/>
    <x v="13"/>
    <s v="Brazil"/>
    <n v="40500000"/>
    <n v="45000000"/>
    <x v="1"/>
    <n v="28"/>
    <n v="2012"/>
    <x v="0"/>
    <n v="1610"/>
    <x v="5"/>
    <x v="8"/>
    <x v="0"/>
    <n v="7"/>
    <n v="3"/>
    <n v="17"/>
    <n v="4"/>
    <n v="0"/>
    <n v="11"/>
    <n v="0"/>
    <n v="0"/>
    <n v="0"/>
    <n v="0"/>
    <n v="2"/>
    <n v="13"/>
    <n v="0"/>
    <n v="10"/>
    <n v="6"/>
    <n v="28"/>
    <n v="29"/>
    <n v="0"/>
    <n v="59"/>
    <n v="0"/>
    <n v="0"/>
    <n v="26"/>
    <n v="56"/>
    <n v="40"/>
  </r>
  <r>
    <x v="231"/>
    <x v="0"/>
    <x v="469"/>
    <n v="1991"/>
    <n v="24"/>
    <x v="12"/>
    <s v="Italy"/>
    <n v="6600000"/>
    <n v="4500000"/>
    <x v="0"/>
    <n v="26"/>
    <n v="1899"/>
    <x v="2"/>
    <n v="550"/>
    <x v="0"/>
    <x v="8"/>
    <x v="0"/>
    <n v="4"/>
    <n v="11"/>
    <n v="48"/>
    <n v="18"/>
    <n v="0"/>
    <n v="9"/>
    <n v="0"/>
    <n v="1"/>
    <n v="0"/>
    <n v="2"/>
    <n v="4"/>
    <n v="3"/>
    <n v="6"/>
    <n v="29"/>
    <n v="2"/>
    <n v="22"/>
    <n v="31"/>
    <n v="0"/>
    <n v="24"/>
    <n v="0"/>
    <n v="0"/>
    <n v="30"/>
    <n v="25"/>
    <n v="52"/>
  </r>
  <r>
    <x v="231"/>
    <x v="3"/>
    <x v="470"/>
    <n v="1991"/>
    <n v="25"/>
    <x v="12"/>
    <s v="Italy"/>
    <n v="6500000"/>
    <n v="5400000"/>
    <x v="0"/>
    <n v="24"/>
    <n v="1740"/>
    <x v="5"/>
    <n v="503"/>
    <x v="0"/>
    <x v="2"/>
    <x v="0"/>
    <n v="5"/>
    <n v="5"/>
    <n v="33"/>
    <n v="14"/>
    <n v="0"/>
    <n v="11"/>
    <n v="0"/>
    <n v="0"/>
    <n v="0"/>
    <n v="0"/>
    <n v="2"/>
    <n v="0"/>
    <n v="2"/>
    <n v="37"/>
    <n v="2"/>
    <n v="23"/>
    <n v="27"/>
    <n v="0"/>
    <n v="20"/>
    <n v="0"/>
    <n v="0"/>
    <n v="27"/>
    <n v="27"/>
    <n v="34"/>
  </r>
  <r>
    <x v="231"/>
    <x v="3"/>
    <x v="470"/>
    <n v="1991"/>
    <n v="25"/>
    <x v="12"/>
    <s v="Italy"/>
    <n v="5400000"/>
    <n v="4500000"/>
    <x v="0"/>
    <n v="24"/>
    <n v="1849"/>
    <x v="0"/>
    <n v="709"/>
    <x v="0"/>
    <x v="9"/>
    <x v="0"/>
    <n v="3"/>
    <n v="5"/>
    <n v="5"/>
    <n v="2"/>
    <n v="0"/>
    <n v="42"/>
    <n v="0"/>
    <n v="0"/>
    <n v="0"/>
    <n v="4"/>
    <n v="2"/>
    <n v="0"/>
    <n v="0"/>
    <n v="70"/>
    <n v="7"/>
    <n v="35"/>
    <n v="29"/>
    <n v="1"/>
    <n v="63"/>
    <n v="0"/>
    <n v="0"/>
    <n v="66"/>
    <n v="42"/>
    <n v="39"/>
  </r>
  <r>
    <x v="232"/>
    <x v="0"/>
    <x v="471"/>
    <n v="1982"/>
    <n v="33"/>
    <x v="20"/>
    <s v="Argentina"/>
    <n v="1800000"/>
    <n v="1800000"/>
    <x v="1"/>
    <n v="26"/>
    <n v="2293"/>
    <x v="4"/>
    <n v="849"/>
    <x v="0"/>
    <x v="4"/>
    <x v="1"/>
    <n v="0"/>
    <n v="1"/>
    <n v="10"/>
    <n v="3"/>
    <n v="1"/>
    <n v="47"/>
    <n v="0"/>
    <n v="0"/>
    <n v="0"/>
    <n v="0"/>
    <n v="0"/>
    <n v="1"/>
    <n v="0"/>
    <n v="4"/>
    <n v="29"/>
    <n v="61"/>
    <n v="9"/>
    <n v="0"/>
    <n v="43"/>
    <n v="0"/>
    <n v="1"/>
    <n v="97"/>
    <n v="32"/>
    <n v="33"/>
  </r>
  <r>
    <x v="233"/>
    <x v="3"/>
    <x v="472"/>
    <n v="1989"/>
    <n v="27"/>
    <x v="0"/>
    <s v="Argentina"/>
    <n v="8100000"/>
    <n v="8100000"/>
    <x v="1"/>
    <n v="27"/>
    <n v="2430"/>
    <x v="0"/>
    <n v="1133"/>
    <x v="5"/>
    <x v="1"/>
    <x v="0"/>
    <n v="0"/>
    <n v="0"/>
    <n v="15"/>
    <n v="2"/>
    <n v="0"/>
    <n v="117"/>
    <n v="0"/>
    <n v="0"/>
    <n v="0"/>
    <n v="0"/>
    <n v="0"/>
    <n v="0"/>
    <n v="0"/>
    <n v="5"/>
    <n v="20"/>
    <n v="50"/>
    <n v="26"/>
    <n v="0"/>
    <n v="44"/>
    <n v="1"/>
    <n v="0"/>
    <n v="187"/>
    <n v="69"/>
    <n v="36"/>
  </r>
  <r>
    <x v="233"/>
    <x v="0"/>
    <x v="473"/>
    <n v="1989"/>
    <n v="26"/>
    <x v="0"/>
    <s v="Argentina"/>
    <n v="8100000"/>
    <n v="8100000"/>
    <x v="1"/>
    <n v="32"/>
    <n v="2880"/>
    <x v="4"/>
    <n v="1697"/>
    <x v="3"/>
    <x v="6"/>
    <x v="0"/>
    <n v="0"/>
    <n v="0"/>
    <n v="17"/>
    <n v="0"/>
    <n v="1"/>
    <n v="137"/>
    <n v="0"/>
    <n v="0"/>
    <n v="0"/>
    <n v="2"/>
    <n v="2"/>
    <n v="2"/>
    <n v="0"/>
    <n v="2"/>
    <n v="23"/>
    <n v="80"/>
    <n v="31"/>
    <n v="0"/>
    <n v="58"/>
    <n v="1"/>
    <n v="2"/>
    <n v="217"/>
    <n v="87"/>
    <n v="60"/>
  </r>
  <r>
    <x v="233"/>
    <x v="2"/>
    <x v="474"/>
    <n v="1989"/>
    <n v="29"/>
    <x v="20"/>
    <s v="Argentina"/>
    <n v="7200000"/>
    <n v="6300000"/>
    <x v="1"/>
    <n v="19"/>
    <n v="1482"/>
    <x v="0"/>
    <n v="611"/>
    <x v="3"/>
    <x v="0"/>
    <x v="0"/>
    <n v="2"/>
    <n v="2"/>
    <n v="4"/>
    <n v="1"/>
    <n v="0"/>
    <n v="55"/>
    <n v="0"/>
    <n v="0"/>
    <n v="0"/>
    <n v="1"/>
    <n v="0"/>
    <n v="3"/>
    <n v="0"/>
    <n v="5"/>
    <n v="12"/>
    <n v="25"/>
    <n v="12"/>
    <n v="0"/>
    <n v="16"/>
    <n v="0"/>
    <n v="0"/>
    <n v="102"/>
    <n v="38"/>
    <n v="31"/>
  </r>
  <r>
    <x v="233"/>
    <x v="1"/>
    <x v="475"/>
    <n v="1989"/>
    <n v="28"/>
    <x v="0"/>
    <s v="Argentina"/>
    <n v="8100000"/>
    <n v="7200000"/>
    <x v="1"/>
    <n v="30"/>
    <n v="2677"/>
    <x v="4"/>
    <n v="1210"/>
    <x v="3"/>
    <x v="2"/>
    <x v="0"/>
    <n v="0"/>
    <n v="1"/>
    <n v="4"/>
    <n v="4"/>
    <n v="0"/>
    <n v="123"/>
    <n v="1"/>
    <n v="0"/>
    <n v="0"/>
    <n v="2"/>
    <n v="0"/>
    <n v="0"/>
    <n v="0"/>
    <n v="4"/>
    <n v="27"/>
    <n v="38"/>
    <n v="29"/>
    <n v="0"/>
    <n v="40"/>
    <n v="0"/>
    <n v="1"/>
    <n v="198"/>
    <n v="72"/>
    <n v="63"/>
  </r>
  <r>
    <x v="234"/>
    <x v="2"/>
    <x v="476"/>
    <n v="1993"/>
    <n v="25"/>
    <x v="3"/>
    <s v="Brazil"/>
    <n v="33000000"/>
    <n v="36000000"/>
    <x v="0"/>
    <n v="36"/>
    <n v="3051"/>
    <x v="3"/>
    <n v="1667"/>
    <x v="2"/>
    <x v="6"/>
    <x v="0"/>
    <n v="0"/>
    <n v="11"/>
    <n v="58"/>
    <n v="25"/>
    <n v="2"/>
    <n v="3"/>
    <n v="0"/>
    <n v="0"/>
    <n v="0"/>
    <n v="5"/>
    <n v="22"/>
    <n v="33"/>
    <n v="49"/>
    <n v="121"/>
    <n v="0"/>
    <n v="41"/>
    <n v="27"/>
    <n v="0"/>
    <n v="89"/>
    <n v="0"/>
    <n v="0"/>
    <n v="12"/>
    <n v="10"/>
    <n v="26"/>
  </r>
  <r>
    <x v="235"/>
    <x v="0"/>
    <x v="477"/>
    <n v="1985"/>
    <n v="30"/>
    <x v="19"/>
    <s v="Brazil"/>
    <n v="30800000"/>
    <n v="19800000"/>
    <x v="2"/>
    <n v="33"/>
    <n v="2732"/>
    <x v="5"/>
    <n v="1872"/>
    <x v="5"/>
    <x v="9"/>
    <x v="0"/>
    <n v="2"/>
    <n v="4"/>
    <n v="29"/>
    <n v="0"/>
    <n v="1"/>
    <n v="25"/>
    <n v="0"/>
    <n v="0"/>
    <n v="0"/>
    <n v="0"/>
    <n v="5"/>
    <n v="0"/>
    <n v="0"/>
    <n v="11"/>
    <n v="7"/>
    <n v="56"/>
    <n v="55"/>
    <n v="0"/>
    <n v="105"/>
    <n v="0"/>
    <n v="0"/>
    <n v="44"/>
    <n v="43"/>
    <n v="45"/>
  </r>
  <r>
    <x v="235"/>
    <x v="3"/>
    <x v="478"/>
    <n v="1985"/>
    <n v="31"/>
    <x v="19"/>
    <s v="Brazil"/>
    <n v="16500000"/>
    <n v="13200000"/>
    <x v="2"/>
    <n v="32"/>
    <n v="2754"/>
    <x v="5"/>
    <n v="2180"/>
    <x v="3"/>
    <x v="5"/>
    <x v="2"/>
    <n v="1"/>
    <n v="0"/>
    <n v="36"/>
    <n v="11"/>
    <n v="0"/>
    <n v="37"/>
    <n v="1"/>
    <n v="0"/>
    <n v="0"/>
    <n v="1"/>
    <n v="14"/>
    <n v="4"/>
    <n v="0"/>
    <n v="23"/>
    <n v="5"/>
    <n v="65"/>
    <n v="48"/>
    <n v="0"/>
    <n v="82"/>
    <n v="0"/>
    <n v="0"/>
    <n v="60"/>
    <n v="52"/>
    <n v="52"/>
  </r>
  <r>
    <x v="235"/>
    <x v="2"/>
    <x v="479"/>
    <n v="1985"/>
    <n v="33"/>
    <x v="19"/>
    <s v="Brazil"/>
    <n v="19800000"/>
    <n v="16500000"/>
    <x v="2"/>
    <n v="29"/>
    <n v="2381"/>
    <x v="4"/>
    <n v="2050"/>
    <x v="6"/>
    <x v="2"/>
    <x v="0"/>
    <n v="2"/>
    <n v="6"/>
    <n v="30"/>
    <n v="7"/>
    <n v="0"/>
    <n v="47"/>
    <n v="0"/>
    <n v="0"/>
    <n v="0"/>
    <n v="2"/>
    <n v="13"/>
    <n v="23"/>
    <n v="0"/>
    <n v="4"/>
    <n v="4"/>
    <n v="41"/>
    <n v="40"/>
    <n v="0"/>
    <n v="57"/>
    <n v="0"/>
    <n v="0"/>
    <n v="69"/>
    <n v="77"/>
    <n v="66"/>
  </r>
  <r>
    <x v="235"/>
    <x v="1"/>
    <x v="480"/>
    <n v="1985"/>
    <n v="32"/>
    <x v="19"/>
    <s v="Brazil"/>
    <n v="17600000"/>
    <n v="17600000"/>
    <x v="2"/>
    <n v="34"/>
    <n v="2885"/>
    <x v="2"/>
    <n v="2975"/>
    <x v="6"/>
    <x v="1"/>
    <x v="0"/>
    <n v="1"/>
    <n v="5"/>
    <n v="47"/>
    <n v="19"/>
    <n v="0"/>
    <n v="47"/>
    <n v="0"/>
    <n v="0"/>
    <n v="0"/>
    <n v="0"/>
    <n v="18"/>
    <n v="28"/>
    <n v="1"/>
    <n v="9"/>
    <n v="6"/>
    <n v="47"/>
    <n v="41"/>
    <n v="0"/>
    <n v="62"/>
    <n v="0"/>
    <n v="0"/>
    <n v="65"/>
    <n v="94"/>
    <n v="76"/>
  </r>
  <r>
    <x v="236"/>
    <x v="0"/>
    <x v="481"/>
    <n v="1987"/>
    <n v="28"/>
    <x v="19"/>
    <s v="Brazil"/>
    <n v="17600000"/>
    <n v="11000000"/>
    <x v="2"/>
    <n v="19"/>
    <n v="1697"/>
    <x v="5"/>
    <n v="915"/>
    <x v="0"/>
    <x v="5"/>
    <x v="0"/>
    <n v="7"/>
    <n v="3"/>
    <n v="15"/>
    <n v="0"/>
    <n v="1"/>
    <n v="20"/>
    <n v="0"/>
    <n v="0"/>
    <n v="0"/>
    <n v="0"/>
    <n v="0"/>
    <n v="4"/>
    <n v="0"/>
    <n v="1"/>
    <n v="5"/>
    <n v="43"/>
    <n v="27"/>
    <n v="0"/>
    <n v="60"/>
    <n v="0"/>
    <n v="0"/>
    <n v="36"/>
    <n v="38"/>
    <n v="27"/>
  </r>
  <r>
    <x v="236"/>
    <x v="3"/>
    <x v="482"/>
    <n v="1987"/>
    <n v="29"/>
    <x v="19"/>
    <s v="Brazil"/>
    <n v="1100000"/>
    <n v="2700000"/>
    <x v="2"/>
    <n v="15"/>
    <n v="560"/>
    <x v="0"/>
    <n v="370"/>
    <x v="0"/>
    <x v="6"/>
    <x v="0"/>
    <n v="10"/>
    <n v="1"/>
    <n v="2"/>
    <n v="0"/>
    <n v="0"/>
    <n v="23"/>
    <n v="0"/>
    <n v="0"/>
    <n v="0"/>
    <n v="0"/>
    <n v="0"/>
    <n v="0"/>
    <n v="0"/>
    <n v="0"/>
    <n v="0"/>
    <n v="14"/>
    <n v="11"/>
    <n v="0"/>
    <n v="21"/>
    <n v="0"/>
    <n v="0"/>
    <n v="32"/>
    <n v="18"/>
    <n v="16"/>
  </r>
  <r>
    <x v="237"/>
    <x v="3"/>
    <x v="483"/>
    <n v="1985"/>
    <n v="31"/>
    <x v="0"/>
    <s v="Spain"/>
    <n v="5400000"/>
    <n v="5400000"/>
    <x v="0"/>
    <n v="33"/>
    <n v="2453"/>
    <x v="16"/>
    <n v="900"/>
    <x v="3"/>
    <x v="4"/>
    <x v="0"/>
    <n v="5"/>
    <n v="14"/>
    <n v="52"/>
    <n v="26"/>
    <n v="2"/>
    <n v="27"/>
    <n v="8"/>
    <n v="0"/>
    <n v="0"/>
    <n v="12"/>
    <n v="0"/>
    <n v="5"/>
    <n v="0"/>
    <n v="8"/>
    <n v="4"/>
    <n v="2"/>
    <n v="51"/>
    <n v="0"/>
    <n v="18"/>
    <n v="0"/>
    <n v="0"/>
    <n v="36"/>
    <n v="156"/>
    <n v="125"/>
  </r>
  <r>
    <x v="237"/>
    <x v="1"/>
    <x v="484"/>
    <n v="1985"/>
    <n v="32"/>
    <x v="26"/>
    <s v="Spain"/>
    <n v="6600000"/>
    <n v="6300000"/>
    <x v="0"/>
    <n v="16"/>
    <n v="225"/>
    <x v="4"/>
    <n v="88"/>
    <x v="0"/>
    <x v="3"/>
    <x v="0"/>
    <n v="15"/>
    <n v="1"/>
    <n v="2"/>
    <n v="2"/>
    <n v="0"/>
    <n v="5"/>
    <n v="1"/>
    <n v="0"/>
    <n v="0"/>
    <n v="2"/>
    <n v="0"/>
    <n v="0"/>
    <n v="0"/>
    <n v="0"/>
    <n v="0"/>
    <n v="0"/>
    <n v="4"/>
    <n v="0"/>
    <n v="6"/>
    <n v="0"/>
    <n v="0"/>
    <n v="6"/>
    <n v="15"/>
    <n v="17"/>
  </r>
  <r>
    <x v="237"/>
    <x v="2"/>
    <x v="485"/>
    <n v="1985"/>
    <n v="33"/>
    <x v="26"/>
    <s v="Spain"/>
    <n v="6300000"/>
    <n v="3150000"/>
    <x v="0"/>
    <n v="20"/>
    <n v="684"/>
    <x v="4"/>
    <n v="223"/>
    <x v="2"/>
    <x v="4"/>
    <x v="0"/>
    <n v="14"/>
    <n v="3"/>
    <n v="24"/>
    <n v="5"/>
    <n v="1"/>
    <n v="9"/>
    <n v="1"/>
    <n v="0"/>
    <n v="0"/>
    <n v="5"/>
    <n v="1"/>
    <n v="19"/>
    <n v="0"/>
    <n v="1"/>
    <n v="2"/>
    <n v="1"/>
    <n v="12"/>
    <n v="0"/>
    <n v="4"/>
    <n v="0"/>
    <n v="1"/>
    <n v="10"/>
    <n v="54"/>
    <n v="50"/>
  </r>
  <r>
    <x v="238"/>
    <x v="2"/>
    <x v="486"/>
    <n v="1994"/>
    <n v="24"/>
    <x v="6"/>
    <s v="Kosovo"/>
    <n v="4500000"/>
    <n v="6300000"/>
    <x v="1"/>
    <n v="24"/>
    <n v="1840"/>
    <x v="0"/>
    <n v="726"/>
    <x v="0"/>
    <x v="3"/>
    <x v="0"/>
    <n v="5"/>
    <n v="3"/>
    <n v="6"/>
    <n v="2"/>
    <n v="0"/>
    <n v="11"/>
    <n v="0"/>
    <n v="0"/>
    <n v="0"/>
    <n v="2"/>
    <n v="2"/>
    <n v="4"/>
    <n v="0"/>
    <n v="91"/>
    <n v="7"/>
    <n v="21"/>
    <n v="11"/>
    <n v="0"/>
    <n v="30"/>
    <n v="1"/>
    <n v="0"/>
    <n v="27"/>
    <n v="23"/>
    <n v="23"/>
  </r>
  <r>
    <x v="238"/>
    <x v="1"/>
    <x v="487"/>
    <n v="1994"/>
    <n v="23"/>
    <x v="6"/>
    <s v="Kosovo"/>
    <n v="2250000"/>
    <n v="4500000"/>
    <x v="1"/>
    <n v="23"/>
    <n v="1672"/>
    <x v="0"/>
    <n v="618"/>
    <x v="3"/>
    <x v="6"/>
    <x v="0"/>
    <n v="4"/>
    <n v="3"/>
    <n v="2"/>
    <n v="2"/>
    <n v="0"/>
    <n v="16"/>
    <n v="0"/>
    <n v="0"/>
    <n v="0"/>
    <n v="4"/>
    <n v="2"/>
    <n v="0"/>
    <n v="4"/>
    <n v="98"/>
    <n v="10"/>
    <n v="17"/>
    <n v="17"/>
    <n v="0"/>
    <n v="21"/>
    <n v="0"/>
    <n v="0"/>
    <n v="38"/>
    <n v="15"/>
    <n v="22"/>
  </r>
  <r>
    <x v="239"/>
    <x v="2"/>
    <x v="488"/>
    <n v="1991"/>
    <n v="27"/>
    <x v="20"/>
    <s v="France"/>
    <n v="7200000"/>
    <n v="7200000"/>
    <x v="1"/>
    <n v="12"/>
    <n v="1055"/>
    <x v="0"/>
    <n v="563"/>
    <x v="0"/>
    <x v="0"/>
    <x v="0"/>
    <n v="0"/>
    <n v="1"/>
    <n v="7"/>
    <n v="2"/>
    <n v="0"/>
    <n v="28"/>
    <n v="0"/>
    <n v="0"/>
    <n v="0"/>
    <n v="0"/>
    <n v="3"/>
    <n v="5"/>
    <n v="0"/>
    <n v="7"/>
    <n v="5"/>
    <n v="21"/>
    <n v="11"/>
    <n v="0"/>
    <n v="25"/>
    <n v="0"/>
    <n v="0"/>
    <n v="44"/>
    <n v="31"/>
    <n v="17"/>
  </r>
  <r>
    <x v="239"/>
    <x v="1"/>
    <x v="489"/>
    <n v="1991"/>
    <n v="26"/>
    <x v="20"/>
    <s v="France"/>
    <n v="4500000"/>
    <n v="7200000"/>
    <x v="1"/>
    <n v="24"/>
    <n v="2104"/>
    <x v="0"/>
    <n v="1071"/>
    <x v="5"/>
    <x v="6"/>
    <x v="0"/>
    <n v="0"/>
    <n v="1"/>
    <n v="13"/>
    <n v="3"/>
    <n v="0"/>
    <n v="81"/>
    <n v="0"/>
    <n v="0"/>
    <n v="0"/>
    <n v="2"/>
    <n v="2"/>
    <n v="10"/>
    <n v="0"/>
    <n v="4"/>
    <n v="15"/>
    <n v="46"/>
    <n v="17"/>
    <n v="1"/>
    <n v="33"/>
    <n v="0"/>
    <n v="0"/>
    <n v="146"/>
    <n v="83"/>
    <n v="51"/>
  </r>
  <r>
    <x v="240"/>
    <x v="0"/>
    <x v="490"/>
    <n v="1993"/>
    <n v="22"/>
    <x v="20"/>
    <s v="France"/>
    <n v="13100000"/>
    <n v="13100000"/>
    <x v="0"/>
    <n v="13"/>
    <n v="420"/>
    <x v="0"/>
    <n v="172"/>
    <x v="0"/>
    <x v="3"/>
    <x v="0"/>
    <n v="10"/>
    <n v="3"/>
    <n v="8"/>
    <n v="1"/>
    <n v="0"/>
    <n v="0"/>
    <n v="0"/>
    <n v="0"/>
    <n v="0"/>
    <n v="2"/>
    <n v="2"/>
    <n v="0"/>
    <n v="16"/>
    <n v="47"/>
    <n v="0"/>
    <n v="7"/>
    <n v="5"/>
    <n v="0"/>
    <n v="8"/>
    <n v="0"/>
    <n v="0"/>
    <n v="2"/>
    <n v="2"/>
    <n v="9"/>
  </r>
  <r>
    <x v="241"/>
    <x v="2"/>
    <x v="491"/>
    <n v="1993"/>
    <n v="25"/>
    <x v="23"/>
    <s v="Romania"/>
    <n v="6600000"/>
    <n v="6600000"/>
    <x v="0"/>
    <n v="23"/>
    <n v="873"/>
    <x v="7"/>
    <n v="165"/>
    <x v="0"/>
    <x v="2"/>
    <x v="0"/>
    <n v="15"/>
    <n v="8"/>
    <n v="19"/>
    <n v="8"/>
    <n v="0"/>
    <n v="5"/>
    <n v="2"/>
    <n v="0"/>
    <n v="0"/>
    <n v="4"/>
    <n v="0"/>
    <n v="11"/>
    <n v="0"/>
    <n v="5"/>
    <n v="1"/>
    <n v="3"/>
    <n v="28"/>
    <n v="0"/>
    <n v="10"/>
    <n v="0"/>
    <n v="0"/>
    <n v="12"/>
    <n v="37"/>
    <n v="73"/>
  </r>
  <r>
    <x v="242"/>
    <x v="2"/>
    <x v="492"/>
    <n v="1988"/>
    <n v="29"/>
    <x v="11"/>
    <s v="Togo"/>
    <n v="3300000"/>
    <n v="2250000"/>
    <x v="0"/>
    <n v="16"/>
    <n v="468"/>
    <x v="4"/>
    <n v="192"/>
    <x v="0"/>
    <x v="0"/>
    <x v="0"/>
    <n v="13"/>
    <n v="2"/>
    <n v="7"/>
    <n v="1"/>
    <n v="0"/>
    <n v="2"/>
    <n v="0"/>
    <n v="0"/>
    <n v="0"/>
    <n v="4"/>
    <n v="0"/>
    <n v="6"/>
    <n v="2"/>
    <n v="6"/>
    <n v="1"/>
    <n v="7"/>
    <n v="6"/>
    <n v="0"/>
    <n v="4"/>
    <n v="0"/>
    <n v="0"/>
    <n v="3"/>
    <n v="6"/>
    <n v="7"/>
  </r>
  <r>
    <x v="243"/>
    <x v="1"/>
    <x v="493"/>
    <n v="1995"/>
    <n v="22"/>
    <x v="17"/>
    <s v="Mali"/>
    <n v="7700000"/>
    <n v="14300000"/>
    <x v="2"/>
    <n v="14"/>
    <n v="583"/>
    <x v="0"/>
    <n v="227"/>
    <x v="3"/>
    <x v="3"/>
    <x v="0"/>
    <n v="9"/>
    <n v="4"/>
    <n v="2"/>
    <n v="2"/>
    <n v="0"/>
    <n v="5"/>
    <n v="0"/>
    <n v="0"/>
    <n v="0"/>
    <n v="1"/>
    <n v="1"/>
    <n v="0"/>
    <n v="0"/>
    <n v="10"/>
    <n v="0"/>
    <n v="8"/>
    <n v="1"/>
    <n v="0"/>
    <n v="9"/>
    <n v="0"/>
    <n v="0"/>
    <n v="7"/>
    <n v="14"/>
    <n v="11"/>
  </r>
  <r>
    <x v="244"/>
    <x v="0"/>
    <x v="494"/>
    <n v="1987"/>
    <n v="27"/>
    <x v="8"/>
    <s v="England"/>
    <n v="3850000"/>
    <n v="2250000"/>
    <x v="0"/>
    <n v="11"/>
    <n v="360"/>
    <x v="0"/>
    <n v="76"/>
    <x v="0"/>
    <x v="3"/>
    <x v="0"/>
    <n v="7"/>
    <n v="4"/>
    <n v="4"/>
    <n v="1"/>
    <n v="0"/>
    <n v="2"/>
    <n v="0"/>
    <n v="0"/>
    <n v="0"/>
    <n v="6"/>
    <n v="0"/>
    <n v="2"/>
    <n v="0"/>
    <n v="3"/>
    <n v="0"/>
    <n v="4"/>
    <n v="8"/>
    <n v="0"/>
    <n v="3"/>
    <n v="0"/>
    <n v="0"/>
    <n v="2"/>
    <n v="7"/>
    <n v="13"/>
  </r>
  <r>
    <x v="244"/>
    <x v="3"/>
    <x v="495"/>
    <n v="1987"/>
    <n v="28"/>
    <x v="8"/>
    <s v="England"/>
    <n v="2250000"/>
    <n v="1800000"/>
    <x v="0"/>
    <n v="12"/>
    <n v="154"/>
    <x v="4"/>
    <n v="46"/>
    <x v="0"/>
    <x v="0"/>
    <x v="0"/>
    <n v="12"/>
    <n v="0"/>
    <n v="4"/>
    <n v="1"/>
    <n v="0"/>
    <n v="1"/>
    <n v="1"/>
    <n v="0"/>
    <n v="0"/>
    <n v="0"/>
    <n v="0"/>
    <n v="0"/>
    <n v="0"/>
    <n v="1"/>
    <n v="0"/>
    <n v="0"/>
    <n v="2"/>
    <n v="0"/>
    <n v="3"/>
    <n v="0"/>
    <n v="0"/>
    <n v="2"/>
    <n v="3"/>
    <n v="8"/>
  </r>
  <r>
    <x v="245"/>
    <x v="0"/>
    <x v="496"/>
    <n v="1991"/>
    <n v="24"/>
    <x v="7"/>
    <s v="France"/>
    <n v="14300000"/>
    <n v="16500000"/>
    <x v="2"/>
    <n v="26"/>
    <n v="1646"/>
    <x v="0"/>
    <n v="1116"/>
    <x v="0"/>
    <x v="2"/>
    <x v="1"/>
    <n v="5"/>
    <n v="8"/>
    <n v="8"/>
    <n v="0"/>
    <n v="0"/>
    <n v="13"/>
    <n v="0"/>
    <n v="0"/>
    <n v="0"/>
    <n v="0"/>
    <n v="3"/>
    <n v="0"/>
    <n v="0"/>
    <n v="2"/>
    <n v="7"/>
    <n v="76"/>
    <n v="24"/>
    <n v="0"/>
    <n v="72"/>
    <n v="0"/>
    <n v="0"/>
    <n v="22"/>
    <n v="19"/>
    <n v="17"/>
  </r>
  <r>
    <x v="245"/>
    <x v="3"/>
    <x v="497"/>
    <n v="1991"/>
    <n v="25"/>
    <x v="7"/>
    <s v="France"/>
    <n v="55000000"/>
    <n v="33000000"/>
    <x v="2"/>
    <n v="29"/>
    <n v="1785"/>
    <x v="0"/>
    <n v="1180"/>
    <x v="0"/>
    <x v="2"/>
    <x v="0"/>
    <n v="7"/>
    <n v="13"/>
    <n v="14"/>
    <n v="3"/>
    <n v="0"/>
    <n v="22"/>
    <n v="0"/>
    <n v="0"/>
    <n v="0"/>
    <n v="0"/>
    <n v="5"/>
    <n v="1"/>
    <n v="0"/>
    <n v="4"/>
    <n v="8"/>
    <n v="52"/>
    <n v="33"/>
    <n v="0"/>
    <n v="71"/>
    <n v="0"/>
    <n v="0"/>
    <n v="32"/>
    <n v="36"/>
    <n v="17"/>
  </r>
  <r>
    <x v="246"/>
    <x v="2"/>
    <x v="498"/>
    <n v="1993"/>
    <n v="25"/>
    <x v="22"/>
    <s v="Brazil"/>
    <n v="2500000"/>
    <n v="2000000"/>
    <x v="2"/>
    <n v="17"/>
    <n v="1042"/>
    <x v="4"/>
    <n v="769"/>
    <x v="3"/>
    <x v="4"/>
    <x v="0"/>
    <n v="4"/>
    <n v="8"/>
    <n v="17"/>
    <n v="2"/>
    <n v="2"/>
    <n v="2"/>
    <n v="0"/>
    <n v="0"/>
    <n v="0"/>
    <n v="1"/>
    <n v="3"/>
    <n v="15"/>
    <n v="4"/>
    <n v="13"/>
    <n v="2"/>
    <n v="16"/>
    <n v="25"/>
    <n v="0"/>
    <n v="29"/>
    <n v="1"/>
    <n v="0"/>
    <n v="8"/>
    <n v="3"/>
    <n v="13"/>
  </r>
  <r>
    <x v="247"/>
    <x v="0"/>
    <x v="499"/>
    <n v="1985"/>
    <n v="30"/>
    <x v="19"/>
    <s v="France"/>
    <n v="9900000"/>
    <n v="8100000"/>
    <x v="1"/>
    <n v="14"/>
    <n v="1088"/>
    <x v="0"/>
    <n v="693"/>
    <x v="0"/>
    <x v="0"/>
    <x v="0"/>
    <n v="2"/>
    <n v="2"/>
    <n v="2"/>
    <n v="0"/>
    <n v="1"/>
    <n v="17"/>
    <n v="0"/>
    <n v="0"/>
    <n v="0"/>
    <n v="0"/>
    <n v="1"/>
    <n v="0"/>
    <n v="0"/>
    <n v="27"/>
    <n v="3"/>
    <n v="50"/>
    <n v="10"/>
    <n v="0"/>
    <n v="28"/>
    <n v="0"/>
    <n v="0"/>
    <n v="40"/>
    <n v="12"/>
    <n v="9"/>
  </r>
  <r>
    <x v="247"/>
    <x v="3"/>
    <x v="500"/>
    <n v="1985"/>
    <n v="31"/>
    <x v="19"/>
    <s v="France"/>
    <n v="8100000"/>
    <n v="6300000"/>
    <x v="1"/>
    <n v="25"/>
    <n v="2125"/>
    <x v="4"/>
    <n v="1454"/>
    <x v="0"/>
    <x v="4"/>
    <x v="0"/>
    <n v="1"/>
    <n v="3"/>
    <n v="2"/>
    <n v="1"/>
    <n v="0"/>
    <n v="45"/>
    <n v="0"/>
    <n v="0"/>
    <n v="0"/>
    <n v="1"/>
    <n v="3"/>
    <n v="0"/>
    <n v="0"/>
    <n v="26"/>
    <n v="2"/>
    <n v="53"/>
    <n v="12"/>
    <n v="0"/>
    <n v="44"/>
    <n v="0"/>
    <n v="0"/>
    <n v="86"/>
    <n v="30"/>
    <n v="40"/>
  </r>
  <r>
    <x v="248"/>
    <x v="1"/>
    <x v="501"/>
    <n v="1988"/>
    <n v="29"/>
    <x v="23"/>
    <s v="Cameroon"/>
    <n v="1350000"/>
    <n v="1350000"/>
    <x v="1"/>
    <n v="25"/>
    <n v="2238"/>
    <x v="0"/>
    <n v="772"/>
    <x v="0"/>
    <x v="4"/>
    <x v="0"/>
    <n v="0"/>
    <n v="2"/>
    <n v="1"/>
    <n v="1"/>
    <n v="0"/>
    <n v="37"/>
    <n v="0"/>
    <n v="0"/>
    <n v="0"/>
    <n v="0"/>
    <n v="0"/>
    <n v="0"/>
    <n v="0"/>
    <n v="53"/>
    <n v="6"/>
    <n v="40"/>
    <n v="16"/>
    <n v="0"/>
    <n v="39"/>
    <n v="1"/>
    <n v="1"/>
    <n v="71"/>
    <n v="30"/>
    <n v="28"/>
  </r>
  <r>
    <x v="248"/>
    <x v="2"/>
    <x v="502"/>
    <n v="1988"/>
    <n v="30"/>
    <x v="23"/>
    <s v="Cameroon"/>
    <n v="1350000"/>
    <n v="1800000"/>
    <x v="1"/>
    <n v="22"/>
    <n v="1805"/>
    <x v="0"/>
    <n v="602"/>
    <x v="0"/>
    <x v="0"/>
    <x v="0"/>
    <n v="3"/>
    <n v="0"/>
    <n v="2"/>
    <n v="0"/>
    <n v="0"/>
    <n v="16"/>
    <n v="0"/>
    <n v="0"/>
    <n v="0"/>
    <n v="0"/>
    <n v="0"/>
    <n v="2"/>
    <n v="0"/>
    <n v="57"/>
    <n v="6"/>
    <n v="25"/>
    <n v="11"/>
    <n v="0"/>
    <n v="16"/>
    <n v="0"/>
    <n v="0"/>
    <n v="45"/>
    <n v="24"/>
    <n v="32"/>
  </r>
  <r>
    <x v="249"/>
    <x v="0"/>
    <x v="503"/>
    <n v="1986"/>
    <n v="29"/>
    <x v="15"/>
    <s v="England"/>
    <n v="4400000"/>
    <n v="2250000"/>
    <x v="0"/>
    <n v="15"/>
    <n v="1036"/>
    <x v="4"/>
    <n v="223"/>
    <x v="5"/>
    <x v="0"/>
    <x v="0"/>
    <n v="2"/>
    <n v="7"/>
    <n v="10"/>
    <n v="6"/>
    <n v="0"/>
    <n v="2"/>
    <n v="0"/>
    <n v="0"/>
    <n v="0"/>
    <n v="3"/>
    <n v="0"/>
    <n v="1"/>
    <n v="0"/>
    <n v="12"/>
    <n v="1"/>
    <n v="2"/>
    <n v="21"/>
    <n v="0"/>
    <n v="6"/>
    <n v="0"/>
    <n v="0"/>
    <n v="9"/>
    <n v="26"/>
    <n v="49"/>
  </r>
  <r>
    <x v="250"/>
    <x v="3"/>
    <x v="504"/>
    <n v="1997"/>
    <n v="19"/>
    <x v="19"/>
    <s v="Brazil"/>
    <n v="8800000"/>
    <n v="27000000"/>
    <x v="0"/>
    <n v="10"/>
    <n v="650"/>
    <x v="8"/>
    <n v="242"/>
    <x v="2"/>
    <x v="4"/>
    <x v="0"/>
    <n v="2"/>
    <n v="3"/>
    <n v="24"/>
    <n v="13"/>
    <n v="0"/>
    <n v="0"/>
    <n v="1"/>
    <n v="1"/>
    <n v="0"/>
    <n v="9"/>
    <n v="2"/>
    <n v="3"/>
    <n v="0"/>
    <n v="2"/>
    <n v="0"/>
    <n v="2"/>
    <n v="11"/>
    <n v="0"/>
    <n v="5"/>
    <n v="0"/>
    <n v="0"/>
    <n v="1"/>
    <n v="8"/>
    <n v="14"/>
  </r>
  <r>
    <x v="250"/>
    <x v="1"/>
    <x v="505"/>
    <n v="1997"/>
    <n v="20"/>
    <x v="19"/>
    <s v="Brazil"/>
    <n v="27000000"/>
    <n v="72000000"/>
    <x v="0"/>
    <n v="29"/>
    <n v="1671"/>
    <x v="11"/>
    <n v="591"/>
    <x v="6"/>
    <x v="8"/>
    <x v="0"/>
    <n v="10"/>
    <n v="14"/>
    <n v="56"/>
    <n v="33"/>
    <n v="3"/>
    <n v="4"/>
    <n v="3"/>
    <n v="0"/>
    <n v="0"/>
    <n v="15"/>
    <n v="7"/>
    <n v="23"/>
    <n v="0"/>
    <n v="2"/>
    <n v="0"/>
    <n v="8"/>
    <n v="28"/>
    <n v="0"/>
    <n v="23"/>
    <n v="0"/>
    <n v="0"/>
    <n v="6"/>
    <n v="21"/>
    <n v="45"/>
  </r>
  <r>
    <x v="250"/>
    <x v="2"/>
    <x v="506"/>
    <n v="1997"/>
    <n v="21"/>
    <x v="19"/>
    <s v="Brazil"/>
    <n v="72000000"/>
    <n v="63000000"/>
    <x v="0"/>
    <n v="29"/>
    <n v="1021"/>
    <x v="8"/>
    <n v="357"/>
    <x v="6"/>
    <x v="3"/>
    <x v="0"/>
    <n v="21"/>
    <n v="4"/>
    <n v="43"/>
    <n v="25"/>
    <n v="1"/>
    <n v="2"/>
    <n v="2"/>
    <n v="0"/>
    <n v="0"/>
    <n v="13"/>
    <n v="2"/>
    <n v="18"/>
    <n v="0"/>
    <n v="4"/>
    <n v="2"/>
    <n v="3"/>
    <n v="12"/>
    <n v="0"/>
    <n v="10"/>
    <n v="0"/>
    <n v="0"/>
    <n v="3"/>
    <n v="15"/>
    <n v="40"/>
  </r>
  <r>
    <x v="251"/>
    <x v="0"/>
    <x v="507"/>
    <n v="1990"/>
    <n v="24"/>
    <x v="7"/>
    <s v="Brazil"/>
    <n v="10800000"/>
    <n v="10800000"/>
    <x v="1"/>
    <n v="21"/>
    <n v="1761"/>
    <x v="4"/>
    <n v="1110"/>
    <x v="0"/>
    <x v="5"/>
    <x v="1"/>
    <n v="3"/>
    <n v="0"/>
    <n v="11"/>
    <n v="4"/>
    <n v="1"/>
    <n v="48"/>
    <n v="1"/>
    <n v="0"/>
    <n v="0"/>
    <n v="0"/>
    <n v="1"/>
    <n v="0"/>
    <n v="0"/>
    <n v="0"/>
    <n v="13"/>
    <n v="61"/>
    <n v="9"/>
    <n v="3"/>
    <n v="43"/>
    <n v="0"/>
    <n v="0"/>
    <n v="112"/>
    <n v="51"/>
    <n v="32"/>
  </r>
  <r>
    <x v="251"/>
    <x v="3"/>
    <x v="508"/>
    <n v="1990"/>
    <n v="25"/>
    <x v="7"/>
    <s v="Brazil"/>
    <n v="10800000"/>
    <n v="11700000"/>
    <x v="1"/>
    <n v="19"/>
    <n v="1516"/>
    <x v="0"/>
    <n v="872"/>
    <x v="0"/>
    <x v="8"/>
    <x v="0"/>
    <n v="4"/>
    <n v="2"/>
    <n v="9"/>
    <n v="2"/>
    <n v="0"/>
    <n v="48"/>
    <n v="0"/>
    <n v="0"/>
    <n v="0"/>
    <n v="0"/>
    <n v="0"/>
    <n v="1"/>
    <n v="0"/>
    <n v="8"/>
    <n v="9"/>
    <n v="30"/>
    <n v="20"/>
    <n v="0"/>
    <n v="25"/>
    <n v="0"/>
    <n v="0"/>
    <n v="85"/>
    <n v="49"/>
    <n v="39"/>
  </r>
  <r>
    <x v="252"/>
    <x v="0"/>
    <x v="509"/>
    <n v="1981"/>
    <n v="34"/>
    <x v="4"/>
    <s v="England"/>
    <n v="2000000"/>
    <n v="1500000"/>
    <x v="2"/>
    <n v="33"/>
    <n v="2835"/>
    <x v="0"/>
    <n v="2061"/>
    <x v="0"/>
    <x v="2"/>
    <x v="1"/>
    <n v="1"/>
    <n v="1"/>
    <n v="15"/>
    <n v="4"/>
    <n v="0"/>
    <n v="37"/>
    <n v="0"/>
    <n v="0"/>
    <n v="0"/>
    <n v="1"/>
    <n v="5"/>
    <n v="1"/>
    <n v="8"/>
    <n v="33"/>
    <n v="24"/>
    <n v="54"/>
    <n v="42"/>
    <n v="0"/>
    <n v="96"/>
    <n v="1"/>
    <n v="0"/>
    <n v="79"/>
    <n v="56"/>
    <n v="27"/>
  </r>
  <r>
    <x v="252"/>
    <x v="3"/>
    <x v="510"/>
    <n v="1981"/>
    <n v="35"/>
    <x v="4"/>
    <s v="England"/>
    <n v="1500000"/>
    <n v="1000000"/>
    <x v="2"/>
    <n v="33"/>
    <n v="2112"/>
    <x v="5"/>
    <n v="1376"/>
    <x v="3"/>
    <x v="7"/>
    <x v="0"/>
    <n v="10"/>
    <n v="12"/>
    <n v="17"/>
    <n v="7"/>
    <n v="0"/>
    <n v="34"/>
    <n v="1"/>
    <n v="0"/>
    <n v="0"/>
    <n v="1"/>
    <n v="6"/>
    <n v="0"/>
    <n v="13"/>
    <n v="22"/>
    <n v="22"/>
    <n v="35"/>
    <n v="48"/>
    <n v="0"/>
    <n v="70"/>
    <n v="0"/>
    <n v="0"/>
    <n v="57"/>
    <n v="32"/>
    <n v="24"/>
  </r>
  <r>
    <x v="252"/>
    <x v="1"/>
    <x v="511"/>
    <n v="1981"/>
    <n v="36"/>
    <x v="18"/>
    <s v="England"/>
    <n v="1000000"/>
    <n v="750000"/>
    <x v="2"/>
    <n v="25"/>
    <n v="1927"/>
    <x v="4"/>
    <n v="927"/>
    <x v="3"/>
    <x v="5"/>
    <x v="0"/>
    <n v="3"/>
    <n v="6"/>
    <n v="16"/>
    <n v="6"/>
    <n v="0"/>
    <n v="22"/>
    <n v="0"/>
    <n v="0"/>
    <n v="0"/>
    <n v="1"/>
    <n v="3"/>
    <n v="10"/>
    <n v="12"/>
    <n v="28"/>
    <n v="11"/>
    <n v="14"/>
    <n v="28"/>
    <n v="0"/>
    <n v="35"/>
    <n v="0"/>
    <n v="0"/>
    <n v="32"/>
    <n v="0"/>
    <n v="36"/>
  </r>
  <r>
    <x v="253"/>
    <x v="3"/>
    <x v="512"/>
    <n v="1979"/>
    <n v="36"/>
    <x v="18"/>
    <s v="Northern Ireland"/>
    <n v="900000"/>
    <n v="900000"/>
    <x v="1"/>
    <n v="36"/>
    <n v="3143"/>
    <x v="14"/>
    <n v="742"/>
    <x v="3"/>
    <x v="2"/>
    <x v="0"/>
    <n v="0"/>
    <n v="3"/>
    <n v="16"/>
    <n v="7"/>
    <n v="2"/>
    <n v="150"/>
    <n v="4"/>
    <n v="0"/>
    <n v="0"/>
    <n v="0"/>
    <n v="0"/>
    <n v="1"/>
    <n v="0"/>
    <n v="4"/>
    <n v="31"/>
    <n v="71"/>
    <n v="27"/>
    <n v="0"/>
    <n v="50"/>
    <n v="2"/>
    <n v="0"/>
    <n v="227"/>
    <n v="113"/>
    <n v="47"/>
  </r>
  <r>
    <x v="253"/>
    <x v="0"/>
    <x v="513"/>
    <n v="1979"/>
    <n v="35"/>
    <x v="18"/>
    <s v="Northern Ireland"/>
    <n v="450000"/>
    <n v="900000"/>
    <x v="1"/>
    <n v="34"/>
    <n v="3059"/>
    <x v="4"/>
    <n v="849"/>
    <x v="0"/>
    <x v="5"/>
    <x v="1"/>
    <n v="0"/>
    <n v="0"/>
    <n v="7"/>
    <n v="3"/>
    <n v="1"/>
    <n v="96"/>
    <n v="1"/>
    <n v="0"/>
    <n v="0"/>
    <n v="2"/>
    <n v="1"/>
    <n v="0"/>
    <n v="0"/>
    <n v="4"/>
    <n v="28"/>
    <n v="95"/>
    <n v="32"/>
    <n v="2"/>
    <n v="45"/>
    <n v="0"/>
    <n v="0"/>
    <n v="172"/>
    <n v="93"/>
    <n v="46"/>
  </r>
  <r>
    <x v="254"/>
    <x v="1"/>
    <x v="514"/>
    <n v="1985"/>
    <n v="32"/>
    <x v="1"/>
    <s v="England"/>
    <n v="14400000"/>
    <n v="13500000"/>
    <x v="1"/>
    <n v="27"/>
    <n v="2084"/>
    <x v="0"/>
    <n v="1330"/>
    <x v="0"/>
    <x v="3"/>
    <x v="1"/>
    <n v="3"/>
    <n v="1"/>
    <n v="10"/>
    <n v="3"/>
    <n v="0"/>
    <n v="79"/>
    <n v="0"/>
    <n v="0"/>
    <n v="0"/>
    <n v="0"/>
    <n v="0"/>
    <n v="7"/>
    <n v="0"/>
    <n v="0"/>
    <n v="14"/>
    <n v="27"/>
    <n v="17"/>
    <n v="0"/>
    <n v="29"/>
    <n v="1"/>
    <n v="0"/>
    <n v="123"/>
    <n v="93"/>
    <n v="31"/>
  </r>
  <r>
    <x v="254"/>
    <x v="0"/>
    <x v="515"/>
    <n v="1985"/>
    <n v="29"/>
    <x v="1"/>
    <s v="England"/>
    <n v="18000000"/>
    <n v="14400000"/>
    <x v="1"/>
    <n v="22"/>
    <n v="1955"/>
    <x v="5"/>
    <n v="773"/>
    <x v="0"/>
    <x v="4"/>
    <x v="0"/>
    <n v="2"/>
    <n v="0"/>
    <n v="13"/>
    <n v="4"/>
    <n v="0"/>
    <n v="58"/>
    <n v="0"/>
    <n v="0"/>
    <n v="0"/>
    <n v="1"/>
    <n v="1"/>
    <n v="0"/>
    <n v="0"/>
    <n v="0"/>
    <n v="34"/>
    <n v="36"/>
    <n v="17"/>
    <n v="2"/>
    <n v="22"/>
    <n v="0"/>
    <n v="1"/>
    <n v="114"/>
    <n v="69"/>
    <n v="38"/>
  </r>
  <r>
    <x v="254"/>
    <x v="3"/>
    <x v="516"/>
    <n v="1985"/>
    <n v="30"/>
    <x v="1"/>
    <s v="England"/>
    <n v="14400000"/>
    <n v="14400000"/>
    <x v="1"/>
    <n v="37"/>
    <n v="3296"/>
    <x v="14"/>
    <n v="1849"/>
    <x v="0"/>
    <x v="2"/>
    <x v="0"/>
    <n v="1"/>
    <n v="1"/>
    <n v="24"/>
    <n v="10"/>
    <n v="0"/>
    <n v="110"/>
    <n v="3"/>
    <n v="0"/>
    <n v="0"/>
    <n v="2"/>
    <n v="1"/>
    <n v="0"/>
    <n v="0"/>
    <n v="1"/>
    <n v="19"/>
    <n v="46"/>
    <n v="34"/>
    <n v="0"/>
    <n v="53"/>
    <n v="2"/>
    <n v="1"/>
    <n v="167"/>
    <n v="91"/>
    <n v="56"/>
  </r>
  <r>
    <x v="255"/>
    <x v="0"/>
    <x v="517"/>
    <n v="1983"/>
    <n v="32"/>
    <x v="21"/>
    <s v="England"/>
    <n v="4500000"/>
    <n v="5400000"/>
    <x v="2"/>
    <n v="27"/>
    <n v="1749"/>
    <x v="0"/>
    <n v="943"/>
    <x v="0"/>
    <x v="1"/>
    <x v="0"/>
    <n v="8"/>
    <n v="1"/>
    <n v="11"/>
    <n v="0"/>
    <n v="0"/>
    <n v="14"/>
    <n v="0"/>
    <n v="0"/>
    <n v="0"/>
    <n v="0"/>
    <n v="0"/>
    <n v="1"/>
    <n v="25"/>
    <n v="44"/>
    <n v="7"/>
    <n v="36"/>
    <n v="40"/>
    <n v="0"/>
    <n v="41"/>
    <n v="0"/>
    <n v="0"/>
    <n v="30"/>
    <n v="24"/>
    <n v="25"/>
  </r>
  <r>
    <x v="256"/>
    <x v="3"/>
    <x v="518"/>
    <n v="1990"/>
    <n v="25"/>
    <x v="2"/>
    <s v="Uruguay"/>
    <n v="2700000"/>
    <n v="2700000"/>
    <x v="2"/>
    <n v="24"/>
    <n v="1549"/>
    <x v="5"/>
    <n v="625"/>
    <x v="6"/>
    <x v="9"/>
    <x v="0"/>
    <n v="4"/>
    <n v="14"/>
    <n v="32"/>
    <n v="9"/>
    <n v="3"/>
    <n v="7"/>
    <n v="1"/>
    <n v="0"/>
    <n v="0"/>
    <n v="1"/>
    <n v="9"/>
    <n v="2"/>
    <n v="38"/>
    <n v="81"/>
    <n v="2"/>
    <n v="15"/>
    <n v="36"/>
    <n v="0"/>
    <n v="46"/>
    <n v="0"/>
    <n v="0"/>
    <n v="11"/>
    <n v="15"/>
    <n v="36"/>
  </r>
  <r>
    <x v="257"/>
    <x v="3"/>
    <x v="519"/>
    <n v="1985"/>
    <n v="31"/>
    <x v="25"/>
    <s v="United States"/>
    <n v="3600000"/>
    <n v="3600000"/>
    <x v="2"/>
    <n v="19"/>
    <n v="1628"/>
    <x v="0"/>
    <n v="787"/>
    <x v="3"/>
    <x v="3"/>
    <x v="0"/>
    <n v="1"/>
    <n v="0"/>
    <n v="11"/>
    <n v="5"/>
    <n v="0"/>
    <n v="26"/>
    <n v="0"/>
    <n v="0"/>
    <n v="0"/>
    <n v="1"/>
    <n v="1"/>
    <n v="1"/>
    <n v="0"/>
    <n v="14"/>
    <n v="14"/>
    <n v="32"/>
    <n v="17"/>
    <n v="0"/>
    <n v="48"/>
    <n v="0"/>
    <n v="0"/>
    <n v="47"/>
    <n v="55"/>
    <n v="43"/>
  </r>
  <r>
    <x v="257"/>
    <x v="0"/>
    <x v="520"/>
    <n v="1985"/>
    <n v="30"/>
    <x v="25"/>
    <s v="United States"/>
    <n v="2700000"/>
    <n v="2700000"/>
    <x v="1"/>
    <n v="30"/>
    <n v="2361"/>
    <x v="0"/>
    <n v="1128"/>
    <x v="0"/>
    <x v="0"/>
    <x v="1"/>
    <n v="3"/>
    <n v="5"/>
    <n v="15"/>
    <n v="2"/>
    <n v="0"/>
    <n v="62"/>
    <n v="0"/>
    <n v="0"/>
    <n v="0"/>
    <n v="0"/>
    <n v="3"/>
    <n v="0"/>
    <n v="0"/>
    <n v="16"/>
    <n v="19"/>
    <n v="56"/>
    <n v="27"/>
    <n v="2"/>
    <n v="60"/>
    <n v="0"/>
    <n v="0"/>
    <n v="98"/>
    <n v="70"/>
    <n v="40"/>
  </r>
  <r>
    <x v="257"/>
    <x v="1"/>
    <x v="521"/>
    <n v="1985"/>
    <n v="32"/>
    <x v="25"/>
    <s v="United States"/>
    <n v="2700000"/>
    <n v="2250000"/>
    <x v="1"/>
    <n v="20"/>
    <n v="1524"/>
    <x v="0"/>
    <n v="506"/>
    <x v="0"/>
    <x v="4"/>
    <x v="0"/>
    <n v="3"/>
    <n v="3"/>
    <n v="0"/>
    <n v="0"/>
    <n v="0"/>
    <n v="23"/>
    <n v="0"/>
    <n v="0"/>
    <n v="0"/>
    <n v="0"/>
    <n v="0"/>
    <n v="0"/>
    <n v="0"/>
    <n v="9"/>
    <n v="8"/>
    <n v="36"/>
    <n v="16"/>
    <n v="1"/>
    <n v="34"/>
    <n v="0"/>
    <n v="0"/>
    <n v="61"/>
    <n v="39"/>
    <n v="32"/>
  </r>
  <r>
    <x v="258"/>
    <x v="3"/>
    <x v="522"/>
    <n v="1985"/>
    <n v="30"/>
    <x v="5"/>
    <s v="Scotland"/>
    <n v="16500000"/>
    <n v="24200000"/>
    <x v="2"/>
    <n v="36"/>
    <n v="2844"/>
    <x v="5"/>
    <n v="550"/>
    <x v="3"/>
    <x v="6"/>
    <x v="0"/>
    <n v="3"/>
    <n v="12"/>
    <n v="34"/>
    <n v="6"/>
    <n v="0"/>
    <n v="16"/>
    <n v="0"/>
    <n v="0"/>
    <n v="0"/>
    <n v="8"/>
    <n v="1"/>
    <n v="0"/>
    <n v="1"/>
    <n v="39"/>
    <n v="7"/>
    <n v="34"/>
    <n v="31"/>
    <n v="0"/>
    <n v="87"/>
    <n v="0"/>
    <n v="0"/>
    <n v="35"/>
    <n v="23"/>
    <n v="56"/>
  </r>
  <r>
    <x v="259"/>
    <x v="3"/>
    <x v="523"/>
    <n v="1987"/>
    <n v="28"/>
    <x v="2"/>
    <s v="England"/>
    <n v="1650000"/>
    <n v="1650000"/>
    <x v="1"/>
    <n v="24"/>
    <n v="1960"/>
    <x v="0"/>
    <n v="780"/>
    <x v="5"/>
    <x v="5"/>
    <x v="0"/>
    <n v="4"/>
    <n v="0"/>
    <n v="15"/>
    <n v="1"/>
    <n v="0"/>
    <n v="49"/>
    <n v="0"/>
    <n v="0"/>
    <n v="0"/>
    <n v="0"/>
    <n v="0"/>
    <n v="0"/>
    <n v="0"/>
    <n v="37"/>
    <n v="11"/>
    <n v="56"/>
    <n v="28"/>
    <n v="0"/>
    <n v="62"/>
    <n v="1"/>
    <n v="0"/>
    <n v="80"/>
    <n v="47"/>
    <n v="38"/>
  </r>
  <r>
    <x v="260"/>
    <x v="0"/>
    <x v="524"/>
    <n v="1990"/>
    <n v="24"/>
    <x v="20"/>
    <s v="Netherlands"/>
    <n v="24200000"/>
    <n v="30800000"/>
    <x v="2"/>
    <n v="38"/>
    <n v="3168"/>
    <x v="1"/>
    <n v="1252"/>
    <x v="8"/>
    <x v="3"/>
    <x v="0"/>
    <n v="2"/>
    <n v="7"/>
    <n v="54"/>
    <n v="29"/>
    <n v="0"/>
    <n v="10"/>
    <n v="4"/>
    <n v="0"/>
    <n v="0"/>
    <n v="5"/>
    <n v="3"/>
    <n v="7"/>
    <n v="8"/>
    <n v="34"/>
    <n v="6"/>
    <n v="27"/>
    <n v="16"/>
    <n v="0"/>
    <n v="38"/>
    <n v="0"/>
    <n v="0"/>
    <n v="16"/>
    <n v="25"/>
    <n v="43"/>
  </r>
  <r>
    <x v="260"/>
    <x v="3"/>
    <x v="525"/>
    <n v="1990"/>
    <n v="25"/>
    <x v="13"/>
    <s v="Netherlands"/>
    <n v="30800000"/>
    <n v="33000000"/>
    <x v="2"/>
    <n v="36"/>
    <n v="2975"/>
    <x v="14"/>
    <n v="1625"/>
    <x v="11"/>
    <x v="4"/>
    <x v="0"/>
    <n v="3"/>
    <n v="9"/>
    <n v="60"/>
    <n v="20"/>
    <n v="0"/>
    <n v="21"/>
    <n v="2"/>
    <n v="0"/>
    <n v="0"/>
    <n v="3"/>
    <n v="3"/>
    <n v="1"/>
    <n v="1"/>
    <n v="13"/>
    <n v="2"/>
    <n v="26"/>
    <n v="22"/>
    <n v="0"/>
    <n v="46"/>
    <n v="2"/>
    <n v="0"/>
    <n v="32"/>
    <n v="39"/>
    <n v="39"/>
  </r>
  <r>
    <x v="260"/>
    <x v="1"/>
    <x v="526"/>
    <n v="1990"/>
    <n v="27"/>
    <x v="13"/>
    <s v="Netherlands"/>
    <n v="33000000"/>
    <n v="55000000"/>
    <x v="2"/>
    <n v="33"/>
    <n v="2387"/>
    <x v="4"/>
    <n v="1266"/>
    <x v="5"/>
    <x v="3"/>
    <x v="0"/>
    <n v="6"/>
    <n v="6"/>
    <n v="38"/>
    <n v="10"/>
    <n v="1"/>
    <n v="7"/>
    <n v="0"/>
    <n v="0"/>
    <n v="0"/>
    <n v="4"/>
    <n v="2"/>
    <n v="28"/>
    <n v="1"/>
    <n v="2"/>
    <n v="2"/>
    <n v="25"/>
    <n v="13"/>
    <n v="0"/>
    <n v="34"/>
    <n v="0"/>
    <n v="0"/>
    <n v="19"/>
    <n v="16"/>
    <n v="29"/>
  </r>
  <r>
    <x v="260"/>
    <x v="2"/>
    <x v="527"/>
    <n v="1990"/>
    <n v="27"/>
    <x v="13"/>
    <s v="Netherlands"/>
    <n v="13200000"/>
    <n v="19800000"/>
    <x v="2"/>
    <n v="35"/>
    <n v="2736"/>
    <x v="7"/>
    <n v="1769"/>
    <x v="0"/>
    <x v="6"/>
    <x v="0"/>
    <n v="3"/>
    <n v="13"/>
    <n v="30"/>
    <n v="10"/>
    <n v="0"/>
    <n v="13"/>
    <n v="1"/>
    <n v="0"/>
    <n v="0"/>
    <n v="2"/>
    <n v="5"/>
    <n v="20"/>
    <n v="7"/>
    <n v="13"/>
    <n v="7"/>
    <n v="21"/>
    <n v="18"/>
    <n v="0"/>
    <n v="40"/>
    <n v="0"/>
    <n v="0"/>
    <n v="24"/>
    <n v="32"/>
    <n v="34"/>
  </r>
  <r>
    <x v="261"/>
    <x v="0"/>
    <x v="528"/>
    <n v="1994"/>
    <n v="21"/>
    <x v="4"/>
    <s v="Spain"/>
    <n v="5900000"/>
    <n v="8100000"/>
    <x v="0"/>
    <n v="26"/>
    <n v="1384"/>
    <x v="5"/>
    <n v="523"/>
    <x v="7"/>
    <x v="4"/>
    <x v="0"/>
    <n v="10"/>
    <n v="11"/>
    <n v="9"/>
    <n v="6"/>
    <n v="0"/>
    <n v="0"/>
    <n v="0"/>
    <n v="0"/>
    <n v="0"/>
    <n v="2"/>
    <n v="10"/>
    <n v="1"/>
    <n v="32"/>
    <n v="141"/>
    <n v="0"/>
    <n v="14"/>
    <n v="3"/>
    <n v="0"/>
    <n v="16"/>
    <n v="0"/>
    <n v="0"/>
    <n v="5"/>
    <n v="1"/>
    <n v="7"/>
  </r>
  <r>
    <x v="261"/>
    <x v="3"/>
    <x v="529"/>
    <n v="1994"/>
    <n v="22"/>
    <x v="4"/>
    <s v="Spain"/>
    <n v="8100000"/>
    <n v="8100000"/>
    <x v="0"/>
    <n v="11"/>
    <n v="457"/>
    <x v="0"/>
    <n v="164"/>
    <x v="0"/>
    <x v="3"/>
    <x v="0"/>
    <n v="7"/>
    <n v="3"/>
    <n v="7"/>
    <n v="3"/>
    <n v="1"/>
    <n v="0"/>
    <n v="0"/>
    <n v="0"/>
    <n v="0"/>
    <n v="10"/>
    <n v="0"/>
    <n v="1"/>
    <n v="8"/>
    <n v="37"/>
    <n v="0"/>
    <n v="4"/>
    <n v="2"/>
    <n v="0"/>
    <n v="6"/>
    <n v="0"/>
    <n v="0"/>
    <n v="0"/>
    <n v="0"/>
    <n v="4"/>
  </r>
  <r>
    <x v="261"/>
    <x v="2"/>
    <x v="530"/>
    <n v="1994"/>
    <n v="24"/>
    <x v="9"/>
    <s v="Spain"/>
    <n v="12600000"/>
    <n v="22500000"/>
    <x v="0"/>
    <n v="30"/>
    <n v="2079"/>
    <x v="15"/>
    <n v="718"/>
    <x v="8"/>
    <x v="6"/>
    <x v="0"/>
    <n v="4"/>
    <n v="20"/>
    <n v="60"/>
    <n v="22"/>
    <n v="1"/>
    <n v="2"/>
    <n v="0"/>
    <n v="0"/>
    <n v="0"/>
    <n v="34"/>
    <n v="8"/>
    <n v="38"/>
    <n v="9"/>
    <n v="62"/>
    <n v="0"/>
    <n v="14"/>
    <n v="14"/>
    <n v="0"/>
    <n v="11"/>
    <n v="0"/>
    <n v="0"/>
    <n v="3"/>
    <n v="3"/>
    <n v="19"/>
  </r>
  <r>
    <x v="262"/>
    <x v="0"/>
    <x v="531"/>
    <n v="1992"/>
    <n v="22"/>
    <x v="25"/>
    <s v="The Democratic Republic Of Congo"/>
    <n v="19800000"/>
    <n v="13200000"/>
    <x v="2"/>
    <n v="14"/>
    <n v="1260"/>
    <x v="5"/>
    <n v="772"/>
    <x v="0"/>
    <x v="5"/>
    <x v="0"/>
    <n v="0"/>
    <n v="0"/>
    <n v="21"/>
    <n v="0"/>
    <n v="0"/>
    <n v="3"/>
    <n v="0"/>
    <n v="0"/>
    <n v="0"/>
    <n v="0"/>
    <n v="4"/>
    <n v="0"/>
    <n v="0"/>
    <n v="5"/>
    <n v="2"/>
    <n v="7"/>
    <n v="17"/>
    <n v="0"/>
    <n v="14"/>
    <n v="0"/>
    <n v="0"/>
    <n v="5"/>
    <n v="12"/>
    <n v="12"/>
  </r>
  <r>
    <x v="262"/>
    <x v="3"/>
    <x v="532"/>
    <n v="1992"/>
    <n v="23"/>
    <x v="25"/>
    <s v="The Democratic Republic Of Congo"/>
    <n v="1800000"/>
    <n v="2700000"/>
    <x v="2"/>
    <n v="12"/>
    <n v="796"/>
    <x v="0"/>
    <n v="384"/>
    <x v="0"/>
    <x v="3"/>
    <x v="0"/>
    <n v="3"/>
    <n v="3"/>
    <n v="9"/>
    <n v="0"/>
    <n v="1"/>
    <n v="5"/>
    <n v="0"/>
    <n v="0"/>
    <n v="0"/>
    <n v="0"/>
    <n v="2"/>
    <n v="0"/>
    <n v="0"/>
    <n v="8"/>
    <n v="0"/>
    <n v="4"/>
    <n v="3"/>
    <n v="0"/>
    <n v="11"/>
    <n v="0"/>
    <n v="1"/>
    <n v="9"/>
    <n v="6"/>
    <n v="8"/>
  </r>
  <r>
    <x v="263"/>
    <x v="3"/>
    <x v="533"/>
    <n v="1984"/>
    <n v="31"/>
    <x v="25"/>
    <s v="England"/>
    <n v="6300000"/>
    <n v="4500000"/>
    <x v="1"/>
    <n v="23"/>
    <n v="1955"/>
    <x v="0"/>
    <n v="740"/>
    <x v="0"/>
    <x v="3"/>
    <x v="0"/>
    <n v="2"/>
    <n v="0"/>
    <n v="8"/>
    <n v="4"/>
    <n v="0"/>
    <n v="24"/>
    <n v="0"/>
    <n v="0"/>
    <n v="0"/>
    <n v="0"/>
    <n v="1"/>
    <n v="1"/>
    <n v="0"/>
    <n v="32"/>
    <n v="11"/>
    <n v="38"/>
    <n v="12"/>
    <n v="0"/>
    <n v="49"/>
    <n v="1"/>
    <n v="0"/>
    <n v="65"/>
    <n v="22"/>
    <n v="12"/>
  </r>
  <r>
    <x v="263"/>
    <x v="0"/>
    <x v="534"/>
    <n v="1984"/>
    <n v="30"/>
    <x v="25"/>
    <s v="England"/>
    <n v="6300000"/>
    <n v="6300000"/>
    <x v="1"/>
    <n v="25"/>
    <n v="2186"/>
    <x v="0"/>
    <n v="895"/>
    <x v="6"/>
    <x v="3"/>
    <x v="0"/>
    <n v="0"/>
    <n v="2"/>
    <n v="17"/>
    <n v="0"/>
    <n v="0"/>
    <n v="18"/>
    <n v="0"/>
    <n v="0"/>
    <n v="0"/>
    <n v="4"/>
    <n v="2"/>
    <n v="0"/>
    <n v="0"/>
    <n v="56"/>
    <n v="13"/>
    <n v="51"/>
    <n v="11"/>
    <n v="0"/>
    <n v="41"/>
    <n v="0"/>
    <n v="0"/>
    <n v="27"/>
    <n v="17"/>
    <n v="11"/>
  </r>
  <r>
    <x v="264"/>
    <x v="0"/>
    <x v="535"/>
    <n v="1983"/>
    <n v="31"/>
    <x v="14"/>
    <s v="England"/>
    <n v="2750000"/>
    <n v="3150000"/>
    <x v="0"/>
    <n v="21"/>
    <n v="795"/>
    <x v="7"/>
    <n v="203"/>
    <x v="0"/>
    <x v="4"/>
    <x v="0"/>
    <n v="13"/>
    <n v="7"/>
    <n v="25"/>
    <n v="14"/>
    <n v="0"/>
    <n v="5"/>
    <n v="2"/>
    <n v="0"/>
    <n v="0"/>
    <n v="13"/>
    <n v="0"/>
    <n v="4"/>
    <n v="0"/>
    <n v="6"/>
    <n v="3"/>
    <n v="3"/>
    <n v="26"/>
    <n v="0"/>
    <n v="7"/>
    <n v="0"/>
    <n v="0"/>
    <n v="9"/>
    <n v="27"/>
    <n v="31"/>
  </r>
  <r>
    <x v="264"/>
    <x v="1"/>
    <x v="536"/>
    <n v="1983"/>
    <n v="34"/>
    <x v="23"/>
    <s v="England"/>
    <n v="3850000"/>
    <n v="2700000"/>
    <x v="0"/>
    <n v="35"/>
    <n v="2196"/>
    <x v="13"/>
    <n v="664"/>
    <x v="0"/>
    <x v="10"/>
    <x v="0"/>
    <n v="10"/>
    <n v="15"/>
    <n v="53"/>
    <n v="25"/>
    <n v="0"/>
    <n v="19"/>
    <n v="3"/>
    <n v="4"/>
    <n v="0"/>
    <n v="35"/>
    <n v="4"/>
    <n v="28"/>
    <n v="0"/>
    <n v="9"/>
    <n v="4"/>
    <n v="5"/>
    <n v="60"/>
    <n v="0"/>
    <n v="18"/>
    <n v="0"/>
    <n v="0"/>
    <n v="27"/>
    <n v="117"/>
    <n v="151"/>
  </r>
  <r>
    <x v="264"/>
    <x v="2"/>
    <x v="537"/>
    <n v="1983"/>
    <n v="34"/>
    <x v="23"/>
    <s v="England"/>
    <n v="2700000"/>
    <n v="2700000"/>
    <x v="0"/>
    <n v="38"/>
    <n v="2512"/>
    <x v="11"/>
    <n v="606"/>
    <x v="3"/>
    <x v="2"/>
    <x v="0"/>
    <n v="8"/>
    <n v="14"/>
    <n v="54"/>
    <n v="21"/>
    <n v="1"/>
    <n v="9"/>
    <n v="2"/>
    <n v="4"/>
    <n v="0"/>
    <n v="38"/>
    <n v="0"/>
    <n v="33"/>
    <n v="0"/>
    <n v="8"/>
    <n v="3"/>
    <n v="2"/>
    <n v="80"/>
    <n v="0"/>
    <n v="17"/>
    <n v="0"/>
    <n v="0"/>
    <n v="16"/>
    <n v="175"/>
    <n v="184"/>
  </r>
  <r>
    <x v="265"/>
    <x v="0"/>
    <x v="538"/>
    <n v="1984"/>
    <n v="31"/>
    <x v="25"/>
    <s v="Ireland"/>
    <n v="2700000"/>
    <n v="2250000"/>
    <x v="2"/>
    <n v="37"/>
    <n v="3173"/>
    <x v="0"/>
    <n v="2070"/>
    <x v="0"/>
    <x v="8"/>
    <x v="0"/>
    <n v="0"/>
    <n v="8"/>
    <n v="11"/>
    <n v="3"/>
    <n v="0"/>
    <n v="58"/>
    <n v="0"/>
    <n v="0"/>
    <n v="0"/>
    <n v="0"/>
    <n v="2"/>
    <n v="0"/>
    <n v="9"/>
    <n v="25"/>
    <n v="22"/>
    <n v="73"/>
    <n v="25"/>
    <n v="0"/>
    <n v="71"/>
    <n v="0"/>
    <n v="0"/>
    <n v="99"/>
    <n v="40"/>
    <n v="31"/>
  </r>
  <r>
    <x v="265"/>
    <x v="3"/>
    <x v="539"/>
    <n v="1984"/>
    <n v="32"/>
    <x v="25"/>
    <s v="Ireland"/>
    <n v="1500000"/>
    <n v="5000000"/>
    <x v="2"/>
    <n v="30"/>
    <n v="2277"/>
    <x v="0"/>
    <n v="1408"/>
    <x v="3"/>
    <x v="2"/>
    <x v="0"/>
    <n v="4"/>
    <n v="7"/>
    <n v="6"/>
    <n v="1"/>
    <n v="0"/>
    <n v="20"/>
    <n v="0"/>
    <n v="0"/>
    <n v="0"/>
    <n v="0"/>
    <n v="1"/>
    <n v="0"/>
    <n v="8"/>
    <n v="24"/>
    <n v="20"/>
    <n v="37"/>
    <n v="18"/>
    <n v="0"/>
    <n v="46"/>
    <n v="0"/>
    <n v="0"/>
    <n v="47"/>
    <n v="27"/>
    <n v="18"/>
  </r>
  <r>
    <x v="266"/>
    <x v="2"/>
    <x v="540"/>
    <n v="1987"/>
    <n v="30"/>
    <x v="1"/>
    <s v="Argentina"/>
    <n v="66000000"/>
    <n v="31500000"/>
    <x v="0"/>
    <n v="14"/>
    <n v="1092"/>
    <x v="2"/>
    <n v="316"/>
    <x v="0"/>
    <x v="0"/>
    <x v="0"/>
    <n v="1"/>
    <n v="8"/>
    <n v="46"/>
    <n v="15"/>
    <n v="2"/>
    <n v="3"/>
    <n v="0"/>
    <n v="0"/>
    <n v="0"/>
    <n v="11"/>
    <n v="5"/>
    <n v="31"/>
    <n v="0"/>
    <n v="2"/>
    <n v="0"/>
    <n v="1"/>
    <n v="6"/>
    <n v="0"/>
    <n v="10"/>
    <n v="0"/>
    <n v="0"/>
    <n v="5"/>
    <n v="7"/>
    <n v="13"/>
  </r>
  <r>
    <x v="267"/>
    <x v="2"/>
    <x v="541"/>
    <n v="1998"/>
    <n v="20"/>
    <x v="3"/>
    <s v="England"/>
    <n v="1800000"/>
    <n v="3150000"/>
    <x v="2"/>
    <n v="17"/>
    <n v="605"/>
    <x v="0"/>
    <n v="244"/>
    <x v="3"/>
    <x v="0"/>
    <x v="0"/>
    <n v="11"/>
    <n v="6"/>
    <n v="10"/>
    <n v="3"/>
    <n v="0"/>
    <n v="2"/>
    <n v="0"/>
    <n v="0"/>
    <n v="0"/>
    <n v="1"/>
    <n v="0"/>
    <n v="7"/>
    <n v="5"/>
    <n v="14"/>
    <n v="0"/>
    <n v="1"/>
    <n v="4"/>
    <n v="0"/>
    <n v="20"/>
    <n v="0"/>
    <n v="0"/>
    <n v="4"/>
    <n v="7"/>
    <n v="20"/>
  </r>
  <r>
    <x v="268"/>
    <x v="0"/>
    <x v="542"/>
    <n v="1987"/>
    <n v="28"/>
    <x v="21"/>
    <s v="Scotland"/>
    <n v="38500000"/>
    <n v="38500000"/>
    <x v="2"/>
    <n v="21"/>
    <n v="1287"/>
    <x v="0"/>
    <n v="724"/>
    <x v="0"/>
    <x v="4"/>
    <x v="0"/>
    <n v="7"/>
    <n v="7"/>
    <n v="16"/>
    <n v="3"/>
    <n v="1"/>
    <n v="4"/>
    <n v="0"/>
    <n v="0"/>
    <n v="0"/>
    <n v="1"/>
    <n v="1"/>
    <n v="0"/>
    <n v="2"/>
    <n v="14"/>
    <n v="3"/>
    <n v="25"/>
    <n v="15"/>
    <n v="0"/>
    <n v="23"/>
    <n v="0"/>
    <n v="0"/>
    <n v="12"/>
    <n v="8"/>
    <n v="12"/>
  </r>
  <r>
    <x v="269"/>
    <x v="3"/>
    <x v="543"/>
    <n v="1992"/>
    <n v="23"/>
    <x v="7"/>
    <s v="Switzerland"/>
    <n v="38500000"/>
    <n v="44000000"/>
    <x v="2"/>
    <n v="32"/>
    <n v="2486"/>
    <x v="5"/>
    <n v="2298"/>
    <x v="5"/>
    <x v="2"/>
    <x v="2"/>
    <n v="4"/>
    <n v="5"/>
    <n v="34"/>
    <n v="9"/>
    <n v="0"/>
    <n v="19"/>
    <n v="0"/>
    <n v="0"/>
    <n v="0"/>
    <n v="0"/>
    <n v="14"/>
    <n v="0"/>
    <n v="21"/>
    <n v="26"/>
    <n v="5"/>
    <n v="38"/>
    <n v="37"/>
    <n v="0"/>
    <n v="77"/>
    <n v="2"/>
    <n v="0"/>
    <n v="33"/>
    <n v="33"/>
    <n v="25"/>
  </r>
  <r>
    <x v="269"/>
    <x v="1"/>
    <x v="544"/>
    <n v="1992"/>
    <n v="25"/>
    <x v="7"/>
    <s v="Switzerland"/>
    <n v="44000000"/>
    <n v="49500000"/>
    <x v="2"/>
    <n v="38"/>
    <n v="3266"/>
    <x v="4"/>
    <n v="3116"/>
    <x v="4"/>
    <x v="7"/>
    <x v="0"/>
    <n v="1"/>
    <n v="7"/>
    <n v="66"/>
    <n v="17"/>
    <n v="2"/>
    <n v="41"/>
    <n v="0"/>
    <n v="0"/>
    <n v="0"/>
    <n v="0"/>
    <n v="11"/>
    <n v="49"/>
    <n v="89"/>
    <n v="102"/>
    <n v="9"/>
    <n v="37"/>
    <n v="57"/>
    <n v="0"/>
    <n v="78"/>
    <n v="3"/>
    <n v="0"/>
    <n v="64"/>
    <n v="49"/>
    <n v="50"/>
  </r>
  <r>
    <x v="269"/>
    <x v="2"/>
    <x v="545"/>
    <n v="1992"/>
    <n v="25"/>
    <x v="7"/>
    <s v="Switzerland"/>
    <n v="2000000"/>
    <n v="2000000"/>
    <x v="2"/>
    <n v="29"/>
    <n v="2501"/>
    <x v="6"/>
    <n v="2245"/>
    <x v="5"/>
    <x v="7"/>
    <x v="0"/>
    <n v="0"/>
    <n v="4"/>
    <n v="29"/>
    <n v="12"/>
    <n v="0"/>
    <n v="31"/>
    <n v="0"/>
    <n v="0"/>
    <n v="2"/>
    <n v="1"/>
    <n v="5"/>
    <n v="17"/>
    <n v="95"/>
    <n v="129"/>
    <n v="9"/>
    <n v="36"/>
    <n v="45"/>
    <n v="0"/>
    <n v="52"/>
    <n v="2"/>
    <n v="0"/>
    <n v="54"/>
    <n v="52"/>
    <n v="41"/>
  </r>
  <r>
    <x v="270"/>
    <x v="3"/>
    <x v="546"/>
    <n v="1986"/>
    <n v="30"/>
    <x v="2"/>
    <s v="England"/>
    <n v="22500000"/>
    <n v="16500000"/>
    <x v="2"/>
    <n v="13"/>
    <n v="707"/>
    <x v="4"/>
    <n v="340"/>
    <x v="0"/>
    <x v="3"/>
    <x v="0"/>
    <n v="6"/>
    <n v="3"/>
    <n v="13"/>
    <n v="3"/>
    <n v="0"/>
    <n v="2"/>
    <n v="0"/>
    <n v="0"/>
    <n v="0"/>
    <n v="0"/>
    <n v="1"/>
    <n v="0"/>
    <n v="13"/>
    <n v="17"/>
    <n v="1"/>
    <n v="10"/>
    <n v="8"/>
    <n v="0"/>
    <n v="14"/>
    <n v="0"/>
    <n v="0"/>
    <n v="6"/>
    <n v="4"/>
    <n v="13"/>
  </r>
  <r>
    <x v="271"/>
    <x v="0"/>
    <x v="547"/>
    <n v="1985"/>
    <n v="30"/>
    <x v="27"/>
    <s v="Italy"/>
    <n v="12900000"/>
    <n v="12900000"/>
    <x v="0"/>
    <n v="30"/>
    <n v="2173"/>
    <x v="1"/>
    <n v="872"/>
    <x v="1"/>
    <x v="8"/>
    <x v="0"/>
    <n v="7"/>
    <n v="4"/>
    <n v="81"/>
    <n v="25"/>
    <n v="2"/>
    <n v="22"/>
    <n v="5"/>
    <n v="0"/>
    <n v="0"/>
    <n v="16"/>
    <n v="8"/>
    <n v="4"/>
    <n v="0"/>
    <n v="19"/>
    <n v="1"/>
    <n v="10"/>
    <n v="40"/>
    <n v="0"/>
    <n v="13"/>
    <n v="0"/>
    <n v="0"/>
    <n v="30"/>
    <n v="108"/>
    <n v="82"/>
  </r>
  <r>
    <x v="272"/>
    <x v="1"/>
    <x v="548"/>
    <n v="1990"/>
    <n v="27"/>
    <x v="18"/>
    <s v="Poland"/>
    <n v="11000000"/>
    <n v="13000000"/>
    <x v="2"/>
    <n v="27"/>
    <n v="1642"/>
    <x v="0"/>
    <n v="813"/>
    <x v="5"/>
    <x v="4"/>
    <x v="0"/>
    <n v="7"/>
    <n v="9"/>
    <n v="17"/>
    <n v="3"/>
    <n v="1"/>
    <n v="13"/>
    <n v="0"/>
    <n v="0"/>
    <n v="0"/>
    <n v="0"/>
    <n v="6"/>
    <n v="14"/>
    <n v="11"/>
    <n v="18"/>
    <n v="5"/>
    <n v="45"/>
    <n v="31"/>
    <n v="0"/>
    <n v="40"/>
    <n v="0"/>
    <n v="0"/>
    <n v="23"/>
    <n v="26"/>
    <n v="15"/>
  </r>
  <r>
    <x v="273"/>
    <x v="0"/>
    <x v="549"/>
    <n v="1989"/>
    <n v="26"/>
    <x v="0"/>
    <s v="Iceland"/>
    <n v="13000000"/>
    <n v="25000000"/>
    <x v="2"/>
    <n v="36"/>
    <n v="2917"/>
    <x v="1"/>
    <n v="1193"/>
    <x v="6"/>
    <x v="8"/>
    <x v="0"/>
    <n v="4"/>
    <n v="6"/>
    <n v="88"/>
    <n v="32"/>
    <n v="3"/>
    <n v="6"/>
    <n v="0"/>
    <n v="3"/>
    <n v="2"/>
    <n v="4"/>
    <n v="13"/>
    <n v="4"/>
    <n v="105"/>
    <n v="167"/>
    <n v="5"/>
    <n v="27"/>
    <n v="26"/>
    <n v="0"/>
    <n v="42"/>
    <n v="0"/>
    <n v="0"/>
    <n v="15"/>
    <n v="5"/>
    <n v="27"/>
  </r>
  <r>
    <x v="273"/>
    <x v="3"/>
    <x v="550"/>
    <n v="1989"/>
    <n v="27"/>
    <x v="4"/>
    <s v="Iceland"/>
    <n v="25000000"/>
    <n v="30000000"/>
    <x v="2"/>
    <n v="38"/>
    <n v="3328"/>
    <x v="3"/>
    <n v="1038"/>
    <x v="13"/>
    <x v="4"/>
    <x v="0"/>
    <n v="0"/>
    <n v="2"/>
    <n v="116"/>
    <n v="50"/>
    <n v="3"/>
    <n v="4"/>
    <n v="0"/>
    <n v="3"/>
    <n v="2"/>
    <n v="1"/>
    <n v="6"/>
    <n v="2"/>
    <n v="183"/>
    <n v="304"/>
    <n v="3"/>
    <n v="35"/>
    <n v="18"/>
    <n v="0"/>
    <n v="45"/>
    <n v="0"/>
    <n v="0"/>
    <n v="23"/>
    <n v="7"/>
    <n v="17"/>
  </r>
  <r>
    <x v="273"/>
    <x v="1"/>
    <x v="551"/>
    <n v="1989"/>
    <n v="28"/>
    <x v="4"/>
    <s v="Iceland"/>
    <n v="30000000"/>
    <n v="35000000"/>
    <x v="2"/>
    <n v="27"/>
    <n v="2262"/>
    <x v="6"/>
    <n v="700"/>
    <x v="6"/>
    <x v="4"/>
    <x v="0"/>
    <n v="2"/>
    <n v="5"/>
    <n v="39"/>
    <n v="12"/>
    <n v="0"/>
    <n v="8"/>
    <n v="0"/>
    <n v="0"/>
    <n v="0"/>
    <n v="0"/>
    <n v="6"/>
    <n v="27"/>
    <n v="75"/>
    <n v="150"/>
    <n v="7"/>
    <n v="34"/>
    <n v="19"/>
    <n v="0"/>
    <n v="38"/>
    <n v="0"/>
    <n v="0"/>
    <n v="30"/>
    <n v="19"/>
    <n v="39"/>
  </r>
  <r>
    <x v="273"/>
    <x v="2"/>
    <x v="552"/>
    <n v="1989"/>
    <n v="29"/>
    <x v="4"/>
    <s v="Iceland"/>
    <n v="1350000"/>
    <n v="1800000"/>
    <x v="2"/>
    <n v="38"/>
    <n v="3127"/>
    <x v="11"/>
    <n v="990"/>
    <x v="1"/>
    <x v="6"/>
    <x v="0"/>
    <n v="2"/>
    <n v="19"/>
    <n v="86"/>
    <n v="34"/>
    <n v="3"/>
    <n v="9"/>
    <n v="0"/>
    <n v="2"/>
    <n v="0"/>
    <n v="3"/>
    <n v="19"/>
    <n v="52"/>
    <n v="105"/>
    <n v="196"/>
    <n v="4"/>
    <n v="28"/>
    <n v="33"/>
    <n v="0"/>
    <n v="55"/>
    <n v="0"/>
    <n v="0"/>
    <n v="23"/>
    <n v="19"/>
    <n v="42"/>
  </r>
  <r>
    <x v="274"/>
    <x v="3"/>
    <x v="553"/>
    <n v="1990"/>
    <n v="26"/>
    <x v="3"/>
    <s v="Norway"/>
    <n v="6600000"/>
    <n v="5500000"/>
    <x v="1"/>
    <n v="16"/>
    <n v="956"/>
    <x v="0"/>
    <n v="413"/>
    <x v="3"/>
    <x v="4"/>
    <x v="0"/>
    <n v="5"/>
    <n v="3"/>
    <n v="7"/>
    <n v="1"/>
    <n v="0"/>
    <n v="15"/>
    <n v="0"/>
    <n v="0"/>
    <n v="0"/>
    <n v="0"/>
    <n v="0"/>
    <n v="0"/>
    <n v="0"/>
    <n v="9"/>
    <n v="4"/>
    <n v="24"/>
    <n v="11"/>
    <n v="0"/>
    <n v="18"/>
    <n v="0"/>
    <n v="0"/>
    <n v="25"/>
    <n v="19"/>
    <n v="7"/>
  </r>
  <r>
    <x v="275"/>
    <x v="2"/>
    <x v="554"/>
    <n v="1994"/>
    <n v="24"/>
    <x v="16"/>
    <s v="Portugal"/>
    <n v="11000000"/>
    <n v="16500000"/>
    <x v="0"/>
    <n v="25"/>
    <n v="1345"/>
    <x v="0"/>
    <n v="442"/>
    <x v="5"/>
    <x v="0"/>
    <x v="0"/>
    <n v="9"/>
    <n v="14"/>
    <n v="25"/>
    <n v="7"/>
    <n v="0"/>
    <n v="3"/>
    <n v="0"/>
    <n v="0"/>
    <n v="0"/>
    <n v="6"/>
    <n v="3"/>
    <n v="18"/>
    <n v="6"/>
    <n v="50"/>
    <n v="0"/>
    <n v="9"/>
    <n v="20"/>
    <n v="0"/>
    <n v="18"/>
    <n v="0"/>
    <n v="0"/>
    <n v="5"/>
    <n v="10"/>
    <n v="35"/>
  </r>
  <r>
    <x v="276"/>
    <x v="3"/>
    <x v="555"/>
    <n v="1989"/>
    <n v="27"/>
    <x v="18"/>
    <s v="Wales"/>
    <n v="3300000"/>
    <n v="2250000"/>
    <x v="0"/>
    <n v="29"/>
    <n v="683"/>
    <x v="7"/>
    <n v="166"/>
    <x v="5"/>
    <x v="6"/>
    <x v="0"/>
    <n v="24"/>
    <n v="4"/>
    <n v="16"/>
    <n v="6"/>
    <n v="0"/>
    <n v="8"/>
    <n v="0"/>
    <n v="0"/>
    <n v="0"/>
    <n v="5"/>
    <n v="0"/>
    <n v="2"/>
    <n v="0"/>
    <n v="12"/>
    <n v="0"/>
    <n v="4"/>
    <n v="28"/>
    <n v="0"/>
    <n v="5"/>
    <n v="0"/>
    <n v="0"/>
    <n v="8"/>
    <n v="19"/>
    <n v="37"/>
  </r>
  <r>
    <x v="276"/>
    <x v="1"/>
    <x v="556"/>
    <n v="1989"/>
    <n v="28"/>
    <x v="18"/>
    <s v="Wales"/>
    <n v="2250000"/>
    <n v="2250000"/>
    <x v="0"/>
    <n v="21"/>
    <n v="822"/>
    <x v="5"/>
    <n v="184"/>
    <x v="0"/>
    <x v="4"/>
    <x v="1"/>
    <n v="13"/>
    <n v="6"/>
    <n v="19"/>
    <n v="8"/>
    <n v="1"/>
    <n v="4"/>
    <n v="1"/>
    <n v="0"/>
    <n v="0"/>
    <n v="6"/>
    <n v="1"/>
    <n v="11"/>
    <n v="0"/>
    <n v="19"/>
    <n v="3"/>
    <n v="4"/>
    <n v="20"/>
    <n v="0"/>
    <n v="5"/>
    <n v="0"/>
    <n v="0"/>
    <n v="9"/>
    <n v="24"/>
    <n v="45"/>
  </r>
  <r>
    <x v="277"/>
    <x v="0"/>
    <x v="557"/>
    <n v="1989"/>
    <n v="25"/>
    <x v="14"/>
    <s v="Ireland"/>
    <n v="1800000"/>
    <n v="2250000"/>
    <x v="2"/>
    <n v="21"/>
    <n v="1670"/>
    <x v="4"/>
    <n v="1034"/>
    <x v="0"/>
    <x v="1"/>
    <x v="0"/>
    <n v="0"/>
    <n v="13"/>
    <n v="36"/>
    <n v="7"/>
    <n v="0"/>
    <n v="3"/>
    <n v="0"/>
    <n v="0"/>
    <n v="0"/>
    <n v="0"/>
    <n v="5"/>
    <n v="0"/>
    <n v="2"/>
    <n v="7"/>
    <n v="1"/>
    <n v="25"/>
    <n v="23"/>
    <n v="0"/>
    <n v="57"/>
    <n v="0"/>
    <n v="0"/>
    <n v="9"/>
    <n v="8"/>
    <n v="5"/>
  </r>
  <r>
    <x v="277"/>
    <x v="3"/>
    <x v="558"/>
    <n v="1989"/>
    <n v="26"/>
    <x v="14"/>
    <s v="Ireland"/>
    <n v="2250000"/>
    <n v="6300000"/>
    <x v="2"/>
    <n v="35"/>
    <n v="2959"/>
    <x v="4"/>
    <n v="2004"/>
    <x v="2"/>
    <x v="12"/>
    <x v="1"/>
    <n v="2"/>
    <n v="4"/>
    <n v="54"/>
    <n v="11"/>
    <n v="2"/>
    <n v="7"/>
    <n v="0"/>
    <n v="0"/>
    <n v="0"/>
    <n v="0"/>
    <n v="7"/>
    <n v="2"/>
    <n v="14"/>
    <n v="21"/>
    <n v="13"/>
    <n v="48"/>
    <n v="34"/>
    <n v="0"/>
    <n v="83"/>
    <n v="1"/>
    <n v="0"/>
    <n v="31"/>
    <n v="5"/>
    <n v="8"/>
  </r>
  <r>
    <x v="277"/>
    <x v="1"/>
    <x v="559"/>
    <n v="1989"/>
    <n v="28"/>
    <x v="14"/>
    <s v="Ireland"/>
    <n v="6300000"/>
    <n v="6300000"/>
    <x v="2"/>
    <n v="13"/>
    <n v="961"/>
    <x v="4"/>
    <n v="586"/>
    <x v="0"/>
    <x v="5"/>
    <x v="0"/>
    <n v="2"/>
    <n v="4"/>
    <n v="11"/>
    <n v="1"/>
    <n v="0"/>
    <n v="0"/>
    <n v="0"/>
    <n v="0"/>
    <n v="0"/>
    <n v="0"/>
    <n v="1"/>
    <n v="10"/>
    <n v="1"/>
    <n v="5"/>
    <n v="5"/>
    <n v="9"/>
    <n v="9"/>
    <n v="0"/>
    <n v="19"/>
    <n v="0"/>
    <n v="0"/>
    <n v="5"/>
    <n v="6"/>
    <n v="2"/>
  </r>
  <r>
    <x v="277"/>
    <x v="2"/>
    <x v="560"/>
    <n v="1989"/>
    <n v="28"/>
    <x v="24"/>
    <s v="Ireland"/>
    <n v="1100000"/>
    <n v="4400000"/>
    <x v="2"/>
    <n v="25"/>
    <n v="2006"/>
    <x v="0"/>
    <n v="658"/>
    <x v="3"/>
    <x v="7"/>
    <x v="0"/>
    <n v="1"/>
    <n v="12"/>
    <n v="23"/>
    <n v="5"/>
    <n v="3"/>
    <n v="7"/>
    <n v="0"/>
    <n v="0"/>
    <n v="0"/>
    <n v="2"/>
    <n v="3"/>
    <n v="18"/>
    <n v="0"/>
    <n v="17"/>
    <n v="5"/>
    <n v="21"/>
    <n v="25"/>
    <n v="0"/>
    <n v="62"/>
    <n v="2"/>
    <n v="0"/>
    <n v="20"/>
    <n v="6"/>
    <n v="14"/>
  </r>
  <r>
    <x v="278"/>
    <x v="0"/>
    <x v="561"/>
    <n v="1993"/>
    <n v="22"/>
    <x v="26"/>
    <s v="England"/>
    <n v="27500000"/>
    <n v="36000000"/>
    <x v="0"/>
    <n v="38"/>
    <n v="3368"/>
    <x v="20"/>
    <n v="962"/>
    <x v="3"/>
    <x v="2"/>
    <x v="0"/>
    <n v="0"/>
    <n v="9"/>
    <n v="158"/>
    <n v="75"/>
    <n v="7"/>
    <n v="18"/>
    <n v="1"/>
    <n v="5"/>
    <n v="0"/>
    <n v="30"/>
    <n v="5"/>
    <n v="18"/>
    <n v="7"/>
    <n v="44"/>
    <n v="9"/>
    <n v="21"/>
    <n v="42"/>
    <n v="0"/>
    <n v="29"/>
    <n v="0"/>
    <n v="1"/>
    <n v="31"/>
    <n v="76"/>
    <n v="142"/>
  </r>
  <r>
    <x v="278"/>
    <x v="3"/>
    <x v="562"/>
    <n v="1993"/>
    <n v="23"/>
    <x v="26"/>
    <s v="England"/>
    <n v="36000000"/>
    <n v="54000000"/>
    <x v="0"/>
    <n v="30"/>
    <n v="2531"/>
    <x v="21"/>
    <n v="597"/>
    <x v="4"/>
    <x v="6"/>
    <x v="0"/>
    <n v="1"/>
    <n v="16"/>
    <n v="110"/>
    <n v="58"/>
    <n v="3"/>
    <n v="15"/>
    <n v="2"/>
    <n v="5"/>
    <n v="0"/>
    <n v="17"/>
    <n v="2"/>
    <n v="11"/>
    <n v="1"/>
    <n v="29"/>
    <n v="0"/>
    <n v="4"/>
    <n v="23"/>
    <n v="0"/>
    <n v="22"/>
    <n v="0"/>
    <n v="0"/>
    <n v="21"/>
    <n v="46"/>
    <n v="66"/>
  </r>
  <r>
    <x v="278"/>
    <x v="1"/>
    <x v="563"/>
    <n v="1993"/>
    <n v="24"/>
    <x v="26"/>
    <s v="England"/>
    <n v="54000000"/>
    <n v="108000000"/>
    <x v="0"/>
    <n v="37"/>
    <n v="3083"/>
    <x v="22"/>
    <n v="657"/>
    <x v="5"/>
    <x v="2"/>
    <x v="0"/>
    <n v="2"/>
    <n v="9"/>
    <n v="184"/>
    <n v="76"/>
    <n v="6"/>
    <n v="14"/>
    <n v="6"/>
    <n v="2"/>
    <n v="0"/>
    <n v="42"/>
    <n v="13"/>
    <n v="108"/>
    <n v="1"/>
    <n v="20"/>
    <n v="4"/>
    <n v="5"/>
    <n v="34"/>
    <n v="0"/>
    <n v="17"/>
    <n v="0"/>
    <n v="0"/>
    <n v="19"/>
    <n v="60"/>
    <n v="78"/>
  </r>
  <r>
    <x v="278"/>
    <x v="2"/>
    <x v="564"/>
    <n v="1993"/>
    <n v="25"/>
    <x v="26"/>
    <s v="England"/>
    <n v="108000000"/>
    <n v="135000000"/>
    <x v="0"/>
    <n v="28"/>
    <n v="2427"/>
    <x v="23"/>
    <n v="551"/>
    <x v="2"/>
    <x v="2"/>
    <x v="0"/>
    <n v="1"/>
    <n v="4"/>
    <n v="102"/>
    <n v="46"/>
    <n v="2"/>
    <n v="12"/>
    <n v="2"/>
    <n v="4"/>
    <n v="0"/>
    <n v="10"/>
    <n v="9"/>
    <n v="56"/>
    <n v="0"/>
    <n v="12"/>
    <n v="6"/>
    <n v="1"/>
    <n v="31"/>
    <n v="0"/>
    <n v="9"/>
    <n v="0"/>
    <n v="0"/>
    <n v="14"/>
    <n v="49"/>
    <n v="68"/>
  </r>
  <r>
    <x v="279"/>
    <x v="2"/>
    <x v="565"/>
    <n v="1993"/>
    <n v="25"/>
    <x v="17"/>
    <s v="England"/>
    <n v="22500000"/>
    <n v="45000000"/>
    <x v="1"/>
    <n v="31"/>
    <n v="2599"/>
    <x v="7"/>
    <n v="1747"/>
    <x v="0"/>
    <x v="8"/>
    <x v="1"/>
    <n v="0"/>
    <n v="2"/>
    <n v="30"/>
    <n v="13"/>
    <n v="1"/>
    <n v="77"/>
    <n v="1"/>
    <n v="0"/>
    <n v="0"/>
    <n v="4"/>
    <n v="2"/>
    <n v="17"/>
    <n v="0"/>
    <n v="1"/>
    <n v="18"/>
    <n v="37"/>
    <n v="20"/>
    <n v="2"/>
    <n v="31"/>
    <n v="1"/>
    <n v="0"/>
    <n v="152"/>
    <n v="118"/>
    <n v="33"/>
  </r>
  <r>
    <x v="279"/>
    <x v="3"/>
    <x v="566"/>
    <n v="1993"/>
    <n v="23"/>
    <x v="10"/>
    <s v="England"/>
    <n v="2250000"/>
    <n v="7200000"/>
    <x v="1"/>
    <n v="29"/>
    <n v="2307"/>
    <x v="5"/>
    <n v="1182"/>
    <x v="5"/>
    <x v="2"/>
    <x v="0"/>
    <n v="4"/>
    <n v="3"/>
    <n v="34"/>
    <n v="10"/>
    <n v="0"/>
    <n v="101"/>
    <n v="1"/>
    <n v="0"/>
    <n v="0"/>
    <n v="3"/>
    <n v="1"/>
    <n v="0"/>
    <n v="0"/>
    <n v="15"/>
    <n v="27"/>
    <n v="63"/>
    <n v="24"/>
    <n v="0"/>
    <n v="54"/>
    <n v="0"/>
    <n v="0"/>
    <n v="141"/>
    <n v="69"/>
    <n v="29"/>
  </r>
  <r>
    <x v="279"/>
    <x v="1"/>
    <x v="567"/>
    <n v="1993"/>
    <n v="24"/>
    <x v="17"/>
    <s v="England"/>
    <n v="7200000"/>
    <n v="22500000"/>
    <x v="1"/>
    <n v="38"/>
    <n v="3420"/>
    <x v="5"/>
    <n v="1740"/>
    <x v="2"/>
    <x v="1"/>
    <x v="0"/>
    <n v="0"/>
    <n v="0"/>
    <n v="30"/>
    <n v="8"/>
    <n v="2"/>
    <n v="115"/>
    <n v="1"/>
    <n v="0"/>
    <n v="0"/>
    <n v="4"/>
    <n v="2"/>
    <n v="22"/>
    <n v="0"/>
    <n v="15"/>
    <n v="28"/>
    <n v="48"/>
    <n v="34"/>
    <n v="1"/>
    <n v="63"/>
    <n v="0"/>
    <n v="0"/>
    <n v="176"/>
    <n v="119"/>
    <n v="63"/>
  </r>
  <r>
    <x v="280"/>
    <x v="3"/>
    <x v="568"/>
    <n v="1996"/>
    <n v="20"/>
    <x v="26"/>
    <s v="England"/>
    <n v="16500000"/>
    <n v="27500000"/>
    <x v="2"/>
    <n v="21"/>
    <n v="477"/>
    <x v="4"/>
    <n v="366"/>
    <x v="3"/>
    <x v="0"/>
    <x v="0"/>
    <n v="18"/>
    <n v="0"/>
    <n v="6"/>
    <n v="2"/>
    <n v="0"/>
    <n v="1"/>
    <n v="0"/>
    <n v="0"/>
    <n v="0"/>
    <n v="0"/>
    <n v="1"/>
    <n v="0"/>
    <n v="2"/>
    <n v="7"/>
    <n v="2"/>
    <n v="5"/>
    <n v="10"/>
    <n v="0"/>
    <n v="10"/>
    <n v="0"/>
    <n v="0"/>
    <n v="6"/>
    <n v="0"/>
    <n v="4"/>
  </r>
  <r>
    <x v="280"/>
    <x v="2"/>
    <x v="569"/>
    <n v="1996"/>
    <n v="22"/>
    <x v="26"/>
    <s v="England"/>
    <n v="4400000"/>
    <n v="16500000"/>
    <x v="2"/>
    <n v="26"/>
    <n v="1592"/>
    <x v="4"/>
    <n v="1388"/>
    <x v="0"/>
    <x v="5"/>
    <x v="0"/>
    <n v="9"/>
    <n v="3"/>
    <n v="9"/>
    <n v="2"/>
    <n v="0"/>
    <n v="11"/>
    <n v="1"/>
    <n v="0"/>
    <n v="0"/>
    <n v="2"/>
    <n v="0"/>
    <n v="7"/>
    <n v="2"/>
    <n v="8"/>
    <n v="3"/>
    <n v="21"/>
    <n v="16"/>
    <n v="0"/>
    <n v="22"/>
    <n v="0"/>
    <n v="0"/>
    <n v="19"/>
    <n v="12"/>
    <n v="14"/>
  </r>
  <r>
    <x v="280"/>
    <x v="1"/>
    <x v="570"/>
    <n v="1996"/>
    <n v="21"/>
    <x v="26"/>
    <s v="England"/>
    <n v="1500000"/>
    <n v="12000000"/>
    <x v="2"/>
    <n v="16"/>
    <n v="771"/>
    <x v="0"/>
    <n v="642"/>
    <x v="3"/>
    <x v="0"/>
    <x v="0"/>
    <n v="7"/>
    <n v="4"/>
    <n v="0"/>
    <n v="0"/>
    <n v="0"/>
    <n v="3"/>
    <n v="0"/>
    <n v="0"/>
    <n v="0"/>
    <n v="0"/>
    <n v="4"/>
    <n v="0"/>
    <n v="0"/>
    <n v="10"/>
    <n v="2"/>
    <n v="11"/>
    <n v="8"/>
    <n v="0"/>
    <n v="15"/>
    <n v="0"/>
    <n v="0"/>
    <n v="8"/>
    <n v="4"/>
    <n v="6"/>
  </r>
  <r>
    <x v="281"/>
    <x v="2"/>
    <x v="571"/>
    <n v="1997"/>
    <n v="20"/>
    <x v="17"/>
    <s v="England"/>
    <n v="40500000"/>
    <n v="38500000"/>
    <x v="2"/>
    <n v="16"/>
    <n v="1009"/>
    <x v="4"/>
    <n v="311"/>
    <x v="5"/>
    <x v="0"/>
    <x v="0"/>
    <n v="5"/>
    <n v="8"/>
    <n v="40"/>
    <n v="10"/>
    <n v="0"/>
    <n v="3"/>
    <n v="0"/>
    <n v="0"/>
    <n v="0"/>
    <n v="2"/>
    <n v="2"/>
    <n v="30"/>
    <n v="0"/>
    <n v="23"/>
    <n v="1"/>
    <n v="3"/>
    <n v="7"/>
    <n v="0"/>
    <n v="10"/>
    <n v="0"/>
    <n v="0"/>
    <n v="5"/>
    <n v="7"/>
    <n v="8"/>
  </r>
  <r>
    <x v="282"/>
    <x v="0"/>
    <x v="572"/>
    <n v="1995"/>
    <n v="20"/>
    <x v="7"/>
    <s v="Spain"/>
    <n v="5000000"/>
    <n v="18000000"/>
    <x v="1"/>
    <n v="36"/>
    <n v="3240"/>
    <x v="4"/>
    <n v="1689"/>
    <x v="8"/>
    <x v="6"/>
    <x v="0"/>
    <n v="0"/>
    <n v="0"/>
    <n v="13"/>
    <n v="3"/>
    <n v="1"/>
    <n v="37"/>
    <n v="0"/>
    <n v="0"/>
    <n v="0"/>
    <n v="1"/>
    <n v="9"/>
    <n v="0"/>
    <n v="0"/>
    <n v="109"/>
    <n v="7"/>
    <n v="66"/>
    <n v="19"/>
    <n v="0"/>
    <n v="58"/>
    <n v="0"/>
    <n v="0"/>
    <n v="85"/>
    <n v="39"/>
    <n v="39"/>
  </r>
  <r>
    <x v="282"/>
    <x v="2"/>
    <x v="573"/>
    <n v="1995"/>
    <n v="23"/>
    <x v="7"/>
    <s v="Spain"/>
    <n v="40000000"/>
    <n v="40000000"/>
    <x v="1"/>
    <n v="19"/>
    <n v="1533"/>
    <x v="0"/>
    <n v="785"/>
    <x v="8"/>
    <x v="0"/>
    <x v="0"/>
    <n v="1"/>
    <n v="3"/>
    <n v="18"/>
    <n v="4"/>
    <n v="0"/>
    <n v="20"/>
    <n v="0"/>
    <n v="0"/>
    <n v="0"/>
    <n v="1"/>
    <n v="6"/>
    <n v="14"/>
    <n v="0"/>
    <n v="39"/>
    <n v="5"/>
    <n v="20"/>
    <n v="16"/>
    <n v="0"/>
    <n v="15"/>
    <n v="0"/>
    <n v="1"/>
    <n v="33"/>
    <n v="21"/>
    <n v="24"/>
  </r>
  <r>
    <x v="282"/>
    <x v="3"/>
    <x v="574"/>
    <n v="1995"/>
    <n v="21"/>
    <x v="7"/>
    <s v="Spain"/>
    <n v="18000000"/>
    <n v="30000000"/>
    <x v="1"/>
    <n v="33"/>
    <n v="2499"/>
    <x v="4"/>
    <n v="1392"/>
    <x v="2"/>
    <x v="5"/>
    <x v="0"/>
    <n v="6"/>
    <n v="1"/>
    <n v="22"/>
    <n v="5"/>
    <n v="1"/>
    <n v="24"/>
    <n v="0"/>
    <n v="0"/>
    <n v="0"/>
    <n v="0"/>
    <n v="8"/>
    <n v="1"/>
    <n v="0"/>
    <n v="69"/>
    <n v="7"/>
    <n v="36"/>
    <n v="20"/>
    <n v="1"/>
    <n v="24"/>
    <n v="0"/>
    <n v="0"/>
    <n v="46"/>
    <n v="31"/>
    <n v="43"/>
  </r>
  <r>
    <x v="282"/>
    <x v="1"/>
    <x v="575"/>
    <n v="1995"/>
    <n v="22"/>
    <x v="7"/>
    <s v="Spain"/>
    <n v="30000000"/>
    <n v="40000000"/>
    <x v="1"/>
    <n v="35"/>
    <n v="3051"/>
    <x v="5"/>
    <n v="1842"/>
    <x v="6"/>
    <x v="2"/>
    <x v="0"/>
    <n v="1"/>
    <n v="1"/>
    <n v="29"/>
    <n v="8"/>
    <n v="1"/>
    <n v="36"/>
    <n v="0"/>
    <n v="0"/>
    <n v="0"/>
    <n v="4"/>
    <n v="7"/>
    <n v="21"/>
    <n v="0"/>
    <n v="64"/>
    <n v="8"/>
    <n v="23"/>
    <n v="36"/>
    <n v="0"/>
    <n v="57"/>
    <n v="1"/>
    <n v="0"/>
    <n v="71"/>
    <n v="35"/>
    <n v="59"/>
  </r>
  <r>
    <x v="283"/>
    <x v="3"/>
    <x v="576"/>
    <n v="1989"/>
    <n v="27"/>
    <x v="22"/>
    <s v="Armenia"/>
    <n v="38500000"/>
    <n v="38500000"/>
    <x v="2"/>
    <n v="24"/>
    <n v="1349"/>
    <x v="6"/>
    <n v="775"/>
    <x v="3"/>
    <x v="3"/>
    <x v="0"/>
    <n v="9"/>
    <n v="11"/>
    <n v="33"/>
    <n v="16"/>
    <n v="0"/>
    <n v="4"/>
    <n v="0"/>
    <n v="0"/>
    <n v="0"/>
    <n v="8"/>
    <n v="11"/>
    <n v="2"/>
    <n v="24"/>
    <n v="48"/>
    <n v="0"/>
    <n v="22"/>
    <n v="19"/>
    <n v="0"/>
    <n v="23"/>
    <n v="0"/>
    <n v="0"/>
    <n v="12"/>
    <n v="10"/>
    <n v="24"/>
  </r>
  <r>
    <x v="283"/>
    <x v="1"/>
    <x v="577"/>
    <n v="1989"/>
    <n v="28"/>
    <x v="22"/>
    <s v="Armenia"/>
    <n v="38500000"/>
    <n v="27500000"/>
    <x v="2"/>
    <n v="26"/>
    <n v="1727"/>
    <x v="7"/>
    <n v="980"/>
    <x v="11"/>
    <x v="4"/>
    <x v="0"/>
    <n v="6"/>
    <n v="15"/>
    <n v="36"/>
    <n v="16"/>
    <n v="0"/>
    <n v="4"/>
    <n v="0"/>
    <n v="0"/>
    <n v="0"/>
    <n v="4"/>
    <n v="15"/>
    <n v="20"/>
    <n v="47"/>
    <n v="84"/>
    <n v="2"/>
    <n v="15"/>
    <n v="23"/>
    <n v="0"/>
    <n v="33"/>
    <n v="0"/>
    <n v="0"/>
    <n v="5"/>
    <n v="19"/>
    <n v="23"/>
  </r>
  <r>
    <x v="283"/>
    <x v="2"/>
    <x v="578"/>
    <n v="1989"/>
    <n v="29"/>
    <x v="7"/>
    <s v="Armenia"/>
    <n v="4500000"/>
    <n v="2700000"/>
    <x v="2"/>
    <n v="25"/>
    <n v="1644"/>
    <x v="14"/>
    <n v="796"/>
    <x v="2"/>
    <x v="3"/>
    <x v="0"/>
    <n v="6"/>
    <n v="8"/>
    <n v="49"/>
    <n v="14"/>
    <n v="1"/>
    <n v="5"/>
    <n v="1"/>
    <n v="0"/>
    <n v="0"/>
    <n v="3"/>
    <n v="5"/>
    <n v="35"/>
    <n v="46"/>
    <n v="63"/>
    <n v="2"/>
    <n v="16"/>
    <n v="27"/>
    <n v="0"/>
    <n v="28"/>
    <n v="0"/>
    <n v="0"/>
    <n v="11"/>
    <n v="21"/>
    <n v="25"/>
  </r>
  <r>
    <x v="284"/>
    <x v="0"/>
    <x v="579"/>
    <n v="1986"/>
    <n v="29"/>
    <x v="25"/>
    <s v="Netherlands"/>
    <n v="3400000"/>
    <n v="4500000"/>
    <x v="0"/>
    <n v="23"/>
    <n v="2105"/>
    <x v="5"/>
    <n v="1274"/>
    <x v="5"/>
    <x v="6"/>
    <x v="1"/>
    <n v="7"/>
    <n v="10"/>
    <n v="39"/>
    <n v="8"/>
    <n v="0"/>
    <n v="6"/>
    <n v="1"/>
    <n v="0"/>
    <n v="0"/>
    <n v="2"/>
    <n v="3"/>
    <n v="1"/>
    <n v="31"/>
    <n v="68"/>
    <n v="1"/>
    <n v="11"/>
    <n v="19"/>
    <n v="0"/>
    <n v="27"/>
    <n v="0"/>
    <n v="0"/>
    <n v="12"/>
    <n v="14"/>
    <n v="16"/>
  </r>
  <r>
    <x v="284"/>
    <x v="3"/>
    <x v="580"/>
    <n v="1986"/>
    <n v="30"/>
    <x v="25"/>
    <s v="Netherlands"/>
    <n v="8250000"/>
    <n v="9900000"/>
    <x v="2"/>
    <n v="12"/>
    <n v="377"/>
    <x v="0"/>
    <n v="189"/>
    <x v="0"/>
    <x v="0"/>
    <x v="0"/>
    <n v="9"/>
    <n v="2"/>
    <n v="6"/>
    <n v="1"/>
    <n v="0"/>
    <n v="0"/>
    <n v="0"/>
    <n v="0"/>
    <n v="0"/>
    <n v="2"/>
    <n v="1"/>
    <n v="1"/>
    <n v="1"/>
    <n v="15"/>
    <n v="0"/>
    <n v="4"/>
    <n v="3"/>
    <n v="0"/>
    <n v="3"/>
    <n v="0"/>
    <n v="0"/>
    <n v="1"/>
    <n v="1"/>
    <n v="4"/>
  </r>
  <r>
    <x v="285"/>
    <x v="0"/>
    <x v="581"/>
    <n v="1989"/>
    <n v="26"/>
    <x v="15"/>
    <s v="Senegal"/>
    <n v="9900000"/>
    <n v="19800000"/>
    <x v="2"/>
    <n v="35"/>
    <n v="3075"/>
    <x v="0"/>
    <n v="1869"/>
    <x v="3"/>
    <x v="7"/>
    <x v="0"/>
    <n v="0"/>
    <n v="5"/>
    <n v="30"/>
    <n v="4"/>
    <n v="0"/>
    <n v="14"/>
    <n v="0"/>
    <n v="0"/>
    <n v="0"/>
    <n v="1"/>
    <n v="3"/>
    <n v="0"/>
    <n v="0"/>
    <n v="15"/>
    <n v="6"/>
    <n v="141"/>
    <n v="68"/>
    <n v="0"/>
    <n v="144"/>
    <n v="1"/>
    <n v="0"/>
    <n v="30"/>
    <n v="31"/>
    <n v="27"/>
  </r>
  <r>
    <x v="285"/>
    <x v="3"/>
    <x v="582"/>
    <n v="1989"/>
    <n v="27"/>
    <x v="4"/>
    <s v="Senegal"/>
    <n v="19800000"/>
    <n v="22000000"/>
    <x v="2"/>
    <n v="33"/>
    <n v="2685"/>
    <x v="4"/>
    <n v="1885"/>
    <x v="3"/>
    <x v="12"/>
    <x v="0"/>
    <n v="1"/>
    <n v="8"/>
    <n v="25"/>
    <n v="6"/>
    <n v="1"/>
    <n v="15"/>
    <n v="0"/>
    <n v="0"/>
    <n v="0"/>
    <n v="0"/>
    <n v="1"/>
    <n v="0"/>
    <n v="0"/>
    <n v="12"/>
    <n v="9"/>
    <n v="81"/>
    <n v="51"/>
    <n v="0"/>
    <n v="135"/>
    <n v="0"/>
    <n v="0"/>
    <n v="39"/>
    <n v="32"/>
    <n v="19"/>
  </r>
  <r>
    <x v="285"/>
    <x v="1"/>
    <x v="583"/>
    <n v="1989"/>
    <n v="28"/>
    <x v="4"/>
    <s v="Senegal"/>
    <n v="22000000"/>
    <n v="27500000"/>
    <x v="2"/>
    <n v="33"/>
    <n v="2757"/>
    <x v="5"/>
    <n v="1566"/>
    <x v="3"/>
    <x v="8"/>
    <x v="1"/>
    <n v="1"/>
    <n v="7"/>
    <n v="23"/>
    <n v="7"/>
    <n v="0"/>
    <n v="13"/>
    <n v="0"/>
    <n v="0"/>
    <n v="0"/>
    <n v="0"/>
    <n v="1"/>
    <n v="16"/>
    <n v="0"/>
    <n v="11"/>
    <n v="9"/>
    <n v="62"/>
    <n v="50"/>
    <n v="0"/>
    <n v="117"/>
    <n v="0"/>
    <n v="0"/>
    <n v="42"/>
    <n v="0"/>
    <n v="33"/>
  </r>
  <r>
    <x v="285"/>
    <x v="2"/>
    <x v="584"/>
    <n v="1989"/>
    <n v="29"/>
    <x v="4"/>
    <s v="Senegal"/>
    <n v="2250000"/>
    <n v="2700000"/>
    <x v="2"/>
    <n v="33"/>
    <n v="2825"/>
    <x v="0"/>
    <n v="1739"/>
    <x v="5"/>
    <x v="8"/>
    <x v="0"/>
    <n v="1"/>
    <n v="4"/>
    <n v="19"/>
    <n v="4"/>
    <n v="1"/>
    <n v="11"/>
    <n v="0"/>
    <n v="0"/>
    <n v="0"/>
    <n v="0"/>
    <n v="4"/>
    <n v="15"/>
    <n v="0"/>
    <n v="13"/>
    <n v="8"/>
    <n v="75"/>
    <n v="54"/>
    <n v="0"/>
    <n v="142"/>
    <n v="0"/>
    <n v="0"/>
    <n v="44"/>
    <n v="32"/>
    <n v="35"/>
  </r>
  <r>
    <x v="286"/>
    <x v="0"/>
    <x v="585"/>
    <n v="1988"/>
    <n v="27"/>
    <x v="9"/>
    <s v="Scotland"/>
    <n v="33000000"/>
    <n v="44000000"/>
    <x v="2"/>
    <n v="28"/>
    <n v="1680"/>
    <x v="0"/>
    <n v="660"/>
    <x v="3"/>
    <x v="0"/>
    <x v="0"/>
    <n v="11"/>
    <n v="5"/>
    <n v="10"/>
    <n v="1"/>
    <n v="0"/>
    <n v="12"/>
    <n v="0"/>
    <n v="0"/>
    <n v="0"/>
    <n v="1"/>
    <n v="0"/>
    <n v="1"/>
    <n v="1"/>
    <n v="71"/>
    <n v="2"/>
    <n v="45"/>
    <n v="1"/>
    <n v="0"/>
    <n v="16"/>
    <n v="0"/>
    <n v="0"/>
    <n v="33"/>
    <n v="14"/>
    <n v="21"/>
  </r>
  <r>
    <x v="287"/>
    <x v="1"/>
    <x v="586"/>
    <n v="1990"/>
    <n v="27"/>
    <x v="19"/>
    <s v="Germany"/>
    <n v="33000000"/>
    <n v="33000000"/>
    <x v="2"/>
    <n v="30"/>
    <n v="1510"/>
    <x v="6"/>
    <n v="1402"/>
    <x v="3"/>
    <x v="6"/>
    <x v="0"/>
    <n v="15"/>
    <n v="6"/>
    <n v="35"/>
    <n v="11"/>
    <n v="1"/>
    <n v="2"/>
    <n v="1"/>
    <n v="1"/>
    <n v="0"/>
    <n v="0"/>
    <n v="6"/>
    <n v="24"/>
    <n v="10"/>
    <n v="8"/>
    <n v="1"/>
    <n v="16"/>
    <n v="14"/>
    <n v="0"/>
    <n v="27"/>
    <n v="0"/>
    <n v="0"/>
    <n v="10"/>
    <n v="4"/>
    <n v="12"/>
  </r>
  <r>
    <x v="287"/>
    <x v="3"/>
    <x v="587"/>
    <n v="1990"/>
    <n v="25"/>
    <x v="19"/>
    <s v="Germany"/>
    <n v="44000000"/>
    <n v="55000000"/>
    <x v="2"/>
    <n v="10"/>
    <n v="709"/>
    <x v="7"/>
    <n v="505"/>
    <x v="3"/>
    <x v="0"/>
    <x v="0"/>
    <n v="1"/>
    <n v="7"/>
    <n v="16"/>
    <n v="4"/>
    <n v="0"/>
    <n v="2"/>
    <n v="0"/>
    <n v="0"/>
    <n v="0"/>
    <n v="0"/>
    <n v="6"/>
    <n v="0"/>
    <n v="4"/>
    <n v="7"/>
    <n v="0"/>
    <n v="9"/>
    <n v="2"/>
    <n v="0"/>
    <n v="10"/>
    <n v="0"/>
    <n v="0"/>
    <n v="4"/>
    <n v="2"/>
    <n v="5"/>
  </r>
  <r>
    <x v="287"/>
    <x v="2"/>
    <x v="588"/>
    <n v="1990"/>
    <n v="27"/>
    <x v="19"/>
    <s v="Germany"/>
    <n v="7500000"/>
    <n v="6500000"/>
    <x v="2"/>
    <n v="31"/>
    <n v="2135"/>
    <x v="14"/>
    <n v="1994"/>
    <x v="6"/>
    <x v="0"/>
    <x v="0"/>
    <n v="8"/>
    <n v="6"/>
    <n v="43"/>
    <n v="11"/>
    <n v="1"/>
    <n v="9"/>
    <n v="1"/>
    <n v="0"/>
    <n v="1"/>
    <n v="0"/>
    <n v="17"/>
    <n v="32"/>
    <n v="81"/>
    <n v="98"/>
    <n v="3"/>
    <n v="28"/>
    <n v="13"/>
    <n v="0"/>
    <n v="19"/>
    <n v="0"/>
    <n v="0"/>
    <n v="18"/>
    <n v="26"/>
    <n v="24"/>
  </r>
  <r>
    <x v="288"/>
    <x v="2"/>
    <x v="589"/>
    <n v="1995"/>
    <n v="23"/>
    <x v="20"/>
    <s v="England"/>
    <n v="6300000"/>
    <n v="7200000"/>
    <x v="1"/>
    <n v="25"/>
    <n v="1864"/>
    <x v="4"/>
    <n v="720"/>
    <x v="2"/>
    <x v="6"/>
    <x v="1"/>
    <n v="4"/>
    <n v="6"/>
    <n v="22"/>
    <n v="5"/>
    <n v="0"/>
    <n v="16"/>
    <n v="0"/>
    <n v="0"/>
    <n v="0"/>
    <n v="0"/>
    <n v="5"/>
    <n v="17"/>
    <n v="0"/>
    <n v="11"/>
    <n v="4"/>
    <n v="40"/>
    <n v="32"/>
    <n v="0"/>
    <n v="73"/>
    <n v="0"/>
    <n v="0"/>
    <n v="28"/>
    <n v="54"/>
    <n v="40"/>
  </r>
  <r>
    <x v="288"/>
    <x v="1"/>
    <x v="590"/>
    <n v="1995"/>
    <n v="22"/>
    <x v="20"/>
    <s v="England"/>
    <n v="3600000"/>
    <n v="6300000"/>
    <x v="1"/>
    <n v="26"/>
    <n v="1372"/>
    <x v="4"/>
    <n v="527"/>
    <x v="0"/>
    <x v="1"/>
    <x v="0"/>
    <n v="11"/>
    <n v="7"/>
    <n v="14"/>
    <n v="9"/>
    <n v="0"/>
    <n v="20"/>
    <n v="0"/>
    <n v="0"/>
    <n v="0"/>
    <n v="0"/>
    <n v="0"/>
    <n v="5"/>
    <n v="0"/>
    <n v="17"/>
    <n v="6"/>
    <n v="23"/>
    <n v="30"/>
    <n v="0"/>
    <n v="40"/>
    <n v="0"/>
    <n v="0"/>
    <n v="40"/>
    <n v="51"/>
    <n v="45"/>
  </r>
  <r>
    <x v="289"/>
    <x v="2"/>
    <x v="591"/>
    <n v="1996"/>
    <n v="22"/>
    <x v="6"/>
    <s v="Belgium"/>
    <n v="3850000"/>
    <n v="4500000"/>
    <x v="0"/>
    <n v="22"/>
    <n v="982"/>
    <x v="4"/>
    <n v="232"/>
    <x v="3"/>
    <x v="3"/>
    <x v="0"/>
    <n v="12"/>
    <n v="7"/>
    <n v="16"/>
    <n v="5"/>
    <n v="0"/>
    <n v="0"/>
    <n v="0"/>
    <n v="0"/>
    <n v="0"/>
    <n v="5"/>
    <n v="1"/>
    <n v="11"/>
    <n v="5"/>
    <n v="34"/>
    <n v="0"/>
    <n v="5"/>
    <n v="8"/>
    <n v="0"/>
    <n v="10"/>
    <n v="0"/>
    <n v="0"/>
    <n v="4"/>
    <n v="2"/>
    <n v="10"/>
  </r>
  <r>
    <x v="290"/>
    <x v="3"/>
    <x v="592"/>
    <n v="1996"/>
    <n v="20"/>
    <x v="9"/>
    <s v="Nigeria"/>
    <n v="3600000"/>
    <n v="3600000"/>
    <x v="0"/>
    <n v="19"/>
    <n v="505"/>
    <x v="4"/>
    <n v="131"/>
    <x v="3"/>
    <x v="4"/>
    <x v="0"/>
    <n v="17"/>
    <n v="1"/>
    <n v="14"/>
    <n v="7"/>
    <n v="0"/>
    <n v="5"/>
    <n v="1"/>
    <n v="0"/>
    <n v="0"/>
    <n v="1"/>
    <n v="0"/>
    <n v="3"/>
    <n v="1"/>
    <n v="13"/>
    <n v="2"/>
    <n v="7"/>
    <n v="12"/>
    <n v="0"/>
    <n v="16"/>
    <n v="0"/>
    <n v="0"/>
    <n v="9"/>
    <n v="5"/>
    <n v="8"/>
  </r>
  <r>
    <x v="290"/>
    <x v="2"/>
    <x v="593"/>
    <n v="1996"/>
    <n v="22"/>
    <x v="9"/>
    <s v="Nigeria"/>
    <n v="2200000"/>
    <n v="4500000"/>
    <x v="0"/>
    <n v="30"/>
    <n v="1039"/>
    <x v="0"/>
    <n v="349"/>
    <x v="0"/>
    <x v="5"/>
    <x v="0"/>
    <n v="21"/>
    <n v="6"/>
    <n v="29"/>
    <n v="10"/>
    <n v="0"/>
    <n v="10"/>
    <n v="0"/>
    <n v="0"/>
    <n v="0"/>
    <n v="12"/>
    <n v="2"/>
    <n v="19"/>
    <n v="0"/>
    <n v="13"/>
    <n v="0"/>
    <n v="2"/>
    <n v="24"/>
    <n v="0"/>
    <n v="15"/>
    <n v="0"/>
    <n v="0"/>
    <n v="11"/>
    <n v="31"/>
    <n v="59"/>
  </r>
  <r>
    <x v="291"/>
    <x v="1"/>
    <x v="594"/>
    <n v="1997"/>
    <n v="20"/>
    <x v="23"/>
    <s v="England"/>
    <n v="4500000"/>
    <n v="4500000"/>
    <x v="0"/>
    <n v="13"/>
    <n v="306"/>
    <x v="0"/>
    <n v="129"/>
    <x v="0"/>
    <x v="0"/>
    <x v="0"/>
    <n v="9"/>
    <n v="4"/>
    <n v="1"/>
    <n v="1"/>
    <n v="0"/>
    <n v="0"/>
    <n v="0"/>
    <n v="0"/>
    <n v="0"/>
    <n v="1"/>
    <n v="0"/>
    <n v="0"/>
    <n v="0"/>
    <n v="7"/>
    <n v="0"/>
    <n v="1"/>
    <n v="3"/>
    <n v="0"/>
    <n v="3"/>
    <n v="0"/>
    <n v="0"/>
    <n v="2"/>
    <n v="13"/>
    <n v="24"/>
  </r>
  <r>
    <x v="292"/>
    <x v="3"/>
    <x v="595"/>
    <n v="1988"/>
    <n v="28"/>
    <x v="17"/>
    <s v="Algeria"/>
    <n v="20000000"/>
    <n v="22500000"/>
    <x v="0"/>
    <n v="23"/>
    <n v="1279"/>
    <x v="8"/>
    <n v="423"/>
    <x v="2"/>
    <x v="3"/>
    <x v="0"/>
    <n v="10"/>
    <n v="7"/>
    <n v="35"/>
    <n v="13"/>
    <n v="2"/>
    <n v="2"/>
    <n v="5"/>
    <n v="1"/>
    <n v="0"/>
    <n v="11"/>
    <n v="3"/>
    <n v="7"/>
    <n v="0"/>
    <n v="3"/>
    <n v="3"/>
    <n v="3"/>
    <n v="27"/>
    <n v="0"/>
    <n v="12"/>
    <n v="0"/>
    <n v="0"/>
    <n v="3"/>
    <n v="54"/>
    <n v="79"/>
  </r>
  <r>
    <x v="292"/>
    <x v="1"/>
    <x v="596"/>
    <n v="1988"/>
    <n v="29"/>
    <x v="17"/>
    <s v="Algeria"/>
    <n v="22500000"/>
    <n v="16800000"/>
    <x v="0"/>
    <n v="16"/>
    <n v="370"/>
    <x v="4"/>
    <n v="157"/>
    <x v="3"/>
    <x v="3"/>
    <x v="0"/>
    <n v="13"/>
    <n v="2"/>
    <n v="4"/>
    <n v="4"/>
    <n v="0"/>
    <n v="2"/>
    <n v="0"/>
    <n v="0"/>
    <n v="0"/>
    <n v="4"/>
    <n v="2"/>
    <n v="0"/>
    <n v="0"/>
    <n v="7"/>
    <n v="0"/>
    <n v="1"/>
    <n v="3"/>
    <n v="0"/>
    <n v="2"/>
    <n v="0"/>
    <n v="0"/>
    <n v="3"/>
    <n v="13"/>
    <n v="27"/>
  </r>
  <r>
    <x v="293"/>
    <x v="2"/>
    <x v="597"/>
    <n v="1997"/>
    <n v="21"/>
    <x v="3"/>
    <s v="France"/>
    <n v="19800000"/>
    <n v="31500000"/>
    <x v="1"/>
    <n v="33"/>
    <n v="2970"/>
    <x v="4"/>
    <n v="1134"/>
    <x v="0"/>
    <x v="5"/>
    <x v="0"/>
    <n v="0"/>
    <n v="0"/>
    <n v="12"/>
    <n v="5"/>
    <n v="0"/>
    <n v="72"/>
    <n v="1"/>
    <n v="0"/>
    <n v="0"/>
    <n v="3"/>
    <n v="0"/>
    <n v="7"/>
    <n v="0"/>
    <n v="0"/>
    <n v="36"/>
    <n v="64"/>
    <n v="18"/>
    <n v="0"/>
    <n v="68"/>
    <n v="1"/>
    <n v="1"/>
    <n v="155"/>
    <n v="76"/>
    <n v="49"/>
  </r>
  <r>
    <x v="294"/>
    <x v="2"/>
    <x v="598"/>
    <n v="1993"/>
    <n v="24"/>
    <x v="16"/>
    <s v="Portugal"/>
    <n v="11000000"/>
    <n v="11000000"/>
    <x v="0"/>
    <n v="23"/>
    <n v="683"/>
    <x v="7"/>
    <n v="294"/>
    <x v="3"/>
    <x v="3"/>
    <x v="0"/>
    <n v="17"/>
    <n v="6"/>
    <n v="13"/>
    <n v="4"/>
    <n v="2"/>
    <n v="3"/>
    <n v="0"/>
    <n v="0"/>
    <n v="0"/>
    <n v="6"/>
    <n v="1"/>
    <n v="9"/>
    <n v="17"/>
    <n v="54"/>
    <n v="0"/>
    <n v="4"/>
    <n v="13"/>
    <n v="0"/>
    <n v="5"/>
    <n v="0"/>
    <n v="0"/>
    <n v="4"/>
    <n v="9"/>
    <n v="23"/>
  </r>
  <r>
    <x v="295"/>
    <x v="0"/>
    <x v="599"/>
    <n v="1990"/>
    <n v="25"/>
    <x v="21"/>
    <s v="Portugal"/>
    <n v="3600000"/>
    <n v="3600000"/>
    <x v="1"/>
    <n v="10"/>
    <n v="811"/>
    <x v="0"/>
    <n v="306"/>
    <x v="0"/>
    <x v="0"/>
    <x v="0"/>
    <n v="1"/>
    <n v="0"/>
    <n v="0"/>
    <n v="0"/>
    <n v="0"/>
    <n v="12"/>
    <n v="0"/>
    <n v="0"/>
    <n v="0"/>
    <n v="3"/>
    <n v="0"/>
    <n v="0"/>
    <n v="0"/>
    <n v="31"/>
    <n v="2"/>
    <n v="21"/>
    <n v="9"/>
    <n v="0"/>
    <n v="17"/>
    <n v="0"/>
    <n v="0"/>
    <n v="28"/>
    <n v="5"/>
    <n v="14"/>
  </r>
  <r>
    <x v="296"/>
    <x v="2"/>
    <x v="600"/>
    <n v="1993"/>
    <n v="24"/>
    <x v="23"/>
    <s v="Netherlands"/>
    <n v="13600000"/>
    <n v="10800000"/>
    <x v="0"/>
    <n v="26"/>
    <n v="1229"/>
    <x v="5"/>
    <n v="331"/>
    <x v="0"/>
    <x v="0"/>
    <x v="0"/>
    <n v="14"/>
    <n v="5"/>
    <n v="28"/>
    <n v="10"/>
    <n v="0"/>
    <n v="4"/>
    <n v="0"/>
    <n v="0"/>
    <n v="0"/>
    <n v="11"/>
    <n v="0"/>
    <n v="18"/>
    <n v="0"/>
    <n v="12"/>
    <n v="0"/>
    <n v="9"/>
    <n v="22"/>
    <n v="0"/>
    <n v="15"/>
    <n v="0"/>
    <n v="0"/>
    <n v="9"/>
    <n v="23"/>
    <n v="43"/>
  </r>
  <r>
    <x v="297"/>
    <x v="0"/>
    <x v="601"/>
    <n v="1989"/>
    <n v="25"/>
    <x v="20"/>
    <s v="England"/>
    <n v="4400000"/>
    <n v="5500000"/>
    <x v="2"/>
    <n v="29"/>
    <n v="2396"/>
    <x v="4"/>
    <n v="1066"/>
    <x v="0"/>
    <x v="12"/>
    <x v="0"/>
    <n v="1"/>
    <n v="10"/>
    <n v="15"/>
    <n v="4"/>
    <n v="0"/>
    <n v="13"/>
    <n v="0"/>
    <n v="0"/>
    <n v="0"/>
    <n v="0"/>
    <n v="0"/>
    <n v="0"/>
    <n v="35"/>
    <n v="59"/>
    <n v="13"/>
    <n v="63"/>
    <n v="49"/>
    <n v="0"/>
    <n v="81"/>
    <n v="0"/>
    <n v="0"/>
    <n v="39"/>
    <n v="25"/>
    <n v="20"/>
  </r>
  <r>
    <x v="298"/>
    <x v="0"/>
    <x v="602"/>
    <n v="1989"/>
    <n v="26"/>
    <x v="0"/>
    <s v="England"/>
    <n v="5500000"/>
    <n v="5500000"/>
    <x v="2"/>
    <n v="35"/>
    <n v="2544"/>
    <x v="4"/>
    <n v="1712"/>
    <x v="0"/>
    <x v="6"/>
    <x v="0"/>
    <n v="7"/>
    <n v="4"/>
    <n v="19"/>
    <n v="6"/>
    <n v="0"/>
    <n v="34"/>
    <n v="0"/>
    <n v="0"/>
    <n v="0"/>
    <n v="2"/>
    <n v="3"/>
    <n v="1"/>
    <n v="0"/>
    <n v="24"/>
    <n v="12"/>
    <n v="83"/>
    <n v="29"/>
    <n v="0"/>
    <n v="77"/>
    <n v="0"/>
    <n v="1"/>
    <n v="67"/>
    <n v="58"/>
    <n v="56"/>
  </r>
  <r>
    <x v="298"/>
    <x v="3"/>
    <x v="603"/>
    <n v="1989"/>
    <n v="27"/>
    <x v="0"/>
    <s v="England"/>
    <n v="5500000"/>
    <n v="16500000"/>
    <x v="2"/>
    <n v="30"/>
    <n v="2233"/>
    <x v="0"/>
    <n v="1285"/>
    <x v="0"/>
    <x v="1"/>
    <x v="0"/>
    <n v="5"/>
    <n v="6"/>
    <n v="18"/>
    <n v="5"/>
    <n v="0"/>
    <n v="23"/>
    <n v="0"/>
    <n v="0"/>
    <n v="0"/>
    <n v="1"/>
    <n v="1"/>
    <n v="0"/>
    <n v="0"/>
    <n v="20"/>
    <n v="8"/>
    <n v="56"/>
    <n v="25"/>
    <n v="0"/>
    <n v="59"/>
    <n v="0"/>
    <n v="2"/>
    <n v="48"/>
    <n v="37"/>
    <n v="49"/>
  </r>
  <r>
    <x v="298"/>
    <x v="1"/>
    <x v="604"/>
    <n v="1989"/>
    <n v="28"/>
    <x v="5"/>
    <s v="England"/>
    <n v="4500000"/>
    <n v="4500000"/>
    <x v="2"/>
    <n v="38"/>
    <n v="3420"/>
    <x v="5"/>
    <n v="1584"/>
    <x v="3"/>
    <x v="1"/>
    <x v="0"/>
    <n v="0"/>
    <n v="0"/>
    <n v="15"/>
    <n v="5"/>
    <n v="0"/>
    <n v="38"/>
    <n v="2"/>
    <n v="0"/>
    <n v="0"/>
    <n v="1"/>
    <n v="0"/>
    <n v="10"/>
    <n v="2"/>
    <n v="19"/>
    <n v="15"/>
    <n v="41"/>
    <n v="23"/>
    <n v="0"/>
    <n v="60"/>
    <n v="1"/>
    <n v="0"/>
    <n v="81"/>
    <n v="58"/>
    <n v="78"/>
  </r>
  <r>
    <x v="298"/>
    <x v="2"/>
    <x v="605"/>
    <n v="1989"/>
    <n v="29"/>
    <x v="5"/>
    <s v="England"/>
    <n v="13500000"/>
    <n v="13500000"/>
    <x v="1"/>
    <n v="37"/>
    <n v="3313"/>
    <x v="4"/>
    <n v="1329"/>
    <x v="5"/>
    <x v="8"/>
    <x v="0"/>
    <n v="0"/>
    <n v="1"/>
    <n v="17"/>
    <n v="2"/>
    <n v="0"/>
    <n v="32"/>
    <n v="0"/>
    <n v="0"/>
    <n v="0"/>
    <n v="4"/>
    <n v="3"/>
    <n v="15"/>
    <n v="1"/>
    <n v="14"/>
    <n v="16"/>
    <n v="29"/>
    <n v="30"/>
    <n v="0"/>
    <n v="51"/>
    <n v="0"/>
    <n v="0"/>
    <n v="79"/>
    <n v="52"/>
    <n v="79"/>
  </r>
  <r>
    <x v="299"/>
    <x v="0"/>
    <x v="606"/>
    <n v="1995"/>
    <n v="19"/>
    <x v="15"/>
    <s v="England"/>
    <n v="25300000"/>
    <n v="19800000"/>
    <x v="2"/>
    <n v="16"/>
    <n v="832"/>
    <x v="4"/>
    <n v="316"/>
    <x v="0"/>
    <x v="3"/>
    <x v="0"/>
    <n v="7"/>
    <n v="5"/>
    <n v="16"/>
    <n v="4"/>
    <n v="0"/>
    <n v="0"/>
    <n v="0"/>
    <n v="0"/>
    <n v="0"/>
    <n v="0"/>
    <n v="0"/>
    <n v="0"/>
    <n v="6"/>
    <n v="20"/>
    <n v="0"/>
    <n v="14"/>
    <n v="6"/>
    <n v="0"/>
    <n v="6"/>
    <n v="0"/>
    <n v="0"/>
    <n v="1"/>
    <n v="1"/>
    <n v="11"/>
  </r>
  <r>
    <x v="300"/>
    <x v="0"/>
    <x v="607"/>
    <n v="1991"/>
    <n v="24"/>
    <x v="12"/>
    <s v="England"/>
    <n v="8100000"/>
    <n v="6300000"/>
    <x v="1"/>
    <n v="22"/>
    <n v="1158"/>
    <x v="4"/>
    <n v="446"/>
    <x v="0"/>
    <x v="2"/>
    <x v="0"/>
    <n v="13"/>
    <n v="1"/>
    <n v="25"/>
    <n v="7"/>
    <n v="0"/>
    <n v="8"/>
    <n v="0"/>
    <n v="0"/>
    <n v="0"/>
    <n v="2"/>
    <n v="2"/>
    <n v="3"/>
    <n v="0"/>
    <n v="6"/>
    <n v="7"/>
    <n v="14"/>
    <n v="17"/>
    <n v="0"/>
    <n v="25"/>
    <n v="0"/>
    <n v="0"/>
    <n v="17"/>
    <n v="25"/>
    <n v="18"/>
  </r>
  <r>
    <x v="300"/>
    <x v="3"/>
    <x v="608"/>
    <n v="1991"/>
    <n v="25"/>
    <x v="12"/>
    <s v="England"/>
    <n v="6300000"/>
    <n v="4500000"/>
    <x v="1"/>
    <n v="20"/>
    <n v="1493"/>
    <x v="0"/>
    <n v="570"/>
    <x v="3"/>
    <x v="5"/>
    <x v="0"/>
    <n v="3"/>
    <n v="4"/>
    <n v="19"/>
    <n v="5"/>
    <n v="0"/>
    <n v="26"/>
    <n v="0"/>
    <n v="0"/>
    <n v="0"/>
    <n v="1"/>
    <n v="3"/>
    <n v="1"/>
    <n v="0"/>
    <n v="8"/>
    <n v="8"/>
    <n v="19"/>
    <n v="23"/>
    <n v="0"/>
    <n v="38"/>
    <n v="0"/>
    <n v="0"/>
    <n v="51"/>
    <n v="32"/>
    <n v="24"/>
  </r>
  <r>
    <x v="301"/>
    <x v="2"/>
    <x v="609"/>
    <n v="1994"/>
    <n v="24"/>
    <x v="27"/>
    <s v="England"/>
    <n v="3150000"/>
    <n v="7200000"/>
    <x v="1"/>
    <n v="24"/>
    <n v="1697"/>
    <x v="0"/>
    <n v="767"/>
    <x v="0"/>
    <x v="5"/>
    <x v="0"/>
    <n v="5"/>
    <n v="2"/>
    <n v="7"/>
    <n v="5"/>
    <n v="0"/>
    <n v="50"/>
    <n v="0"/>
    <n v="0"/>
    <n v="0"/>
    <n v="0"/>
    <n v="0"/>
    <n v="2"/>
    <n v="0"/>
    <n v="2"/>
    <n v="13"/>
    <n v="37"/>
    <n v="11"/>
    <n v="0"/>
    <n v="25"/>
    <n v="0"/>
    <n v="0"/>
    <n v="94"/>
    <n v="56"/>
    <n v="42"/>
  </r>
  <r>
    <x v="301"/>
    <x v="1"/>
    <x v="610"/>
    <n v="1994"/>
    <n v="23"/>
    <x v="27"/>
    <s v="England"/>
    <n v="3150000"/>
    <n v="3150000"/>
    <x v="1"/>
    <n v="22"/>
    <n v="1979"/>
    <x v="5"/>
    <n v="928"/>
    <x v="0"/>
    <x v="8"/>
    <x v="1"/>
    <n v="0"/>
    <n v="0"/>
    <n v="11"/>
    <n v="4"/>
    <n v="0"/>
    <n v="54"/>
    <n v="1"/>
    <n v="0"/>
    <n v="0"/>
    <n v="2"/>
    <n v="1"/>
    <n v="7"/>
    <n v="0"/>
    <n v="9"/>
    <n v="18"/>
    <n v="41"/>
    <n v="13"/>
    <n v="2"/>
    <n v="29"/>
    <n v="0"/>
    <n v="0"/>
    <n v="105"/>
    <n v="45"/>
    <n v="34"/>
  </r>
  <r>
    <x v="301"/>
    <x v="3"/>
    <x v="611"/>
    <n v="1994"/>
    <n v="22"/>
    <x v="27"/>
    <s v="England"/>
    <n v="225000"/>
    <n v="3150000"/>
    <x v="1"/>
    <n v="17"/>
    <n v="1469"/>
    <x v="0"/>
    <n v="729"/>
    <x v="3"/>
    <x v="3"/>
    <x v="0"/>
    <n v="2"/>
    <n v="0"/>
    <n v="4"/>
    <n v="0"/>
    <n v="0"/>
    <n v="45"/>
    <n v="0"/>
    <n v="0"/>
    <n v="0"/>
    <n v="1"/>
    <n v="2"/>
    <n v="0"/>
    <n v="0"/>
    <n v="4"/>
    <n v="19"/>
    <n v="24"/>
    <n v="15"/>
    <n v="0"/>
    <n v="22"/>
    <n v="0"/>
    <n v="0"/>
    <n v="79"/>
    <n v="29"/>
    <n v="39"/>
  </r>
  <r>
    <x v="302"/>
    <x v="3"/>
    <x v="612"/>
    <n v="1992"/>
    <n v="24"/>
    <x v="14"/>
    <s v="England"/>
    <n v="19800000"/>
    <n v="22000000"/>
    <x v="2"/>
    <n v="29"/>
    <n v="1949"/>
    <x v="0"/>
    <n v="1068"/>
    <x v="5"/>
    <x v="5"/>
    <x v="0"/>
    <n v="7"/>
    <n v="7"/>
    <n v="27"/>
    <n v="10"/>
    <n v="5"/>
    <n v="3"/>
    <n v="0"/>
    <n v="0"/>
    <n v="0"/>
    <n v="0"/>
    <n v="13"/>
    <n v="2"/>
    <n v="11"/>
    <n v="26"/>
    <n v="6"/>
    <n v="13"/>
    <n v="21"/>
    <n v="0"/>
    <n v="27"/>
    <n v="0"/>
    <n v="0"/>
    <n v="11"/>
    <n v="9"/>
    <n v="10"/>
  </r>
  <r>
    <x v="302"/>
    <x v="1"/>
    <x v="613"/>
    <n v="1992"/>
    <n v="25"/>
    <x v="7"/>
    <s v="England"/>
    <n v="4500000"/>
    <n v="4500000"/>
    <x v="2"/>
    <n v="20"/>
    <n v="1187"/>
    <x v="4"/>
    <n v="808"/>
    <x v="6"/>
    <x v="8"/>
    <x v="0"/>
    <n v="8"/>
    <n v="2"/>
    <n v="15"/>
    <n v="5"/>
    <n v="0"/>
    <n v="4"/>
    <n v="0"/>
    <n v="0"/>
    <n v="0"/>
    <n v="0"/>
    <n v="9"/>
    <n v="10"/>
    <n v="1"/>
    <n v="3"/>
    <n v="2"/>
    <n v="8"/>
    <n v="15"/>
    <n v="0"/>
    <n v="15"/>
    <n v="0"/>
    <n v="0"/>
    <n v="5"/>
    <n v="7"/>
    <n v="7"/>
  </r>
  <r>
    <x v="303"/>
    <x v="1"/>
    <x v="614"/>
    <n v="1995"/>
    <n v="22"/>
    <x v="20"/>
    <s v="England"/>
    <n v="6300000"/>
    <n v="6300000"/>
    <x v="0"/>
    <n v="25"/>
    <n v="1145"/>
    <x v="4"/>
    <n v="281"/>
    <x v="3"/>
    <x v="0"/>
    <x v="0"/>
    <n v="12"/>
    <n v="8"/>
    <n v="22"/>
    <n v="7"/>
    <n v="0"/>
    <n v="3"/>
    <n v="0"/>
    <n v="0"/>
    <n v="0"/>
    <n v="0"/>
    <n v="0"/>
    <n v="15"/>
    <n v="4"/>
    <n v="40"/>
    <n v="0"/>
    <n v="6"/>
    <n v="8"/>
    <n v="0"/>
    <n v="13"/>
    <n v="0"/>
    <n v="0"/>
    <n v="9"/>
    <n v="7"/>
    <n v="24"/>
  </r>
  <r>
    <x v="304"/>
    <x v="1"/>
    <x v="615"/>
    <n v="1996"/>
    <n v="21"/>
    <x v="8"/>
    <s v="Netherlands"/>
    <n v="4950000"/>
    <n v="7700000"/>
    <x v="2"/>
    <n v="12"/>
    <n v="435"/>
    <x v="0"/>
    <n v="155"/>
    <x v="0"/>
    <x v="0"/>
    <x v="0"/>
    <n v="8"/>
    <n v="0"/>
    <n v="0"/>
    <n v="0"/>
    <n v="0"/>
    <n v="6"/>
    <n v="0"/>
    <n v="0"/>
    <n v="0"/>
    <n v="0"/>
    <n v="0"/>
    <n v="0"/>
    <n v="0"/>
    <n v="2"/>
    <n v="1"/>
    <n v="12"/>
    <n v="3"/>
    <n v="0"/>
    <n v="11"/>
    <n v="0"/>
    <n v="0"/>
    <n v="12"/>
    <n v="4"/>
    <n v="3"/>
  </r>
  <r>
    <x v="305"/>
    <x v="3"/>
    <x v="616"/>
    <n v="1989"/>
    <n v="26"/>
    <x v="10"/>
    <s v="England"/>
    <n v="7700000"/>
    <n v="9900000"/>
    <x v="2"/>
    <n v="37"/>
    <n v="2976"/>
    <x v="0"/>
    <n v="1605"/>
    <x v="3"/>
    <x v="2"/>
    <x v="0"/>
    <n v="2"/>
    <n v="7"/>
    <n v="33"/>
    <n v="7"/>
    <n v="0"/>
    <n v="32"/>
    <n v="0"/>
    <n v="0"/>
    <n v="0"/>
    <n v="1"/>
    <n v="4"/>
    <n v="0"/>
    <n v="0"/>
    <n v="7"/>
    <n v="25"/>
    <n v="49"/>
    <n v="33"/>
    <n v="0"/>
    <n v="79"/>
    <n v="0"/>
    <n v="0"/>
    <n v="64"/>
    <n v="33"/>
    <n v="32"/>
  </r>
  <r>
    <x v="305"/>
    <x v="1"/>
    <x v="617"/>
    <n v="1989"/>
    <n v="28"/>
    <x v="18"/>
    <s v="England"/>
    <n v="22000000"/>
    <n v="40000000"/>
    <x v="2"/>
    <n v="34"/>
    <n v="2675"/>
    <x v="5"/>
    <n v="1103"/>
    <x v="5"/>
    <x v="2"/>
    <x v="0"/>
    <n v="4"/>
    <n v="5"/>
    <n v="15"/>
    <n v="4"/>
    <n v="1"/>
    <n v="10"/>
    <n v="0"/>
    <n v="0"/>
    <n v="0"/>
    <n v="0"/>
    <n v="8"/>
    <n v="11"/>
    <n v="1"/>
    <n v="16"/>
    <n v="9"/>
    <n v="26"/>
    <n v="42"/>
    <n v="0"/>
    <n v="72"/>
    <n v="0"/>
    <n v="0"/>
    <n v="28"/>
    <n v="23"/>
    <n v="37"/>
  </r>
  <r>
    <x v="306"/>
    <x v="0"/>
    <x v="618"/>
    <n v="1993"/>
    <n v="21"/>
    <x v="20"/>
    <s v="England"/>
    <n v="3600000"/>
    <n v="3600000"/>
    <x v="1"/>
    <n v="18"/>
    <n v="1148"/>
    <x v="5"/>
    <n v="486"/>
    <x v="0"/>
    <x v="3"/>
    <x v="1"/>
    <n v="8"/>
    <n v="0"/>
    <n v="4"/>
    <n v="4"/>
    <n v="0"/>
    <n v="54"/>
    <n v="2"/>
    <n v="0"/>
    <n v="0"/>
    <n v="0"/>
    <n v="0"/>
    <n v="0"/>
    <n v="0"/>
    <n v="1"/>
    <n v="13"/>
    <n v="28"/>
    <n v="11"/>
    <n v="0"/>
    <n v="12"/>
    <n v="1"/>
    <n v="0"/>
    <n v="77"/>
    <n v="42"/>
    <n v="13"/>
  </r>
  <r>
    <x v="306"/>
    <x v="1"/>
    <x v="619"/>
    <n v="1993"/>
    <n v="24"/>
    <x v="20"/>
    <s v="England"/>
    <n v="4500000"/>
    <n v="13500000"/>
    <x v="1"/>
    <n v="33"/>
    <n v="2928"/>
    <x v="7"/>
    <n v="1184"/>
    <x v="0"/>
    <x v="2"/>
    <x v="0"/>
    <n v="1"/>
    <n v="1"/>
    <n v="12"/>
    <n v="8"/>
    <n v="0"/>
    <n v="140"/>
    <n v="3"/>
    <n v="0"/>
    <n v="0"/>
    <n v="0"/>
    <n v="0"/>
    <n v="4"/>
    <n v="0"/>
    <n v="2"/>
    <n v="24"/>
    <n v="28"/>
    <n v="16"/>
    <n v="2"/>
    <n v="31"/>
    <n v="0"/>
    <n v="0"/>
    <n v="230"/>
    <n v="128"/>
    <n v="60"/>
  </r>
  <r>
    <x v="306"/>
    <x v="2"/>
    <x v="620"/>
    <n v="1993"/>
    <n v="24"/>
    <x v="20"/>
    <s v="England"/>
    <n v="13500000"/>
    <n v="13500000"/>
    <x v="1"/>
    <n v="32"/>
    <n v="2745"/>
    <x v="0"/>
    <n v="1104"/>
    <x v="3"/>
    <x v="5"/>
    <x v="0"/>
    <n v="0"/>
    <n v="3"/>
    <n v="11"/>
    <n v="1"/>
    <n v="0"/>
    <n v="104"/>
    <n v="0"/>
    <n v="0"/>
    <n v="0"/>
    <n v="1"/>
    <n v="2"/>
    <n v="10"/>
    <n v="0"/>
    <n v="2"/>
    <n v="28"/>
    <n v="39"/>
    <n v="16"/>
    <n v="2"/>
    <n v="32"/>
    <n v="2"/>
    <n v="0"/>
    <n v="213"/>
    <n v="92"/>
    <n v="46"/>
  </r>
  <r>
    <x v="307"/>
    <x v="0"/>
    <x v="621"/>
    <n v="1989"/>
    <n v="26"/>
    <x v="18"/>
    <s v="Wales"/>
    <n v="3600000"/>
    <n v="4500000"/>
    <x v="1"/>
    <n v="13"/>
    <n v="962"/>
    <x v="0"/>
    <n v="327"/>
    <x v="0"/>
    <x v="2"/>
    <x v="0"/>
    <n v="4"/>
    <n v="2"/>
    <n v="0"/>
    <n v="0"/>
    <n v="0"/>
    <n v="31"/>
    <n v="0"/>
    <n v="0"/>
    <n v="0"/>
    <n v="0"/>
    <n v="2"/>
    <n v="0"/>
    <n v="0"/>
    <n v="14"/>
    <n v="5"/>
    <n v="24"/>
    <n v="11"/>
    <n v="0"/>
    <n v="32"/>
    <n v="0"/>
    <n v="0"/>
    <n v="50"/>
    <n v="21"/>
    <n v="13"/>
  </r>
  <r>
    <x v="308"/>
    <x v="3"/>
    <x v="622"/>
    <n v="1983"/>
    <n v="32"/>
    <x v="3"/>
    <s v="Wales"/>
    <n v="2200000"/>
    <n v="2200000"/>
    <x v="1"/>
    <n v="22"/>
    <n v="1654"/>
    <x v="5"/>
    <n v="580"/>
    <x v="0"/>
    <x v="6"/>
    <x v="0"/>
    <n v="3"/>
    <n v="1"/>
    <n v="11"/>
    <n v="4"/>
    <n v="0"/>
    <n v="96"/>
    <n v="1"/>
    <n v="0"/>
    <n v="0"/>
    <n v="1"/>
    <n v="0"/>
    <n v="0"/>
    <n v="0"/>
    <n v="0"/>
    <n v="18"/>
    <n v="38"/>
    <n v="7"/>
    <n v="1"/>
    <n v="21"/>
    <n v="1"/>
    <n v="0"/>
    <n v="147"/>
    <n v="59"/>
    <n v="28"/>
  </r>
  <r>
    <x v="308"/>
    <x v="0"/>
    <x v="623"/>
    <n v="1983"/>
    <n v="31"/>
    <x v="3"/>
    <s v="Wales"/>
    <n v="2200000"/>
    <n v="2200000"/>
    <x v="1"/>
    <n v="19"/>
    <n v="1440"/>
    <x v="0"/>
    <n v="574"/>
    <x v="0"/>
    <x v="6"/>
    <x v="1"/>
    <n v="3"/>
    <n v="1"/>
    <n v="13"/>
    <n v="4"/>
    <n v="0"/>
    <n v="96"/>
    <n v="0"/>
    <n v="0"/>
    <n v="0"/>
    <n v="1"/>
    <n v="0"/>
    <n v="0"/>
    <n v="0"/>
    <n v="0"/>
    <n v="22"/>
    <n v="19"/>
    <n v="12"/>
    <n v="0"/>
    <n v="18"/>
    <n v="0"/>
    <n v="0"/>
    <n v="151"/>
    <n v="51"/>
    <n v="27"/>
  </r>
  <r>
    <x v="308"/>
    <x v="1"/>
    <x v="624"/>
    <n v="1983"/>
    <n v="34"/>
    <x v="3"/>
    <s v="Wales"/>
    <n v="2200000"/>
    <n v="1100000"/>
    <x v="1"/>
    <n v="13"/>
    <n v="1050"/>
    <x v="4"/>
    <n v="389"/>
    <x v="0"/>
    <x v="6"/>
    <x v="0"/>
    <n v="1"/>
    <n v="1"/>
    <n v="1"/>
    <n v="1"/>
    <n v="0"/>
    <n v="71"/>
    <n v="1"/>
    <n v="0"/>
    <n v="0"/>
    <n v="0"/>
    <n v="0"/>
    <n v="0"/>
    <n v="0"/>
    <n v="0"/>
    <n v="10"/>
    <n v="16"/>
    <n v="13"/>
    <n v="0"/>
    <n v="15"/>
    <n v="1"/>
    <n v="0"/>
    <n v="118"/>
    <n v="47"/>
    <n v="34"/>
  </r>
  <r>
    <x v="309"/>
    <x v="2"/>
    <x v="625"/>
    <n v="1996"/>
    <n v="21"/>
    <x v="17"/>
    <s v="England"/>
    <n v="6300000"/>
    <n v="6300000"/>
    <x v="2"/>
    <n v="36"/>
    <n v="2848"/>
    <x v="8"/>
    <n v="1404"/>
    <x v="4"/>
    <x v="6"/>
    <x v="1"/>
    <n v="1"/>
    <n v="19"/>
    <n v="83"/>
    <n v="28"/>
    <n v="1"/>
    <n v="3"/>
    <n v="0"/>
    <n v="0"/>
    <n v="3"/>
    <n v="2"/>
    <n v="22"/>
    <n v="55"/>
    <n v="163"/>
    <n v="205"/>
    <n v="4"/>
    <n v="12"/>
    <n v="25"/>
    <n v="0"/>
    <n v="48"/>
    <n v="0"/>
    <n v="0"/>
    <n v="5"/>
    <n v="11"/>
    <n v="34"/>
  </r>
  <r>
    <x v="310"/>
    <x v="0"/>
    <x v="626"/>
    <n v="1987"/>
    <n v="27"/>
    <x v="8"/>
    <s v="Scotland"/>
    <n v="6300000"/>
    <n v="6000000"/>
    <x v="2"/>
    <n v="28"/>
    <n v="2192"/>
    <x v="5"/>
    <n v="1058"/>
    <x v="5"/>
    <x v="2"/>
    <x v="0"/>
    <n v="2"/>
    <n v="10"/>
    <n v="16"/>
    <n v="4"/>
    <n v="0"/>
    <n v="11"/>
    <n v="0"/>
    <n v="0"/>
    <n v="0"/>
    <n v="1"/>
    <n v="1"/>
    <n v="1"/>
    <n v="0"/>
    <n v="8"/>
    <n v="10"/>
    <n v="66"/>
    <n v="41"/>
    <n v="0"/>
    <n v="55"/>
    <n v="0"/>
    <n v="0"/>
    <n v="20"/>
    <n v="32"/>
    <n v="42"/>
  </r>
  <r>
    <x v="310"/>
    <x v="3"/>
    <x v="627"/>
    <n v="1987"/>
    <n v="28"/>
    <x v="8"/>
    <s v="Scotland"/>
    <n v="6000000"/>
    <n v="5400000"/>
    <x v="2"/>
    <n v="29"/>
    <n v="2010"/>
    <x v="2"/>
    <n v="854"/>
    <x v="6"/>
    <x v="2"/>
    <x v="0"/>
    <n v="5"/>
    <n v="16"/>
    <n v="23"/>
    <n v="6"/>
    <n v="0"/>
    <n v="8"/>
    <n v="3"/>
    <n v="0"/>
    <n v="0"/>
    <n v="4"/>
    <n v="4"/>
    <n v="0"/>
    <n v="1"/>
    <n v="26"/>
    <n v="6"/>
    <n v="26"/>
    <n v="41"/>
    <n v="0"/>
    <n v="59"/>
    <n v="0"/>
    <n v="0"/>
    <n v="24"/>
    <n v="32"/>
    <n v="41"/>
  </r>
  <r>
    <x v="310"/>
    <x v="1"/>
    <x v="628"/>
    <n v="1987"/>
    <n v="30"/>
    <x v="8"/>
    <s v="Scotland"/>
    <n v="5400000"/>
    <n v="6300000"/>
    <x v="2"/>
    <n v="33"/>
    <n v="2433"/>
    <x v="2"/>
    <n v="1070"/>
    <x v="3"/>
    <x v="2"/>
    <x v="0"/>
    <n v="6"/>
    <n v="9"/>
    <n v="30"/>
    <n v="11"/>
    <n v="0"/>
    <n v="12"/>
    <n v="0"/>
    <n v="0"/>
    <n v="0"/>
    <n v="0"/>
    <n v="3"/>
    <n v="19"/>
    <n v="0"/>
    <n v="11"/>
    <n v="2"/>
    <n v="36"/>
    <n v="45"/>
    <n v="0"/>
    <n v="58"/>
    <n v="0"/>
    <n v="0"/>
    <n v="37"/>
    <n v="39"/>
    <n v="52"/>
  </r>
  <r>
    <x v="310"/>
    <x v="2"/>
    <x v="629"/>
    <n v="1987"/>
    <n v="30"/>
    <x v="8"/>
    <s v="Scotland"/>
    <n v="15300000"/>
    <n v="15300000"/>
    <x v="2"/>
    <n v="38"/>
    <n v="3072"/>
    <x v="7"/>
    <n v="1400"/>
    <x v="1"/>
    <x v="1"/>
    <x v="0"/>
    <n v="2"/>
    <n v="15"/>
    <n v="34"/>
    <n v="8"/>
    <n v="2"/>
    <n v="22"/>
    <n v="1"/>
    <n v="0"/>
    <n v="0"/>
    <n v="2"/>
    <n v="4"/>
    <n v="26"/>
    <n v="1"/>
    <n v="15"/>
    <n v="22"/>
    <n v="39"/>
    <n v="61"/>
    <n v="0"/>
    <n v="84"/>
    <n v="0"/>
    <n v="0"/>
    <n v="44"/>
    <n v="48"/>
    <n v="57"/>
  </r>
  <r>
    <x v="311"/>
    <x v="0"/>
    <x v="630"/>
    <n v="1990"/>
    <n v="24"/>
    <x v="4"/>
    <s v="Ireland"/>
    <n v="15300000"/>
    <n v="13500000"/>
    <x v="2"/>
    <n v="29"/>
    <n v="2434"/>
    <x v="5"/>
    <n v="1357"/>
    <x v="5"/>
    <x v="2"/>
    <x v="1"/>
    <n v="0"/>
    <n v="6"/>
    <n v="16"/>
    <n v="7"/>
    <n v="0"/>
    <n v="23"/>
    <n v="0"/>
    <n v="0"/>
    <n v="0"/>
    <n v="0"/>
    <n v="4"/>
    <n v="0"/>
    <n v="0"/>
    <n v="17"/>
    <n v="17"/>
    <n v="51"/>
    <n v="37"/>
    <n v="0"/>
    <n v="79"/>
    <n v="0"/>
    <n v="0"/>
    <n v="48"/>
    <n v="11"/>
    <n v="20"/>
  </r>
  <r>
    <x v="311"/>
    <x v="3"/>
    <x v="631"/>
    <n v="1990"/>
    <n v="25"/>
    <x v="4"/>
    <s v="Ireland"/>
    <n v="2700000"/>
    <n v="2700000"/>
    <x v="2"/>
    <n v="12"/>
    <n v="612"/>
    <x v="0"/>
    <n v="247"/>
    <x v="3"/>
    <x v="4"/>
    <x v="0"/>
    <n v="5"/>
    <n v="5"/>
    <n v="6"/>
    <n v="3"/>
    <n v="0"/>
    <n v="5"/>
    <n v="0"/>
    <n v="0"/>
    <n v="0"/>
    <n v="0"/>
    <n v="0"/>
    <n v="0"/>
    <n v="0"/>
    <n v="4"/>
    <n v="3"/>
    <n v="10"/>
    <n v="10"/>
    <n v="0"/>
    <n v="19"/>
    <n v="0"/>
    <n v="0"/>
    <n v="8"/>
    <n v="11"/>
    <n v="5"/>
  </r>
  <r>
    <x v="312"/>
    <x v="0"/>
    <x v="632"/>
    <n v="1989"/>
    <n v="26"/>
    <x v="18"/>
    <s v="Ireland"/>
    <n v="2700000"/>
    <n v="2700000"/>
    <x v="2"/>
    <n v="35"/>
    <n v="2412"/>
    <x v="5"/>
    <n v="598"/>
    <x v="5"/>
    <x v="1"/>
    <x v="1"/>
    <n v="7"/>
    <n v="8"/>
    <n v="31"/>
    <n v="9"/>
    <n v="0"/>
    <n v="26"/>
    <n v="1"/>
    <n v="0"/>
    <n v="0"/>
    <n v="6"/>
    <n v="2"/>
    <n v="0"/>
    <n v="39"/>
    <n v="208"/>
    <n v="7"/>
    <n v="32"/>
    <n v="36"/>
    <n v="0"/>
    <n v="70"/>
    <n v="0"/>
    <n v="0"/>
    <n v="53"/>
    <n v="58"/>
    <n v="60"/>
  </r>
  <r>
    <x v="312"/>
    <x v="3"/>
    <x v="633"/>
    <n v="1989"/>
    <n v="27"/>
    <x v="18"/>
    <s v="Ireland"/>
    <n v="2700000"/>
    <n v="2700000"/>
    <x v="2"/>
    <n v="34"/>
    <n v="1464"/>
    <x v="0"/>
    <n v="350"/>
    <x v="5"/>
    <x v="10"/>
    <x v="0"/>
    <n v="21"/>
    <n v="8"/>
    <n v="23"/>
    <n v="13"/>
    <n v="0"/>
    <n v="12"/>
    <n v="0"/>
    <n v="0"/>
    <n v="0"/>
    <n v="6"/>
    <n v="2"/>
    <n v="0"/>
    <n v="11"/>
    <n v="97"/>
    <n v="3"/>
    <n v="17"/>
    <n v="31"/>
    <n v="0"/>
    <n v="55"/>
    <n v="0"/>
    <n v="0"/>
    <n v="19"/>
    <n v="31"/>
    <n v="43"/>
  </r>
  <r>
    <x v="312"/>
    <x v="1"/>
    <x v="634"/>
    <n v="1989"/>
    <n v="28"/>
    <x v="18"/>
    <s v="Ireland"/>
    <n v="15400000"/>
    <n v="16500000"/>
    <x v="2"/>
    <n v="30"/>
    <n v="1395"/>
    <x v="4"/>
    <n v="359"/>
    <x v="0"/>
    <x v="1"/>
    <x v="0"/>
    <n v="16"/>
    <n v="6"/>
    <n v="30"/>
    <n v="6"/>
    <n v="0"/>
    <n v="6"/>
    <n v="0"/>
    <n v="0"/>
    <n v="0"/>
    <n v="5"/>
    <n v="0"/>
    <n v="24"/>
    <n v="12"/>
    <n v="88"/>
    <n v="4"/>
    <n v="19"/>
    <n v="35"/>
    <n v="0"/>
    <n v="40"/>
    <n v="0"/>
    <n v="1"/>
    <n v="15"/>
    <n v="16"/>
    <n v="22"/>
  </r>
  <r>
    <x v="313"/>
    <x v="0"/>
    <x v="635"/>
    <n v="1986"/>
    <n v="29"/>
    <x v="13"/>
    <s v="England"/>
    <n v="16500000"/>
    <n v="13200000"/>
    <x v="2"/>
    <n v="28"/>
    <n v="2414"/>
    <x v="2"/>
    <n v="1377"/>
    <x v="10"/>
    <x v="10"/>
    <x v="0"/>
    <n v="0"/>
    <n v="7"/>
    <n v="39"/>
    <n v="11"/>
    <n v="0"/>
    <n v="8"/>
    <n v="0"/>
    <n v="1"/>
    <n v="1"/>
    <n v="2"/>
    <n v="12"/>
    <n v="1"/>
    <n v="116"/>
    <n v="185"/>
    <n v="3"/>
    <n v="37"/>
    <n v="47"/>
    <n v="0"/>
    <n v="68"/>
    <n v="0"/>
    <n v="0"/>
    <n v="23"/>
    <n v="32"/>
    <n v="42"/>
  </r>
  <r>
    <x v="313"/>
    <x v="3"/>
    <x v="636"/>
    <n v="1986"/>
    <n v="30"/>
    <x v="13"/>
    <s v="England"/>
    <n v="16500000"/>
    <n v="16500000"/>
    <x v="2"/>
    <n v="36"/>
    <n v="3159"/>
    <x v="8"/>
    <n v="2168"/>
    <x v="6"/>
    <x v="2"/>
    <x v="0"/>
    <n v="0"/>
    <n v="6"/>
    <n v="36"/>
    <n v="17"/>
    <n v="0"/>
    <n v="50"/>
    <n v="0"/>
    <n v="7"/>
    <n v="0"/>
    <n v="2"/>
    <n v="2"/>
    <n v="2"/>
    <n v="91"/>
    <n v="259"/>
    <n v="5"/>
    <n v="44"/>
    <n v="38"/>
    <n v="0"/>
    <n v="94"/>
    <n v="0"/>
    <n v="0"/>
    <n v="100"/>
    <n v="56"/>
    <n v="65"/>
  </r>
  <r>
    <x v="313"/>
    <x v="2"/>
    <x v="637"/>
    <n v="1986"/>
    <n v="32"/>
    <x v="13"/>
    <s v="England"/>
    <n v="13200000"/>
    <n v="16500000"/>
    <x v="2"/>
    <n v="31"/>
    <n v="1786"/>
    <x v="2"/>
    <n v="1401"/>
    <x v="2"/>
    <x v="2"/>
    <x v="1"/>
    <n v="12"/>
    <n v="7"/>
    <n v="24"/>
    <n v="8"/>
    <n v="0"/>
    <n v="14"/>
    <n v="0"/>
    <n v="3"/>
    <n v="0"/>
    <n v="0"/>
    <n v="6"/>
    <n v="16"/>
    <n v="92"/>
    <n v="134"/>
    <n v="5"/>
    <n v="18"/>
    <n v="28"/>
    <n v="0"/>
    <n v="43"/>
    <n v="0"/>
    <n v="0"/>
    <n v="22"/>
    <n v="20"/>
    <n v="28"/>
  </r>
  <r>
    <x v="313"/>
    <x v="1"/>
    <x v="638"/>
    <n v="1986"/>
    <n v="31"/>
    <x v="13"/>
    <s v="England"/>
    <n v="4500000"/>
    <n v="4500000"/>
    <x v="2"/>
    <n v="32"/>
    <n v="1762"/>
    <x v="0"/>
    <n v="1480"/>
    <x v="6"/>
    <x v="6"/>
    <x v="0"/>
    <n v="16"/>
    <n v="3"/>
    <n v="21"/>
    <n v="5"/>
    <n v="0"/>
    <n v="8"/>
    <n v="0"/>
    <n v="0"/>
    <n v="0"/>
    <n v="0"/>
    <n v="7"/>
    <n v="16"/>
    <n v="60"/>
    <n v="123"/>
    <n v="5"/>
    <n v="21"/>
    <n v="29"/>
    <n v="0"/>
    <n v="58"/>
    <n v="0"/>
    <n v="0"/>
    <n v="22"/>
    <n v="23"/>
    <n v="18"/>
  </r>
  <r>
    <x v="314"/>
    <x v="0"/>
    <x v="639"/>
    <n v="1986"/>
    <n v="29"/>
    <x v="18"/>
    <s v="Scotland"/>
    <n v="4500000"/>
    <n v="4500000"/>
    <x v="2"/>
    <n v="18"/>
    <n v="1343"/>
    <x v="7"/>
    <n v="593"/>
    <x v="6"/>
    <x v="6"/>
    <x v="0"/>
    <n v="1"/>
    <n v="7"/>
    <n v="24"/>
    <n v="12"/>
    <n v="0"/>
    <n v="5"/>
    <n v="1"/>
    <n v="0"/>
    <n v="0"/>
    <n v="0"/>
    <n v="3"/>
    <n v="1"/>
    <n v="2"/>
    <n v="15"/>
    <n v="5"/>
    <n v="43"/>
    <n v="7"/>
    <n v="0"/>
    <n v="26"/>
    <n v="0"/>
    <n v="0"/>
    <n v="11"/>
    <n v="6"/>
    <n v="12"/>
  </r>
  <r>
    <x v="314"/>
    <x v="3"/>
    <x v="640"/>
    <n v="1986"/>
    <n v="30"/>
    <x v="18"/>
    <s v="Scotland"/>
    <n v="9900000"/>
    <n v="12100000"/>
    <x v="2"/>
    <n v="31"/>
    <n v="1738"/>
    <x v="2"/>
    <n v="764"/>
    <x v="5"/>
    <x v="6"/>
    <x v="0"/>
    <n v="14"/>
    <n v="12"/>
    <n v="23"/>
    <n v="8"/>
    <n v="0"/>
    <n v="3"/>
    <n v="1"/>
    <n v="0"/>
    <n v="0"/>
    <n v="2"/>
    <n v="4"/>
    <n v="2"/>
    <n v="3"/>
    <n v="22"/>
    <n v="4"/>
    <n v="23"/>
    <n v="19"/>
    <n v="0"/>
    <n v="26"/>
    <n v="0"/>
    <n v="0"/>
    <n v="11"/>
    <n v="9"/>
    <n v="25"/>
  </r>
  <r>
    <x v="315"/>
    <x v="1"/>
    <x v="641"/>
    <n v="1992"/>
    <n v="25"/>
    <x v="5"/>
    <s v="England"/>
    <n v="1800000"/>
    <n v="13500000"/>
    <x v="1"/>
    <n v="31"/>
    <n v="2790"/>
    <x v="0"/>
    <n v="1091"/>
    <x v="0"/>
    <x v="2"/>
    <x v="0"/>
    <n v="0"/>
    <n v="0"/>
    <n v="18"/>
    <n v="5"/>
    <n v="0"/>
    <n v="143"/>
    <n v="0"/>
    <n v="0"/>
    <n v="0"/>
    <n v="3"/>
    <n v="0"/>
    <n v="13"/>
    <n v="0"/>
    <n v="4"/>
    <n v="43"/>
    <n v="50"/>
    <n v="25"/>
    <n v="0"/>
    <n v="46"/>
    <n v="0"/>
    <n v="0"/>
    <n v="219"/>
    <n v="147"/>
    <n v="62"/>
  </r>
  <r>
    <x v="315"/>
    <x v="2"/>
    <x v="642"/>
    <n v="1992"/>
    <n v="25"/>
    <x v="5"/>
    <s v="England"/>
    <n v="13500000"/>
    <n v="16200000"/>
    <x v="1"/>
    <n v="35"/>
    <n v="3087"/>
    <x v="7"/>
    <n v="1135"/>
    <x v="0"/>
    <x v="9"/>
    <x v="0"/>
    <n v="0"/>
    <n v="1"/>
    <n v="22"/>
    <n v="10"/>
    <n v="0"/>
    <n v="138"/>
    <n v="0"/>
    <n v="0"/>
    <n v="0"/>
    <n v="4"/>
    <n v="0"/>
    <n v="12"/>
    <n v="0"/>
    <n v="5"/>
    <n v="56"/>
    <n v="42"/>
    <n v="35"/>
    <n v="0"/>
    <n v="71"/>
    <n v="0"/>
    <n v="0"/>
    <n v="235"/>
    <n v="169"/>
    <n v="78"/>
  </r>
  <r>
    <x v="315"/>
    <x v="3"/>
    <x v="643"/>
    <n v="1992"/>
    <n v="23"/>
    <x v="5"/>
    <s v="England"/>
    <n v="1800000"/>
    <n v="1800000"/>
    <x v="1"/>
    <n v="19"/>
    <n v="556"/>
    <x v="0"/>
    <n v="263"/>
    <x v="0"/>
    <x v="3"/>
    <x v="0"/>
    <n v="15"/>
    <n v="0"/>
    <n v="5"/>
    <n v="0"/>
    <n v="0"/>
    <n v="20"/>
    <n v="0"/>
    <n v="0"/>
    <n v="0"/>
    <n v="2"/>
    <n v="0"/>
    <n v="1"/>
    <n v="0"/>
    <n v="2"/>
    <n v="7"/>
    <n v="11"/>
    <n v="10"/>
    <n v="0"/>
    <n v="19"/>
    <n v="0"/>
    <n v="0"/>
    <n v="37"/>
    <n v="26"/>
    <n v="19"/>
  </r>
  <r>
    <x v="316"/>
    <x v="1"/>
    <x v="644"/>
    <n v="1989"/>
    <n v="28"/>
    <x v="8"/>
    <s v="England"/>
    <n v="6300000"/>
    <n v="7200000"/>
    <x v="1"/>
    <n v="28"/>
    <n v="2388"/>
    <x v="7"/>
    <n v="888"/>
    <x v="0"/>
    <x v="9"/>
    <x v="0"/>
    <n v="1"/>
    <n v="2"/>
    <n v="23"/>
    <n v="10"/>
    <n v="2"/>
    <n v="108"/>
    <n v="1"/>
    <n v="0"/>
    <n v="0"/>
    <n v="0"/>
    <n v="0"/>
    <n v="13"/>
    <n v="0"/>
    <n v="1"/>
    <n v="12"/>
    <n v="63"/>
    <n v="20"/>
    <n v="1"/>
    <n v="47"/>
    <n v="1"/>
    <n v="0"/>
    <n v="213"/>
    <n v="116"/>
    <n v="66"/>
  </r>
  <r>
    <x v="316"/>
    <x v="0"/>
    <x v="645"/>
    <n v="1989"/>
    <n v="26"/>
    <x v="3"/>
    <s v="England"/>
    <n v="5400000"/>
    <n v="6300000"/>
    <x v="1"/>
    <n v="25"/>
    <n v="1963"/>
    <x v="0"/>
    <n v="835"/>
    <x v="0"/>
    <x v="5"/>
    <x v="0"/>
    <n v="2"/>
    <n v="6"/>
    <n v="9"/>
    <n v="1"/>
    <n v="0"/>
    <n v="51"/>
    <n v="0"/>
    <n v="0"/>
    <n v="0"/>
    <n v="0"/>
    <n v="0"/>
    <n v="0"/>
    <n v="0"/>
    <n v="15"/>
    <n v="10"/>
    <n v="54"/>
    <n v="17"/>
    <n v="0"/>
    <n v="62"/>
    <n v="2"/>
    <n v="0"/>
    <n v="101"/>
    <n v="34"/>
    <n v="20"/>
  </r>
  <r>
    <x v="316"/>
    <x v="3"/>
    <x v="646"/>
    <n v="1989"/>
    <n v="27"/>
    <x v="8"/>
    <s v="England"/>
    <n v="6300000"/>
    <n v="6300000"/>
    <x v="1"/>
    <n v="24"/>
    <n v="1976"/>
    <x v="7"/>
    <n v="728"/>
    <x v="0"/>
    <x v="5"/>
    <x v="0"/>
    <n v="0"/>
    <n v="5"/>
    <n v="14"/>
    <n v="4"/>
    <n v="0"/>
    <n v="69"/>
    <n v="0"/>
    <n v="0"/>
    <n v="0"/>
    <n v="0"/>
    <n v="0"/>
    <n v="3"/>
    <n v="0"/>
    <n v="3"/>
    <n v="13"/>
    <n v="37"/>
    <n v="10"/>
    <n v="0"/>
    <n v="28"/>
    <n v="0"/>
    <n v="0"/>
    <n v="124"/>
    <n v="58"/>
    <n v="40"/>
  </r>
  <r>
    <x v="316"/>
    <x v="2"/>
    <x v="647"/>
    <n v="1989"/>
    <n v="29"/>
    <x v="8"/>
    <s v="England"/>
    <n v="7200000"/>
    <n v="7200000"/>
    <x v="1"/>
    <n v="29"/>
    <n v="2562"/>
    <x v="0"/>
    <n v="1111"/>
    <x v="0"/>
    <x v="8"/>
    <x v="0"/>
    <n v="0"/>
    <n v="3"/>
    <n v="22"/>
    <n v="7"/>
    <n v="0"/>
    <n v="98"/>
    <n v="0"/>
    <n v="0"/>
    <n v="0"/>
    <n v="1"/>
    <n v="0"/>
    <n v="15"/>
    <n v="0"/>
    <n v="0"/>
    <n v="10"/>
    <n v="34"/>
    <n v="16"/>
    <n v="0"/>
    <n v="33"/>
    <n v="2"/>
    <n v="0"/>
    <n v="182"/>
    <n v="91"/>
    <n v="91"/>
  </r>
  <r>
    <x v="317"/>
    <x v="0"/>
    <x v="648"/>
    <n v="1994"/>
    <n v="20"/>
    <x v="27"/>
    <s v="England"/>
    <n v="12100000"/>
    <n v="16500000"/>
    <x v="2"/>
    <n v="33"/>
    <n v="1533"/>
    <x v="5"/>
    <n v="699"/>
    <x v="2"/>
    <x v="2"/>
    <x v="0"/>
    <n v="19"/>
    <n v="5"/>
    <n v="28"/>
    <n v="7"/>
    <n v="0"/>
    <n v="22"/>
    <n v="0"/>
    <n v="1"/>
    <n v="1"/>
    <n v="1"/>
    <n v="3"/>
    <n v="0"/>
    <n v="53"/>
    <n v="93"/>
    <n v="6"/>
    <n v="22"/>
    <n v="21"/>
    <n v="0"/>
    <n v="14"/>
    <n v="0"/>
    <n v="0"/>
    <n v="37"/>
    <n v="10"/>
    <n v="18"/>
  </r>
  <r>
    <x v="317"/>
    <x v="3"/>
    <x v="649"/>
    <n v="1994"/>
    <n v="21"/>
    <x v="27"/>
    <s v="England"/>
    <n v="19800000"/>
    <n v="19800000"/>
    <x v="2"/>
    <n v="30"/>
    <n v="1884"/>
    <x v="6"/>
    <n v="966"/>
    <x v="2"/>
    <x v="5"/>
    <x v="0"/>
    <n v="8"/>
    <n v="9"/>
    <n v="42"/>
    <n v="17"/>
    <n v="0"/>
    <n v="16"/>
    <n v="0"/>
    <n v="0"/>
    <n v="0"/>
    <n v="1"/>
    <n v="3"/>
    <n v="5"/>
    <n v="77"/>
    <n v="143"/>
    <n v="2"/>
    <n v="19"/>
    <n v="27"/>
    <n v="0"/>
    <n v="29"/>
    <n v="0"/>
    <n v="0"/>
    <n v="32"/>
    <n v="21"/>
    <n v="52"/>
  </r>
  <r>
    <x v="317"/>
    <x v="2"/>
    <x v="650"/>
    <n v="1994"/>
    <n v="23"/>
    <x v="27"/>
    <s v="England"/>
    <n v="16800000"/>
    <n v="19800000"/>
    <x v="2"/>
    <n v="26"/>
    <n v="1942"/>
    <x v="8"/>
    <n v="720"/>
    <x v="0"/>
    <x v="5"/>
    <x v="0"/>
    <n v="5"/>
    <n v="2"/>
    <n v="31"/>
    <n v="16"/>
    <n v="0"/>
    <n v="30"/>
    <n v="0"/>
    <n v="0"/>
    <n v="2"/>
    <n v="3"/>
    <n v="0"/>
    <n v="15"/>
    <n v="92"/>
    <n v="145"/>
    <n v="6"/>
    <n v="27"/>
    <n v="22"/>
    <n v="0"/>
    <n v="36"/>
    <n v="0"/>
    <n v="1"/>
    <n v="53"/>
    <n v="21"/>
    <n v="47"/>
  </r>
  <r>
    <x v="317"/>
    <x v="1"/>
    <x v="651"/>
    <n v="1994"/>
    <n v="23"/>
    <x v="27"/>
    <s v="England"/>
    <n v="5500000"/>
    <n v="5500000"/>
    <x v="2"/>
    <n v="30"/>
    <n v="1714"/>
    <x v="7"/>
    <n v="747"/>
    <x v="6"/>
    <x v="6"/>
    <x v="0"/>
    <n v="10"/>
    <n v="10"/>
    <n v="28"/>
    <n v="14"/>
    <n v="1"/>
    <n v="14"/>
    <n v="0"/>
    <n v="0"/>
    <n v="1"/>
    <n v="0"/>
    <n v="0"/>
    <n v="14"/>
    <n v="93"/>
    <n v="159"/>
    <n v="1"/>
    <n v="8"/>
    <n v="18"/>
    <n v="0"/>
    <n v="23"/>
    <n v="0"/>
    <n v="0"/>
    <n v="18"/>
    <n v="21"/>
    <n v="50"/>
  </r>
  <r>
    <x v="318"/>
    <x v="0"/>
    <x v="652"/>
    <n v="1987"/>
    <n v="28"/>
    <x v="17"/>
    <s v="England"/>
    <n v="5000000"/>
    <n v="16200000"/>
    <x v="0"/>
    <n v="36"/>
    <n v="3139"/>
    <x v="12"/>
    <n v="625"/>
    <x v="1"/>
    <x v="2"/>
    <x v="0"/>
    <n v="0"/>
    <n v="7"/>
    <n v="115"/>
    <n v="53"/>
    <n v="6"/>
    <n v="6"/>
    <n v="2"/>
    <n v="5"/>
    <n v="0"/>
    <n v="26"/>
    <n v="3"/>
    <n v="22"/>
    <n v="2"/>
    <n v="49"/>
    <n v="3"/>
    <n v="18"/>
    <n v="42"/>
    <n v="0"/>
    <n v="35"/>
    <n v="0"/>
    <n v="0"/>
    <n v="7"/>
    <n v="92"/>
    <n v="198"/>
  </r>
  <r>
    <x v="318"/>
    <x v="3"/>
    <x v="653"/>
    <n v="1987"/>
    <n v="29"/>
    <x v="17"/>
    <s v="England"/>
    <n v="16200000"/>
    <n v="13500000"/>
    <x v="0"/>
    <n v="35"/>
    <n v="2808"/>
    <x v="11"/>
    <n v="529"/>
    <x v="8"/>
    <x v="4"/>
    <x v="0"/>
    <n v="2"/>
    <n v="8"/>
    <n v="53"/>
    <n v="26"/>
    <n v="0"/>
    <n v="4"/>
    <n v="0"/>
    <n v="0"/>
    <n v="0"/>
    <n v="25"/>
    <n v="0"/>
    <n v="6"/>
    <n v="1"/>
    <n v="47"/>
    <n v="0"/>
    <n v="8"/>
    <n v="26"/>
    <n v="0"/>
    <n v="15"/>
    <n v="0"/>
    <n v="0"/>
    <n v="9"/>
    <n v="90"/>
    <n v="121"/>
  </r>
  <r>
    <x v="318"/>
    <x v="1"/>
    <x v="654"/>
    <n v="1987"/>
    <n v="30"/>
    <x v="17"/>
    <s v="England"/>
    <n v="13500000"/>
    <n v="18000000"/>
    <x v="0"/>
    <n v="37"/>
    <n v="3255"/>
    <x v="18"/>
    <n v="463"/>
    <x v="3"/>
    <x v="6"/>
    <x v="0"/>
    <n v="0"/>
    <n v="11"/>
    <n v="71"/>
    <n v="35"/>
    <n v="0"/>
    <n v="12"/>
    <n v="3"/>
    <n v="5"/>
    <n v="0"/>
    <n v="44"/>
    <n v="1"/>
    <n v="36"/>
    <n v="1"/>
    <n v="39"/>
    <n v="1"/>
    <n v="2"/>
    <n v="29"/>
    <n v="0"/>
    <n v="15"/>
    <n v="0"/>
    <n v="0"/>
    <n v="17"/>
    <n v="76"/>
    <n v="124"/>
  </r>
  <r>
    <x v="318"/>
    <x v="2"/>
    <x v="655"/>
    <n v="1987"/>
    <n v="31"/>
    <x v="17"/>
    <s v="England"/>
    <n v="18000000"/>
    <n v="18000000"/>
    <x v="0"/>
    <n v="34"/>
    <n v="2728"/>
    <x v="17"/>
    <n v="416"/>
    <x v="2"/>
    <x v="6"/>
    <x v="1"/>
    <n v="4"/>
    <n v="12"/>
    <n v="79"/>
    <n v="40"/>
    <n v="3"/>
    <n v="21"/>
    <n v="3"/>
    <n v="4"/>
    <n v="0"/>
    <n v="37"/>
    <n v="3"/>
    <n v="39"/>
    <n v="0"/>
    <n v="28"/>
    <n v="1"/>
    <n v="6"/>
    <n v="19"/>
    <n v="0"/>
    <n v="14"/>
    <n v="0"/>
    <n v="0"/>
    <n v="27"/>
    <n v="67"/>
    <n v="109"/>
  </r>
  <r>
    <x v="319"/>
    <x v="2"/>
    <x v="656"/>
    <n v="1996"/>
    <n v="22"/>
    <x v="27"/>
    <s v="Poland"/>
    <n v="4500000"/>
    <n v="13500000"/>
    <x v="1"/>
    <n v="25"/>
    <n v="2150"/>
    <x v="0"/>
    <n v="822"/>
    <x v="3"/>
    <x v="1"/>
    <x v="0"/>
    <n v="1"/>
    <n v="1"/>
    <n v="5"/>
    <n v="1"/>
    <n v="0"/>
    <n v="76"/>
    <n v="0"/>
    <n v="0"/>
    <n v="0"/>
    <n v="0"/>
    <n v="3"/>
    <n v="4"/>
    <n v="0"/>
    <n v="1"/>
    <n v="27"/>
    <n v="71"/>
    <n v="22"/>
    <n v="1"/>
    <n v="41"/>
    <n v="0"/>
    <n v="0"/>
    <n v="168"/>
    <n v="80"/>
    <n v="61"/>
  </r>
  <r>
    <x v="320"/>
    <x v="0"/>
    <x v="657"/>
    <n v="1990"/>
    <n v="24"/>
    <x v="12"/>
    <s v="Germany"/>
    <n v="1800000"/>
    <n v="2700000"/>
    <x v="1"/>
    <n v="15"/>
    <n v="1083"/>
    <x v="0"/>
    <n v="553"/>
    <x v="0"/>
    <x v="0"/>
    <x v="0"/>
    <n v="1"/>
    <n v="10"/>
    <n v="8"/>
    <n v="0"/>
    <n v="0"/>
    <n v="27"/>
    <n v="0"/>
    <n v="0"/>
    <n v="0"/>
    <n v="0"/>
    <n v="0"/>
    <n v="0"/>
    <n v="0"/>
    <n v="5"/>
    <n v="3"/>
    <n v="35"/>
    <n v="20"/>
    <n v="0"/>
    <n v="51"/>
    <n v="0"/>
    <n v="0"/>
    <n v="49"/>
    <n v="35"/>
    <n v="42"/>
  </r>
  <r>
    <x v="321"/>
    <x v="3"/>
    <x v="658"/>
    <n v="1987"/>
    <n v="29"/>
    <x v="26"/>
    <s v="Belgium"/>
    <n v="20100000"/>
    <n v="25200000"/>
    <x v="1"/>
    <n v="33"/>
    <n v="2897"/>
    <x v="0"/>
    <n v="2051"/>
    <x v="0"/>
    <x v="2"/>
    <x v="0"/>
    <n v="0"/>
    <n v="3"/>
    <n v="14"/>
    <n v="4"/>
    <n v="2"/>
    <n v="128"/>
    <n v="0"/>
    <n v="0"/>
    <n v="0"/>
    <n v="0"/>
    <n v="1"/>
    <n v="0"/>
    <n v="0"/>
    <n v="9"/>
    <n v="21"/>
    <n v="42"/>
    <n v="21"/>
    <n v="0"/>
    <n v="43"/>
    <n v="2"/>
    <n v="0"/>
    <n v="230"/>
    <n v="106"/>
    <n v="34"/>
  </r>
  <r>
    <x v="321"/>
    <x v="2"/>
    <x v="659"/>
    <n v="1987"/>
    <n v="31"/>
    <x v="26"/>
    <s v="Belgium"/>
    <n v="28800000"/>
    <n v="25200000"/>
    <x v="1"/>
    <n v="22"/>
    <n v="1914"/>
    <x v="0"/>
    <n v="1531"/>
    <x v="0"/>
    <x v="6"/>
    <x v="1"/>
    <n v="0"/>
    <n v="3"/>
    <n v="15"/>
    <n v="2"/>
    <n v="0"/>
    <n v="36"/>
    <n v="1"/>
    <n v="0"/>
    <n v="0"/>
    <n v="1"/>
    <n v="0"/>
    <n v="13"/>
    <n v="0"/>
    <n v="28"/>
    <n v="11"/>
    <n v="32"/>
    <n v="10"/>
    <n v="0"/>
    <n v="38"/>
    <n v="0"/>
    <n v="0"/>
    <n v="72"/>
    <n v="51"/>
    <n v="27"/>
  </r>
  <r>
    <x v="321"/>
    <x v="1"/>
    <x v="660"/>
    <n v="1987"/>
    <n v="30"/>
    <x v="26"/>
    <s v="Belgium"/>
    <n v="25200000"/>
    <n v="28800000"/>
    <x v="1"/>
    <n v="36"/>
    <n v="3205"/>
    <x v="0"/>
    <n v="2488"/>
    <x v="0"/>
    <x v="5"/>
    <x v="0"/>
    <n v="0"/>
    <n v="2"/>
    <n v="24"/>
    <n v="4"/>
    <n v="1"/>
    <n v="85"/>
    <n v="0"/>
    <n v="0"/>
    <n v="0"/>
    <n v="0"/>
    <n v="2"/>
    <n v="20"/>
    <n v="0"/>
    <n v="15"/>
    <n v="11"/>
    <n v="60"/>
    <n v="20"/>
    <n v="0"/>
    <n v="64"/>
    <n v="0"/>
    <n v="0"/>
    <n v="170"/>
    <n v="118"/>
    <n v="66"/>
  </r>
  <r>
    <x v="321"/>
    <x v="0"/>
    <x v="661"/>
    <n v="1987"/>
    <n v="28"/>
    <x v="26"/>
    <s v="Belgium"/>
    <n v="17100000"/>
    <n v="20100000"/>
    <x v="1"/>
    <n v="29"/>
    <n v="2595"/>
    <x v="0"/>
    <n v="1474"/>
    <x v="0"/>
    <x v="2"/>
    <x v="0"/>
    <n v="0"/>
    <n v="1"/>
    <n v="11"/>
    <n v="2"/>
    <n v="0"/>
    <n v="107"/>
    <n v="0"/>
    <n v="0"/>
    <n v="0"/>
    <n v="0"/>
    <n v="0"/>
    <n v="0"/>
    <n v="0"/>
    <n v="2"/>
    <n v="18"/>
    <n v="63"/>
    <n v="17"/>
    <n v="0"/>
    <n v="48"/>
    <n v="0"/>
    <n v="0"/>
    <n v="174"/>
    <n v="54"/>
    <n v="36"/>
  </r>
  <r>
    <x v="322"/>
    <x v="2"/>
    <x v="662"/>
    <n v="1992"/>
    <n v="25"/>
    <x v="27"/>
    <s v="Denmark"/>
    <n v="12600000"/>
    <n v="18000000"/>
    <x v="1"/>
    <n v="23"/>
    <n v="2030"/>
    <x v="0"/>
    <n v="845"/>
    <x v="0"/>
    <x v="4"/>
    <x v="0"/>
    <n v="0"/>
    <n v="3"/>
    <n v="14"/>
    <n v="0"/>
    <n v="0"/>
    <n v="103"/>
    <n v="0"/>
    <n v="0"/>
    <n v="0"/>
    <n v="1"/>
    <n v="3"/>
    <n v="14"/>
    <n v="0"/>
    <n v="0"/>
    <n v="20"/>
    <n v="35"/>
    <n v="17"/>
    <n v="0"/>
    <n v="53"/>
    <n v="0"/>
    <n v="0"/>
    <n v="171"/>
    <n v="84"/>
    <n v="53"/>
  </r>
  <r>
    <x v="323"/>
    <x v="3"/>
    <x v="663"/>
    <n v="1995"/>
    <n v="21"/>
    <x v="12"/>
    <s v="Belgium"/>
    <n v="3300000"/>
    <n v="6600000"/>
    <x v="1"/>
    <n v="24"/>
    <n v="1878"/>
    <x v="0"/>
    <n v="586"/>
    <x v="0"/>
    <x v="4"/>
    <x v="0"/>
    <n v="2"/>
    <n v="5"/>
    <n v="6"/>
    <n v="2"/>
    <n v="0"/>
    <n v="44"/>
    <n v="0"/>
    <n v="0"/>
    <n v="0"/>
    <n v="0"/>
    <n v="0"/>
    <n v="0"/>
    <n v="0"/>
    <n v="10"/>
    <n v="19"/>
    <n v="34"/>
    <n v="17"/>
    <n v="0"/>
    <n v="35"/>
    <n v="0"/>
    <n v="1"/>
    <n v="80"/>
    <n v="27"/>
    <n v="35"/>
  </r>
  <r>
    <x v="324"/>
    <x v="0"/>
    <x v="664"/>
    <n v="1986"/>
    <n v="29"/>
    <x v="8"/>
    <s v="England"/>
    <n v="5500000"/>
    <n v="6050000"/>
    <x v="2"/>
    <n v="31"/>
    <n v="2624"/>
    <x v="5"/>
    <n v="1240"/>
    <x v="6"/>
    <x v="6"/>
    <x v="0"/>
    <n v="0"/>
    <n v="10"/>
    <n v="54"/>
    <n v="14"/>
    <n v="0"/>
    <n v="5"/>
    <n v="0"/>
    <n v="0"/>
    <n v="0"/>
    <n v="5"/>
    <n v="5"/>
    <n v="4"/>
    <n v="74"/>
    <n v="151"/>
    <n v="3"/>
    <n v="28"/>
    <n v="34"/>
    <n v="0"/>
    <n v="54"/>
    <n v="0"/>
    <n v="0"/>
    <n v="14"/>
    <n v="13"/>
    <n v="16"/>
  </r>
  <r>
    <x v="324"/>
    <x v="3"/>
    <x v="665"/>
    <n v="1986"/>
    <n v="30"/>
    <x v="8"/>
    <s v="England"/>
    <n v="5500000"/>
    <n v="3300000"/>
    <x v="2"/>
    <n v="36"/>
    <n v="3094"/>
    <x v="0"/>
    <n v="1468"/>
    <x v="8"/>
    <x v="10"/>
    <x v="0"/>
    <n v="0"/>
    <n v="6"/>
    <n v="45"/>
    <n v="11"/>
    <n v="0"/>
    <n v="17"/>
    <n v="0"/>
    <n v="0"/>
    <n v="0"/>
    <n v="1"/>
    <n v="2"/>
    <n v="0"/>
    <n v="94"/>
    <n v="147"/>
    <n v="6"/>
    <n v="37"/>
    <n v="62"/>
    <n v="0"/>
    <n v="74"/>
    <n v="2"/>
    <n v="0"/>
    <n v="36"/>
    <n v="26"/>
    <n v="14"/>
  </r>
  <r>
    <x v="324"/>
    <x v="2"/>
    <x v="666"/>
    <n v="1986"/>
    <n v="32"/>
    <x v="6"/>
    <s v="England"/>
    <n v="6050000"/>
    <n v="5500000"/>
    <x v="2"/>
    <n v="11"/>
    <n v="394"/>
    <x v="0"/>
    <n v="212"/>
    <x v="0"/>
    <x v="3"/>
    <x v="0"/>
    <n v="6"/>
    <n v="2"/>
    <n v="6"/>
    <n v="0"/>
    <n v="0"/>
    <n v="2"/>
    <n v="0"/>
    <n v="0"/>
    <n v="0"/>
    <n v="1"/>
    <n v="1"/>
    <n v="6"/>
    <n v="5"/>
    <n v="9"/>
    <n v="1"/>
    <n v="4"/>
    <n v="12"/>
    <n v="0"/>
    <n v="8"/>
    <n v="0"/>
    <n v="0"/>
    <n v="8"/>
    <n v="6"/>
    <n v="6"/>
  </r>
  <r>
    <x v="324"/>
    <x v="1"/>
    <x v="667"/>
    <n v="1986"/>
    <n v="31"/>
    <x v="8"/>
    <s v="England"/>
    <n v="225000"/>
    <n v="450000"/>
    <x v="2"/>
    <n v="10"/>
    <n v="569"/>
    <x v="0"/>
    <n v="238"/>
    <x v="0"/>
    <x v="2"/>
    <x v="0"/>
    <n v="4"/>
    <n v="3"/>
    <n v="10"/>
    <n v="2"/>
    <n v="0"/>
    <n v="1"/>
    <n v="0"/>
    <n v="0"/>
    <n v="0"/>
    <n v="0"/>
    <n v="0"/>
    <n v="8"/>
    <n v="15"/>
    <n v="20"/>
    <n v="0"/>
    <n v="5"/>
    <n v="14"/>
    <n v="0"/>
    <n v="13"/>
    <n v="0"/>
    <n v="0"/>
    <n v="4"/>
    <n v="4"/>
    <n v="8"/>
  </r>
  <r>
    <x v="325"/>
    <x v="3"/>
    <x v="668"/>
    <n v="1994"/>
    <n v="22"/>
    <x v="12"/>
    <s v="Spain"/>
    <n v="5000000"/>
    <n v="4000000"/>
    <x v="1"/>
    <n v="20"/>
    <n v="1428"/>
    <x v="0"/>
    <n v="425"/>
    <x v="0"/>
    <x v="4"/>
    <x v="0"/>
    <n v="5"/>
    <n v="2"/>
    <n v="3"/>
    <n v="1"/>
    <n v="0"/>
    <n v="21"/>
    <n v="0"/>
    <n v="0"/>
    <n v="0"/>
    <n v="5"/>
    <n v="0"/>
    <n v="0"/>
    <n v="0"/>
    <n v="34"/>
    <n v="5"/>
    <n v="24"/>
    <n v="14"/>
    <n v="0"/>
    <n v="30"/>
    <n v="0"/>
    <n v="0"/>
    <n v="49"/>
    <n v="17"/>
    <n v="14"/>
  </r>
  <r>
    <x v="325"/>
    <x v="1"/>
    <x v="669"/>
    <n v="1994"/>
    <n v="23"/>
    <x v="20"/>
    <s v="Spain"/>
    <n v="4000000"/>
    <n v="5000000"/>
    <x v="1"/>
    <n v="21"/>
    <n v="1759"/>
    <x v="0"/>
    <n v="540"/>
    <x v="3"/>
    <x v="4"/>
    <x v="0"/>
    <n v="1"/>
    <n v="2"/>
    <n v="0"/>
    <n v="0"/>
    <n v="0"/>
    <n v="23"/>
    <n v="0"/>
    <n v="0"/>
    <n v="0"/>
    <n v="2"/>
    <n v="0"/>
    <n v="0"/>
    <n v="0"/>
    <n v="30"/>
    <n v="6"/>
    <n v="18"/>
    <n v="24"/>
    <n v="0"/>
    <n v="36"/>
    <n v="0"/>
    <n v="0"/>
    <n v="49"/>
    <n v="22"/>
    <n v="19"/>
  </r>
  <r>
    <x v="325"/>
    <x v="2"/>
    <x v="670"/>
    <n v="1994"/>
    <n v="24"/>
    <x v="20"/>
    <s v="Spain"/>
    <n v="5000000"/>
    <n v="5000000"/>
    <x v="1"/>
    <n v="18"/>
    <n v="1099"/>
    <x v="0"/>
    <n v="352"/>
    <x v="6"/>
    <x v="4"/>
    <x v="0"/>
    <n v="6"/>
    <n v="2"/>
    <n v="2"/>
    <n v="1"/>
    <n v="0"/>
    <n v="18"/>
    <n v="0"/>
    <n v="0"/>
    <n v="0"/>
    <n v="1"/>
    <n v="1"/>
    <n v="1"/>
    <n v="0"/>
    <n v="28"/>
    <n v="1"/>
    <n v="17"/>
    <n v="13"/>
    <n v="0"/>
    <n v="27"/>
    <n v="0"/>
    <n v="0"/>
    <n v="48"/>
    <n v="19"/>
    <n v="20"/>
  </r>
  <r>
    <x v="326"/>
    <x v="3"/>
    <x v="671"/>
    <n v="1994"/>
    <n v="22"/>
    <x v="0"/>
    <s v="Scotland"/>
    <n v="33000000"/>
    <n v="27500000"/>
    <x v="2"/>
    <n v="11"/>
    <n v="692"/>
    <x v="0"/>
    <n v="323"/>
    <x v="0"/>
    <x v="4"/>
    <x v="0"/>
    <n v="2"/>
    <n v="5"/>
    <n v="3"/>
    <n v="0"/>
    <n v="0"/>
    <n v="6"/>
    <n v="0"/>
    <n v="0"/>
    <n v="0"/>
    <n v="0"/>
    <n v="1"/>
    <n v="0"/>
    <n v="0"/>
    <n v="5"/>
    <n v="4"/>
    <n v="7"/>
    <n v="11"/>
    <n v="0"/>
    <n v="31"/>
    <n v="0"/>
    <n v="0"/>
    <n v="15"/>
    <n v="16"/>
    <n v="22"/>
  </r>
  <r>
    <x v="327"/>
    <x v="0"/>
    <x v="672"/>
    <n v="1989"/>
    <n v="26"/>
    <x v="27"/>
    <s v="England"/>
    <n v="10000000"/>
    <n v="11600000"/>
    <x v="0"/>
    <n v="12"/>
    <n v="346"/>
    <x v="0"/>
    <n v="94"/>
    <x v="0"/>
    <x v="3"/>
    <x v="0"/>
    <n v="9"/>
    <n v="3"/>
    <n v="17"/>
    <n v="6"/>
    <n v="0"/>
    <n v="2"/>
    <n v="0"/>
    <n v="0"/>
    <n v="0"/>
    <n v="3"/>
    <n v="2"/>
    <n v="2"/>
    <n v="0"/>
    <n v="4"/>
    <n v="1"/>
    <n v="2"/>
    <n v="4"/>
    <n v="0"/>
    <n v="5"/>
    <n v="0"/>
    <n v="0"/>
    <n v="2"/>
    <n v="7"/>
    <n v="8"/>
  </r>
  <r>
    <x v="327"/>
    <x v="3"/>
    <x v="673"/>
    <n v="1989"/>
    <n v="27"/>
    <x v="27"/>
    <s v="England"/>
    <n v="11600000"/>
    <n v="9000000"/>
    <x v="0"/>
    <n v="24"/>
    <n v="881"/>
    <x v="2"/>
    <n v="234"/>
    <x v="5"/>
    <x v="0"/>
    <x v="0"/>
    <n v="15"/>
    <n v="6"/>
    <n v="33"/>
    <n v="15"/>
    <n v="0"/>
    <n v="13"/>
    <n v="0"/>
    <n v="0"/>
    <n v="0"/>
    <n v="9"/>
    <n v="3"/>
    <n v="4"/>
    <n v="0"/>
    <n v="8"/>
    <n v="1"/>
    <n v="2"/>
    <n v="15"/>
    <n v="0"/>
    <n v="6"/>
    <n v="0"/>
    <n v="0"/>
    <n v="15"/>
    <n v="40"/>
    <n v="43"/>
  </r>
  <r>
    <x v="327"/>
    <x v="1"/>
    <x v="674"/>
    <n v="1989"/>
    <n v="28"/>
    <x v="18"/>
    <s v="England"/>
    <n v="9000000"/>
    <n v="10800000"/>
    <x v="0"/>
    <n v="37"/>
    <n v="2823"/>
    <x v="8"/>
    <n v="704"/>
    <x v="3"/>
    <x v="4"/>
    <x v="0"/>
    <n v="6"/>
    <n v="18"/>
    <n v="69"/>
    <n v="25"/>
    <n v="2"/>
    <n v="30"/>
    <n v="2"/>
    <n v="1"/>
    <n v="0"/>
    <n v="18"/>
    <n v="4"/>
    <n v="44"/>
    <n v="3"/>
    <n v="30"/>
    <n v="2"/>
    <n v="19"/>
    <n v="43"/>
    <n v="0"/>
    <n v="31"/>
    <n v="0"/>
    <n v="0"/>
    <n v="37"/>
    <n v="76"/>
    <n v="84"/>
  </r>
  <r>
    <x v="328"/>
    <x v="2"/>
    <x v="675"/>
    <n v="1991"/>
    <n v="27"/>
    <x v="11"/>
    <s v="Cote D'Ivoire"/>
    <n v="1350000"/>
    <n v="5400000"/>
    <x v="2"/>
    <n v="32"/>
    <n v="2250"/>
    <x v="0"/>
    <n v="1592"/>
    <x v="5"/>
    <x v="8"/>
    <x v="0"/>
    <n v="5"/>
    <n v="13"/>
    <n v="19"/>
    <n v="6"/>
    <n v="1"/>
    <n v="6"/>
    <n v="0"/>
    <n v="0"/>
    <n v="0"/>
    <n v="1"/>
    <n v="2"/>
    <n v="13"/>
    <n v="93"/>
    <n v="108"/>
    <n v="9"/>
    <n v="32"/>
    <n v="32"/>
    <n v="0"/>
    <n v="41"/>
    <n v="2"/>
    <n v="0"/>
    <n v="14"/>
    <n v="14"/>
    <n v="20"/>
  </r>
  <r>
    <x v="329"/>
    <x v="3"/>
    <x v="676"/>
    <n v="1992"/>
    <n v="24"/>
    <x v="5"/>
    <s v="Ireland"/>
    <n v="5400000"/>
    <n v="9000000"/>
    <x v="2"/>
    <n v="32"/>
    <n v="2695"/>
    <x v="5"/>
    <n v="1006"/>
    <x v="3"/>
    <x v="8"/>
    <x v="1"/>
    <n v="1"/>
    <n v="4"/>
    <n v="31"/>
    <n v="6"/>
    <n v="0"/>
    <n v="17"/>
    <n v="1"/>
    <n v="0"/>
    <n v="0"/>
    <n v="4"/>
    <n v="0"/>
    <n v="1"/>
    <n v="0"/>
    <n v="17"/>
    <n v="11"/>
    <n v="39"/>
    <n v="43"/>
    <n v="0"/>
    <n v="33"/>
    <n v="0"/>
    <n v="0"/>
    <n v="33"/>
    <n v="35"/>
    <n v="42"/>
  </r>
  <r>
    <x v="329"/>
    <x v="1"/>
    <x v="677"/>
    <n v="1992"/>
    <n v="25"/>
    <x v="5"/>
    <s v="Ireland"/>
    <n v="9000000"/>
    <n v="9000000"/>
    <x v="2"/>
    <n v="34"/>
    <n v="2340"/>
    <x v="5"/>
    <n v="802"/>
    <x v="5"/>
    <x v="3"/>
    <x v="0"/>
    <n v="5"/>
    <n v="16"/>
    <n v="25"/>
    <n v="6"/>
    <n v="0"/>
    <n v="8"/>
    <n v="0"/>
    <n v="0"/>
    <n v="0"/>
    <n v="16"/>
    <n v="5"/>
    <n v="19"/>
    <n v="0"/>
    <n v="23"/>
    <n v="2"/>
    <n v="8"/>
    <n v="19"/>
    <n v="0"/>
    <n v="16"/>
    <n v="0"/>
    <n v="0"/>
    <n v="20"/>
    <n v="15"/>
    <n v="58"/>
  </r>
  <r>
    <x v="329"/>
    <x v="2"/>
    <x v="678"/>
    <n v="1992"/>
    <n v="26"/>
    <x v="5"/>
    <s v="Ireland"/>
    <n v="2200000"/>
    <n v="27500000"/>
    <x v="2"/>
    <n v="32"/>
    <n v="2070"/>
    <x v="7"/>
    <n v="659"/>
    <x v="0"/>
    <x v="5"/>
    <x v="0"/>
    <n v="7"/>
    <n v="13"/>
    <n v="19"/>
    <n v="6"/>
    <n v="0"/>
    <n v="13"/>
    <n v="0"/>
    <n v="0"/>
    <n v="0"/>
    <n v="9"/>
    <n v="4"/>
    <n v="13"/>
    <n v="2"/>
    <n v="24"/>
    <n v="5"/>
    <n v="12"/>
    <n v="17"/>
    <n v="0"/>
    <n v="24"/>
    <n v="0"/>
    <n v="0"/>
    <n v="25"/>
    <n v="17"/>
    <n v="28"/>
  </r>
  <r>
    <x v="330"/>
    <x v="2"/>
    <x v="679"/>
    <n v="1994"/>
    <n v="23"/>
    <x v="14"/>
    <s v="Colombia"/>
    <n v="1100000"/>
    <n v="6600000"/>
    <x v="2"/>
    <n v="30"/>
    <n v="2510"/>
    <x v="5"/>
    <n v="1561"/>
    <x v="0"/>
    <x v="11"/>
    <x v="0"/>
    <n v="1"/>
    <n v="6"/>
    <n v="31"/>
    <n v="8"/>
    <n v="1"/>
    <n v="57"/>
    <n v="1"/>
    <n v="0"/>
    <n v="0"/>
    <n v="3"/>
    <n v="3"/>
    <n v="23"/>
    <n v="0"/>
    <n v="4"/>
    <n v="19"/>
    <n v="54"/>
    <n v="43"/>
    <n v="0"/>
    <n v="45"/>
    <n v="0"/>
    <n v="1"/>
    <n v="84"/>
    <n v="76"/>
    <n v="72"/>
  </r>
  <r>
    <x v="331"/>
    <x v="0"/>
    <x v="680"/>
    <n v="1989"/>
    <n v="25"/>
    <x v="0"/>
    <s v="Ecuador"/>
    <n v="6050000"/>
    <n v="5000000"/>
    <x v="0"/>
    <n v="15"/>
    <n v="1357"/>
    <x v="0"/>
    <n v="365"/>
    <x v="5"/>
    <x v="0"/>
    <x v="0"/>
    <n v="9"/>
    <n v="9"/>
    <n v="20"/>
    <n v="6"/>
    <n v="1"/>
    <n v="0"/>
    <n v="0"/>
    <n v="0"/>
    <n v="0"/>
    <n v="4"/>
    <n v="0"/>
    <n v="2"/>
    <n v="2"/>
    <n v="111"/>
    <n v="0"/>
    <n v="9"/>
    <n v="11"/>
    <n v="0"/>
    <n v="21"/>
    <n v="0"/>
    <n v="0"/>
    <n v="2"/>
    <n v="11"/>
    <n v="13"/>
  </r>
  <r>
    <x v="331"/>
    <x v="3"/>
    <x v="681"/>
    <n v="1989"/>
    <n v="26"/>
    <x v="0"/>
    <s v="Ecuador"/>
    <n v="5000000"/>
    <n v="4000000"/>
    <x v="0"/>
    <n v="13"/>
    <n v="375"/>
    <x v="0"/>
    <n v="94"/>
    <x v="3"/>
    <x v="0"/>
    <x v="0"/>
    <n v="11"/>
    <n v="4"/>
    <n v="4"/>
    <n v="1"/>
    <n v="0"/>
    <n v="2"/>
    <n v="0"/>
    <n v="0"/>
    <n v="0"/>
    <n v="2"/>
    <n v="0"/>
    <n v="0"/>
    <n v="6"/>
    <n v="38"/>
    <n v="0"/>
    <n v="0"/>
    <n v="1"/>
    <n v="0"/>
    <n v="7"/>
    <n v="0"/>
    <n v="0"/>
    <n v="2"/>
    <n v="0"/>
    <n v="3"/>
  </r>
  <r>
    <x v="332"/>
    <x v="3"/>
    <x v="682"/>
    <n v="1992"/>
    <n v="23"/>
    <x v="8"/>
    <s v="Ghana"/>
    <n v="7200000"/>
    <n v="7200000"/>
    <x v="1"/>
    <n v="19"/>
    <n v="1136"/>
    <x v="0"/>
    <n v="349"/>
    <x v="0"/>
    <x v="0"/>
    <x v="0"/>
    <n v="7"/>
    <n v="4"/>
    <n v="3"/>
    <n v="0"/>
    <n v="0"/>
    <n v="26"/>
    <n v="0"/>
    <n v="0"/>
    <n v="0"/>
    <n v="0"/>
    <n v="0"/>
    <n v="0"/>
    <n v="1"/>
    <n v="15"/>
    <n v="4"/>
    <n v="26"/>
    <n v="4"/>
    <n v="0"/>
    <n v="35"/>
    <n v="0"/>
    <n v="0"/>
    <n v="49"/>
    <n v="23"/>
    <n v="18"/>
  </r>
  <r>
    <x v="332"/>
    <x v="0"/>
    <x v="683"/>
    <n v="1992"/>
    <n v="22"/>
    <x v="17"/>
    <s v="Ghana"/>
    <n v="5400000"/>
    <n v="7200000"/>
    <x v="1"/>
    <n v="15"/>
    <n v="1383"/>
    <x v="4"/>
    <n v="461"/>
    <x v="5"/>
    <x v="5"/>
    <x v="0"/>
    <n v="10"/>
    <n v="5"/>
    <n v="26"/>
    <n v="6"/>
    <n v="0"/>
    <n v="13"/>
    <n v="0"/>
    <n v="0"/>
    <n v="0"/>
    <n v="0"/>
    <n v="0"/>
    <n v="0"/>
    <n v="0"/>
    <n v="45"/>
    <n v="1"/>
    <n v="31"/>
    <n v="15"/>
    <n v="0"/>
    <n v="46"/>
    <n v="0"/>
    <n v="0"/>
    <n v="21"/>
    <n v="26"/>
    <n v="28"/>
  </r>
  <r>
    <x v="332"/>
    <x v="2"/>
    <x v="684"/>
    <n v="1992"/>
    <n v="25"/>
    <x v="8"/>
    <s v="Ghana"/>
    <n v="8100000"/>
    <n v="9000000"/>
    <x v="1"/>
    <n v="30"/>
    <n v="1665"/>
    <x v="6"/>
    <n v="630"/>
    <x v="3"/>
    <x v="0"/>
    <x v="0"/>
    <n v="12"/>
    <n v="7"/>
    <n v="28"/>
    <n v="8"/>
    <n v="0"/>
    <n v="13"/>
    <n v="0"/>
    <n v="0"/>
    <n v="0"/>
    <n v="1"/>
    <n v="3"/>
    <n v="20"/>
    <n v="0"/>
    <n v="17"/>
    <n v="8"/>
    <n v="19"/>
    <n v="25"/>
    <n v="0"/>
    <n v="41"/>
    <n v="0"/>
    <n v="0"/>
    <n v="21"/>
    <n v="54"/>
    <n v="61"/>
  </r>
  <r>
    <x v="332"/>
    <x v="1"/>
    <x v="685"/>
    <n v="1992"/>
    <n v="25"/>
    <x v="8"/>
    <s v="Ghana"/>
    <n v="7200000"/>
    <n v="8100000"/>
    <x v="1"/>
    <n v="24"/>
    <n v="1748"/>
    <x v="0"/>
    <n v="654"/>
    <x v="3"/>
    <x v="6"/>
    <x v="0"/>
    <n v="3"/>
    <n v="6"/>
    <n v="15"/>
    <n v="2"/>
    <n v="0"/>
    <n v="29"/>
    <n v="0"/>
    <n v="0"/>
    <n v="0"/>
    <n v="0"/>
    <n v="0"/>
    <n v="13"/>
    <n v="0"/>
    <n v="31"/>
    <n v="8"/>
    <n v="24"/>
    <n v="18"/>
    <n v="0"/>
    <n v="57"/>
    <n v="0"/>
    <n v="0"/>
    <n v="54"/>
    <n v="39"/>
    <n v="51"/>
  </r>
  <r>
    <x v="333"/>
    <x v="0"/>
    <x v="686"/>
    <n v="1987"/>
    <n v="27"/>
    <x v="12"/>
    <s v="Netherlands"/>
    <n v="12000000"/>
    <n v="9900000"/>
    <x v="0"/>
    <n v="20"/>
    <n v="1293"/>
    <x v="7"/>
    <n v="385"/>
    <x v="6"/>
    <x v="6"/>
    <x v="1"/>
    <n v="6"/>
    <n v="7"/>
    <n v="26"/>
    <n v="7"/>
    <n v="1"/>
    <n v="2"/>
    <n v="0"/>
    <n v="0"/>
    <n v="0"/>
    <n v="4"/>
    <n v="6"/>
    <n v="0"/>
    <n v="18"/>
    <n v="80"/>
    <n v="0"/>
    <n v="3"/>
    <n v="27"/>
    <n v="0"/>
    <n v="36"/>
    <n v="0"/>
    <n v="0"/>
    <n v="10"/>
    <n v="21"/>
    <n v="19"/>
  </r>
  <r>
    <x v="334"/>
    <x v="1"/>
    <x v="687"/>
    <n v="1982"/>
    <n v="34"/>
    <x v="14"/>
    <s v="England"/>
    <n v="4500000"/>
    <n v="2250000"/>
    <x v="0"/>
    <n v="24"/>
    <n v="1083"/>
    <x v="6"/>
    <n v="131"/>
    <x v="3"/>
    <x v="3"/>
    <x v="0"/>
    <n v="13"/>
    <n v="9"/>
    <n v="27"/>
    <n v="15"/>
    <n v="3"/>
    <n v="0"/>
    <n v="0"/>
    <n v="0"/>
    <n v="0"/>
    <n v="9"/>
    <n v="1"/>
    <n v="12"/>
    <n v="0"/>
    <n v="5"/>
    <n v="0"/>
    <n v="4"/>
    <n v="12"/>
    <n v="0"/>
    <n v="12"/>
    <n v="0"/>
    <n v="0"/>
    <n v="0"/>
    <n v="2"/>
    <n v="18"/>
  </r>
  <r>
    <x v="334"/>
    <x v="0"/>
    <x v="688"/>
    <n v="1982"/>
    <n v="32"/>
    <x v="12"/>
    <s v="England"/>
    <n v="5850000"/>
    <n v="5850000"/>
    <x v="0"/>
    <n v="33"/>
    <n v="2550"/>
    <x v="16"/>
    <n v="425"/>
    <x v="0"/>
    <x v="6"/>
    <x v="0"/>
    <n v="5"/>
    <n v="5"/>
    <n v="85"/>
    <n v="39"/>
    <n v="1"/>
    <n v="0"/>
    <n v="0"/>
    <n v="1"/>
    <n v="0"/>
    <n v="43"/>
    <n v="4"/>
    <n v="7"/>
    <n v="0"/>
    <n v="13"/>
    <n v="0"/>
    <n v="2"/>
    <n v="17"/>
    <n v="0"/>
    <n v="17"/>
    <n v="0"/>
    <n v="0"/>
    <n v="2"/>
    <n v="8"/>
    <n v="34"/>
  </r>
  <r>
    <x v="334"/>
    <x v="3"/>
    <x v="689"/>
    <n v="1982"/>
    <n v="33"/>
    <x v="12"/>
    <s v="England"/>
    <n v="5850000"/>
    <n v="4500000"/>
    <x v="0"/>
    <n v="37"/>
    <n v="3322"/>
    <x v="16"/>
    <n v="456"/>
    <x v="5"/>
    <x v="3"/>
    <x v="0"/>
    <n v="0"/>
    <n v="2"/>
    <n v="99"/>
    <n v="31"/>
    <n v="2"/>
    <n v="0"/>
    <n v="0"/>
    <n v="5"/>
    <n v="0"/>
    <n v="36"/>
    <n v="1"/>
    <n v="7"/>
    <n v="0"/>
    <n v="19"/>
    <n v="2"/>
    <n v="3"/>
    <n v="24"/>
    <n v="0"/>
    <n v="20"/>
    <n v="0"/>
    <n v="0"/>
    <n v="2"/>
    <n v="2"/>
    <n v="21"/>
  </r>
  <r>
    <x v="335"/>
    <x v="1"/>
    <x v="690"/>
    <n v="1993"/>
    <n v="24"/>
    <x v="25"/>
    <s v="Spain"/>
    <n v="6750000"/>
    <n v="6750000"/>
    <x v="0"/>
    <n v="13"/>
    <n v="616"/>
    <x v="4"/>
    <n v="146"/>
    <x v="3"/>
    <x v="0"/>
    <x v="0"/>
    <n v="5"/>
    <n v="8"/>
    <n v="13"/>
    <n v="5"/>
    <n v="0"/>
    <n v="2"/>
    <n v="0"/>
    <n v="0"/>
    <n v="0"/>
    <n v="0"/>
    <n v="0"/>
    <n v="8"/>
    <n v="3"/>
    <n v="13"/>
    <n v="0"/>
    <n v="0"/>
    <n v="5"/>
    <n v="0"/>
    <n v="10"/>
    <n v="0"/>
    <n v="0"/>
    <n v="3"/>
    <n v="0"/>
    <n v="9"/>
  </r>
  <r>
    <x v="336"/>
    <x v="0"/>
    <x v="691"/>
    <n v="1985"/>
    <n v="30"/>
    <x v="19"/>
    <s v="Spain"/>
    <n v="18000000"/>
    <n v="18000000"/>
    <x v="0"/>
    <n v="34"/>
    <n v="2279"/>
    <x v="0"/>
    <n v="1268"/>
    <x v="4"/>
    <x v="3"/>
    <x v="0"/>
    <n v="10"/>
    <n v="8"/>
    <n v="31"/>
    <n v="8"/>
    <n v="0"/>
    <n v="3"/>
    <n v="0"/>
    <n v="0"/>
    <n v="0"/>
    <n v="4"/>
    <n v="7"/>
    <n v="4"/>
    <n v="53"/>
    <n v="176"/>
    <n v="0"/>
    <n v="21"/>
    <n v="18"/>
    <n v="0"/>
    <n v="29"/>
    <n v="0"/>
    <n v="0"/>
    <n v="11"/>
    <n v="9"/>
    <n v="33"/>
  </r>
  <r>
    <x v="336"/>
    <x v="3"/>
    <x v="692"/>
    <n v="1985"/>
    <n v="30"/>
    <x v="19"/>
    <s v="Spain"/>
    <n v="27000000"/>
    <n v="22500000"/>
    <x v="2"/>
    <n v="24"/>
    <n v="1058"/>
    <x v="0"/>
    <n v="582"/>
    <x v="0"/>
    <x v="4"/>
    <x v="0"/>
    <n v="12"/>
    <n v="6"/>
    <n v="8"/>
    <n v="2"/>
    <n v="1"/>
    <n v="1"/>
    <n v="0"/>
    <n v="0"/>
    <n v="0"/>
    <n v="3"/>
    <n v="2"/>
    <n v="0"/>
    <n v="8"/>
    <n v="92"/>
    <n v="1"/>
    <n v="22"/>
    <n v="6"/>
    <n v="0"/>
    <n v="19"/>
    <n v="0"/>
    <n v="0"/>
    <n v="13"/>
    <n v="9"/>
    <n v="16"/>
  </r>
  <r>
    <x v="337"/>
    <x v="0"/>
    <x v="693"/>
    <n v="1992"/>
    <n v="22"/>
    <x v="22"/>
    <s v="England"/>
    <n v="6600000"/>
    <n v="13200000"/>
    <x v="2"/>
    <n v="25"/>
    <n v="1635"/>
    <x v="6"/>
    <n v="712"/>
    <x v="3"/>
    <x v="5"/>
    <x v="0"/>
    <n v="6"/>
    <n v="8"/>
    <n v="31"/>
    <n v="13"/>
    <n v="1"/>
    <n v="1"/>
    <n v="1"/>
    <n v="0"/>
    <n v="0"/>
    <n v="5"/>
    <n v="4"/>
    <n v="3"/>
    <n v="3"/>
    <n v="22"/>
    <n v="1"/>
    <n v="15"/>
    <n v="24"/>
    <n v="0"/>
    <n v="38"/>
    <n v="0"/>
    <n v="0"/>
    <n v="11"/>
    <n v="2"/>
    <n v="20"/>
  </r>
  <r>
    <x v="337"/>
    <x v="3"/>
    <x v="694"/>
    <n v="1992"/>
    <n v="23"/>
    <x v="22"/>
    <s v="England"/>
    <n v="38500000"/>
    <n v="44000000"/>
    <x v="2"/>
    <n v="25"/>
    <n v="1366"/>
    <x v="0"/>
    <n v="727"/>
    <x v="5"/>
    <x v="6"/>
    <x v="0"/>
    <n v="7"/>
    <n v="15"/>
    <n v="37"/>
    <n v="13"/>
    <n v="2"/>
    <n v="2"/>
    <n v="0"/>
    <n v="0"/>
    <n v="0"/>
    <n v="4"/>
    <n v="11"/>
    <n v="4"/>
    <n v="1"/>
    <n v="25"/>
    <n v="1"/>
    <n v="14"/>
    <n v="26"/>
    <n v="0"/>
    <n v="17"/>
    <n v="0"/>
    <n v="0"/>
    <n v="8"/>
    <n v="5"/>
    <n v="15"/>
  </r>
  <r>
    <x v="337"/>
    <x v="2"/>
    <x v="695"/>
    <n v="1992"/>
    <n v="25"/>
    <x v="22"/>
    <s v="England"/>
    <n v="13200000"/>
    <n v="38500000"/>
    <x v="2"/>
    <n v="27"/>
    <n v="1669"/>
    <x v="6"/>
    <n v="761"/>
    <x v="5"/>
    <x v="6"/>
    <x v="0"/>
    <n v="8"/>
    <n v="13"/>
    <n v="32"/>
    <n v="14"/>
    <n v="0"/>
    <n v="2"/>
    <n v="0"/>
    <n v="0"/>
    <n v="0"/>
    <n v="7"/>
    <n v="3"/>
    <n v="18"/>
    <n v="2"/>
    <n v="18"/>
    <n v="2"/>
    <n v="10"/>
    <n v="27"/>
    <n v="0"/>
    <n v="29"/>
    <n v="0"/>
    <n v="0"/>
    <n v="5"/>
    <n v="5"/>
    <n v="27"/>
  </r>
  <r>
    <x v="337"/>
    <x v="1"/>
    <x v="696"/>
    <n v="1992"/>
    <n v="25"/>
    <x v="22"/>
    <s v="England"/>
    <n v="22000000"/>
    <n v="13200000"/>
    <x v="2"/>
    <n v="33"/>
    <n v="1823"/>
    <x v="9"/>
    <n v="932"/>
    <x v="8"/>
    <x v="4"/>
    <x v="0"/>
    <n v="13"/>
    <n v="17"/>
    <n v="56"/>
    <n v="23"/>
    <n v="3"/>
    <n v="0"/>
    <n v="1"/>
    <n v="0"/>
    <n v="0"/>
    <n v="4"/>
    <n v="8"/>
    <n v="33"/>
    <n v="24"/>
    <n v="46"/>
    <n v="3"/>
    <n v="9"/>
    <n v="34"/>
    <n v="0"/>
    <n v="30"/>
    <n v="0"/>
    <n v="0"/>
    <n v="10"/>
    <n v="5"/>
    <n v="26"/>
  </r>
  <r>
    <x v="338"/>
    <x v="1"/>
    <x v="697"/>
    <n v="1993"/>
    <n v="24"/>
    <x v="3"/>
    <s v="Portugal"/>
    <n v="9000000"/>
    <n v="9000000"/>
    <x v="2"/>
    <n v="13"/>
    <n v="1027"/>
    <x v="5"/>
    <n v="442"/>
    <x v="3"/>
    <x v="0"/>
    <x v="0"/>
    <n v="1"/>
    <n v="6"/>
    <n v="16"/>
    <n v="4"/>
    <n v="0"/>
    <n v="2"/>
    <n v="0"/>
    <n v="0"/>
    <n v="0"/>
    <n v="0"/>
    <n v="5"/>
    <n v="12"/>
    <n v="30"/>
    <n v="50"/>
    <n v="0"/>
    <n v="8"/>
    <n v="14"/>
    <n v="0"/>
    <n v="14"/>
    <n v="0"/>
    <n v="0"/>
    <n v="3"/>
    <n v="7"/>
    <n v="27"/>
  </r>
  <r>
    <x v="339"/>
    <x v="2"/>
    <x v="698"/>
    <n v="1986"/>
    <n v="31"/>
    <x v="16"/>
    <s v="Portugal"/>
    <n v="11000000"/>
    <n v="8800000"/>
    <x v="2"/>
    <n v="38"/>
    <n v="3038"/>
    <x v="4"/>
    <n v="1863"/>
    <x v="7"/>
    <x v="0"/>
    <x v="0"/>
    <n v="3"/>
    <n v="11"/>
    <n v="18"/>
    <n v="3"/>
    <n v="1"/>
    <n v="12"/>
    <n v="0"/>
    <n v="0"/>
    <n v="0"/>
    <n v="0"/>
    <n v="4"/>
    <n v="15"/>
    <n v="159"/>
    <n v="196"/>
    <n v="11"/>
    <n v="40"/>
    <n v="53"/>
    <n v="0"/>
    <n v="113"/>
    <n v="0"/>
    <n v="0"/>
    <n v="40"/>
    <n v="21"/>
    <n v="40"/>
  </r>
  <r>
    <x v="340"/>
    <x v="0"/>
    <x v="699"/>
    <n v="1990"/>
    <n v="25"/>
    <x v="13"/>
    <s v="Wales"/>
    <n v="8800000"/>
    <n v="16500000"/>
    <x v="2"/>
    <n v="19"/>
    <n v="731"/>
    <x v="5"/>
    <n v="410"/>
    <x v="3"/>
    <x v="0"/>
    <x v="0"/>
    <n v="11"/>
    <n v="5"/>
    <n v="12"/>
    <n v="4"/>
    <n v="0"/>
    <n v="3"/>
    <n v="0"/>
    <n v="0"/>
    <n v="0"/>
    <n v="0"/>
    <n v="2"/>
    <n v="1"/>
    <n v="0"/>
    <n v="5"/>
    <n v="1"/>
    <n v="14"/>
    <n v="14"/>
    <n v="0"/>
    <n v="28"/>
    <n v="0"/>
    <n v="0"/>
    <n v="8"/>
    <n v="3"/>
    <n v="11"/>
  </r>
  <r>
    <x v="340"/>
    <x v="3"/>
    <x v="700"/>
    <n v="1990"/>
    <n v="26"/>
    <x v="25"/>
    <s v="Wales"/>
    <n v="16500000"/>
    <n v="19800000"/>
    <x v="2"/>
    <n v="36"/>
    <n v="2936"/>
    <x v="14"/>
    <n v="1286"/>
    <x v="5"/>
    <x v="10"/>
    <x v="0"/>
    <n v="2"/>
    <n v="8"/>
    <n v="40"/>
    <n v="18"/>
    <n v="0"/>
    <n v="12"/>
    <n v="1"/>
    <n v="0"/>
    <n v="0"/>
    <n v="0"/>
    <n v="9"/>
    <n v="3"/>
    <n v="28"/>
    <n v="51"/>
    <n v="6"/>
    <n v="62"/>
    <n v="27"/>
    <n v="1"/>
    <n v="86"/>
    <n v="0"/>
    <n v="0"/>
    <n v="34"/>
    <n v="22"/>
    <n v="52"/>
  </r>
  <r>
    <x v="340"/>
    <x v="1"/>
    <x v="701"/>
    <n v="1990"/>
    <n v="27"/>
    <x v="25"/>
    <s v="Wales"/>
    <n v="5500000"/>
    <n v="3850000"/>
    <x v="2"/>
    <n v="36"/>
    <n v="3142"/>
    <x v="5"/>
    <n v="1358"/>
    <x v="1"/>
    <x v="9"/>
    <x v="0"/>
    <n v="0"/>
    <n v="3"/>
    <n v="24"/>
    <n v="4"/>
    <n v="0"/>
    <n v="27"/>
    <n v="0"/>
    <n v="0"/>
    <n v="0"/>
    <n v="0"/>
    <n v="3"/>
    <n v="20"/>
    <n v="9"/>
    <n v="37"/>
    <n v="9"/>
    <n v="58"/>
    <n v="49"/>
    <n v="0"/>
    <n v="96"/>
    <n v="0"/>
    <n v="0"/>
    <n v="54"/>
    <n v="36"/>
    <n v="61"/>
  </r>
  <r>
    <x v="341"/>
    <x v="2"/>
    <x v="702"/>
    <n v="1990"/>
    <n v="28"/>
    <x v="24"/>
    <s v="England"/>
    <n v="1800000"/>
    <n v="2700000"/>
    <x v="1"/>
    <n v="30"/>
    <n v="2641"/>
    <x v="0"/>
    <n v="694"/>
    <x v="3"/>
    <x v="2"/>
    <x v="0"/>
    <n v="0"/>
    <n v="2"/>
    <n v="10"/>
    <n v="3"/>
    <n v="0"/>
    <n v="30"/>
    <n v="0"/>
    <n v="0"/>
    <n v="0"/>
    <n v="1"/>
    <n v="2"/>
    <n v="7"/>
    <n v="1"/>
    <n v="43"/>
    <n v="8"/>
    <n v="60"/>
    <n v="20"/>
    <n v="0"/>
    <n v="50"/>
    <n v="0"/>
    <n v="0"/>
    <n v="84"/>
    <n v="35"/>
    <n v="17"/>
  </r>
  <r>
    <x v="342"/>
    <x v="2"/>
    <x v="703"/>
    <n v="1993"/>
    <n v="24"/>
    <x v="11"/>
    <s v="England"/>
    <n v="5400000"/>
    <n v="5400000"/>
    <x v="1"/>
    <n v="28"/>
    <n v="2347"/>
    <x v="0"/>
    <n v="951"/>
    <x v="3"/>
    <x v="2"/>
    <x v="0"/>
    <n v="1"/>
    <n v="6"/>
    <n v="21"/>
    <n v="7"/>
    <n v="0"/>
    <n v="34"/>
    <n v="0"/>
    <n v="0"/>
    <n v="0"/>
    <n v="2"/>
    <n v="1"/>
    <n v="14"/>
    <n v="15"/>
    <n v="115"/>
    <n v="12"/>
    <n v="31"/>
    <n v="25"/>
    <n v="0"/>
    <n v="61"/>
    <n v="1"/>
    <n v="0"/>
    <n v="70"/>
    <n v="31"/>
    <n v="37"/>
  </r>
  <r>
    <x v="343"/>
    <x v="0"/>
    <x v="704"/>
    <n v="1987"/>
    <n v="28"/>
    <x v="8"/>
    <s v="Wales"/>
    <n v="3850000"/>
    <n v="3850000"/>
    <x v="2"/>
    <n v="19"/>
    <n v="980"/>
    <x v="4"/>
    <n v="399"/>
    <x v="0"/>
    <x v="3"/>
    <x v="0"/>
    <n v="8"/>
    <n v="7"/>
    <n v="7"/>
    <n v="0"/>
    <n v="0"/>
    <n v="7"/>
    <n v="0"/>
    <n v="0"/>
    <n v="0"/>
    <n v="0"/>
    <n v="0"/>
    <n v="0"/>
    <n v="3"/>
    <n v="5"/>
    <n v="9"/>
    <n v="33"/>
    <n v="12"/>
    <n v="0"/>
    <n v="16"/>
    <n v="0"/>
    <n v="0"/>
    <n v="26"/>
    <n v="12"/>
    <n v="13"/>
  </r>
  <r>
    <x v="343"/>
    <x v="3"/>
    <x v="705"/>
    <n v="1987"/>
    <n v="29"/>
    <x v="8"/>
    <s v="Wales"/>
    <n v="5000000"/>
    <n v="5000000"/>
    <x v="2"/>
    <n v="18"/>
    <n v="1161"/>
    <x v="4"/>
    <n v="563"/>
    <x v="0"/>
    <x v="3"/>
    <x v="0"/>
    <n v="5"/>
    <n v="7"/>
    <n v="3"/>
    <n v="1"/>
    <n v="0"/>
    <n v="10"/>
    <n v="0"/>
    <n v="0"/>
    <n v="0"/>
    <n v="0"/>
    <n v="1"/>
    <n v="0"/>
    <n v="0"/>
    <n v="7"/>
    <n v="3"/>
    <n v="28"/>
    <n v="7"/>
    <n v="0"/>
    <n v="25"/>
    <n v="2"/>
    <n v="0"/>
    <n v="26"/>
    <n v="12"/>
    <n v="18"/>
  </r>
  <r>
    <x v="344"/>
    <x v="2"/>
    <x v="706"/>
    <n v="1993"/>
    <n v="24"/>
    <x v="24"/>
    <s v="England"/>
    <n v="1500000"/>
    <n v="1000000"/>
    <x v="2"/>
    <n v="28"/>
    <n v="1960"/>
    <x v="0"/>
    <n v="778"/>
    <x v="0"/>
    <x v="5"/>
    <x v="1"/>
    <n v="6"/>
    <n v="5"/>
    <n v="23"/>
    <n v="3"/>
    <n v="0"/>
    <n v="10"/>
    <n v="0"/>
    <n v="0"/>
    <n v="0"/>
    <n v="1"/>
    <n v="1"/>
    <n v="20"/>
    <n v="49"/>
    <n v="77"/>
    <n v="6"/>
    <n v="29"/>
    <n v="29"/>
    <n v="0"/>
    <n v="45"/>
    <n v="0"/>
    <n v="0"/>
    <n v="28"/>
    <n v="33"/>
    <n v="40"/>
  </r>
  <r>
    <x v="345"/>
    <x v="0"/>
    <x v="707"/>
    <n v="1992"/>
    <n v="23"/>
    <x v="7"/>
    <s v="Costa Rica"/>
    <n v="4500000"/>
    <n v="7200000"/>
    <x v="0"/>
    <n v="19"/>
    <n v="887"/>
    <x v="7"/>
    <n v="342"/>
    <x v="0"/>
    <x v="0"/>
    <x v="0"/>
    <n v="8"/>
    <n v="10"/>
    <n v="19"/>
    <n v="7"/>
    <n v="0"/>
    <n v="2"/>
    <n v="0"/>
    <n v="0"/>
    <n v="0"/>
    <n v="3"/>
    <n v="6"/>
    <n v="2"/>
    <n v="1"/>
    <n v="11"/>
    <n v="3"/>
    <n v="10"/>
    <n v="9"/>
    <n v="0"/>
    <n v="26"/>
    <n v="0"/>
    <n v="0"/>
    <n v="3"/>
    <n v="6"/>
    <n v="11"/>
  </r>
  <r>
    <x v="346"/>
    <x v="1"/>
    <x v="708"/>
    <n v="1991"/>
    <n v="26"/>
    <x v="13"/>
    <s v="Cameroon"/>
    <n v="22500000"/>
    <n v="22500000"/>
    <x v="1"/>
    <n v="25"/>
    <n v="1995"/>
    <x v="4"/>
    <n v="1655"/>
    <x v="0"/>
    <x v="6"/>
    <x v="0"/>
    <n v="3"/>
    <n v="0"/>
    <n v="11"/>
    <n v="2"/>
    <n v="1"/>
    <n v="58"/>
    <n v="0"/>
    <n v="0"/>
    <n v="0"/>
    <n v="0"/>
    <n v="1"/>
    <n v="9"/>
    <n v="0"/>
    <n v="0"/>
    <n v="15"/>
    <n v="35"/>
    <n v="19"/>
    <n v="0"/>
    <n v="35"/>
    <n v="1"/>
    <n v="0"/>
    <n v="96"/>
    <n v="57"/>
    <n v="21"/>
  </r>
  <r>
    <x v="346"/>
    <x v="2"/>
    <x v="709"/>
    <n v="1991"/>
    <n v="27"/>
    <x v="13"/>
    <s v="Cameroon"/>
    <n v="22500000"/>
    <n v="27000000"/>
    <x v="1"/>
    <n v="22"/>
    <n v="1535"/>
    <x v="4"/>
    <n v="1341"/>
    <x v="0"/>
    <x v="6"/>
    <x v="0"/>
    <n v="5"/>
    <n v="0"/>
    <n v="8"/>
    <n v="2"/>
    <n v="0"/>
    <n v="44"/>
    <n v="1"/>
    <n v="0"/>
    <n v="0"/>
    <n v="0"/>
    <n v="4"/>
    <n v="6"/>
    <n v="0"/>
    <n v="0"/>
    <n v="7"/>
    <n v="31"/>
    <n v="11"/>
    <n v="0"/>
    <n v="39"/>
    <n v="0"/>
    <n v="0"/>
    <n v="76"/>
    <n v="66"/>
    <n v="28"/>
  </r>
  <r>
    <x v="346"/>
    <x v="3"/>
    <x v="710"/>
    <n v="1991"/>
    <n v="25"/>
    <x v="13"/>
    <s v="Cameroon"/>
    <n v="16200000"/>
    <n v="22500000"/>
    <x v="1"/>
    <n v="29"/>
    <n v="2456"/>
    <x v="0"/>
    <n v="1699"/>
    <x v="0"/>
    <x v="6"/>
    <x v="0"/>
    <n v="2"/>
    <n v="0"/>
    <n v="26"/>
    <n v="4"/>
    <n v="3"/>
    <n v="81"/>
    <n v="1"/>
    <n v="0"/>
    <n v="0"/>
    <n v="0"/>
    <n v="1"/>
    <n v="0"/>
    <n v="0"/>
    <n v="5"/>
    <n v="12"/>
    <n v="47"/>
    <n v="14"/>
    <n v="0"/>
    <n v="47"/>
    <n v="1"/>
    <n v="0"/>
    <n v="153"/>
    <n v="63"/>
    <n v="40"/>
  </r>
  <r>
    <x v="347"/>
    <x v="3"/>
    <x v="711"/>
    <n v="1989"/>
    <n v="26"/>
    <x v="8"/>
    <s v="England"/>
    <n v="4500000"/>
    <n v="4500000"/>
    <x v="1"/>
    <n v="38"/>
    <n v="3418"/>
    <x v="0"/>
    <n v="1300"/>
    <x v="3"/>
    <x v="1"/>
    <x v="0"/>
    <n v="0"/>
    <n v="0"/>
    <n v="14"/>
    <n v="2"/>
    <n v="0"/>
    <n v="76"/>
    <n v="0"/>
    <n v="0"/>
    <n v="0"/>
    <n v="0"/>
    <n v="1"/>
    <n v="1"/>
    <n v="0"/>
    <n v="78"/>
    <n v="11"/>
    <n v="59"/>
    <n v="37"/>
    <n v="0"/>
    <n v="89"/>
    <n v="0"/>
    <n v="0"/>
    <n v="133"/>
    <n v="62"/>
    <n v="43"/>
  </r>
  <r>
    <x v="347"/>
    <x v="0"/>
    <x v="712"/>
    <n v="1989"/>
    <n v="25"/>
    <x v="8"/>
    <s v="England"/>
    <n v="3600000"/>
    <n v="4500000"/>
    <x v="1"/>
    <n v="30"/>
    <n v="2692"/>
    <x v="5"/>
    <n v="1001"/>
    <x v="0"/>
    <x v="5"/>
    <x v="0"/>
    <n v="0"/>
    <n v="1"/>
    <n v="17"/>
    <n v="0"/>
    <n v="0"/>
    <n v="59"/>
    <n v="0"/>
    <n v="0"/>
    <n v="0"/>
    <n v="0"/>
    <n v="0"/>
    <n v="0"/>
    <n v="0"/>
    <n v="56"/>
    <n v="14"/>
    <n v="69"/>
    <n v="36"/>
    <n v="0"/>
    <n v="62"/>
    <n v="0"/>
    <n v="0"/>
    <n v="109"/>
    <n v="55"/>
    <n v="41"/>
  </r>
  <r>
    <x v="347"/>
    <x v="1"/>
    <x v="713"/>
    <n v="1989"/>
    <n v="28"/>
    <x v="8"/>
    <s v="England"/>
    <n v="4500000"/>
    <n v="4500000"/>
    <x v="1"/>
    <n v="19"/>
    <n v="1616"/>
    <x v="0"/>
    <n v="681"/>
    <x v="3"/>
    <x v="5"/>
    <x v="0"/>
    <n v="0"/>
    <n v="3"/>
    <n v="1"/>
    <n v="1"/>
    <n v="0"/>
    <n v="40"/>
    <n v="0"/>
    <n v="0"/>
    <n v="0"/>
    <n v="0"/>
    <n v="0"/>
    <n v="0"/>
    <n v="0"/>
    <n v="46"/>
    <n v="11"/>
    <n v="28"/>
    <n v="25"/>
    <n v="1"/>
    <n v="35"/>
    <n v="0"/>
    <n v="1"/>
    <n v="61"/>
    <n v="0"/>
    <n v="25"/>
  </r>
  <r>
    <x v="348"/>
    <x v="3"/>
    <x v="714"/>
    <n v="1982"/>
    <n v="33"/>
    <x v="5"/>
    <s v="England"/>
    <n v="2750000"/>
    <n v="11000000"/>
    <x v="2"/>
    <n v="14"/>
    <n v="1104"/>
    <x v="4"/>
    <n v="576"/>
    <x v="0"/>
    <x v="5"/>
    <x v="0"/>
    <n v="2"/>
    <n v="1"/>
    <n v="12"/>
    <n v="3"/>
    <n v="0"/>
    <n v="10"/>
    <n v="0"/>
    <n v="0"/>
    <n v="1"/>
    <n v="0"/>
    <n v="3"/>
    <n v="0"/>
    <n v="0"/>
    <n v="9"/>
    <n v="3"/>
    <n v="20"/>
    <n v="20"/>
    <n v="0"/>
    <n v="43"/>
    <n v="0"/>
    <n v="0"/>
    <n v="19"/>
    <n v="29"/>
    <n v="21"/>
  </r>
  <r>
    <x v="349"/>
    <x v="3"/>
    <x v="715"/>
    <n v="1990"/>
    <n v="26"/>
    <x v="5"/>
    <s v="Iceland"/>
    <n v="2250000"/>
    <n v="2250000"/>
    <x v="0"/>
    <n v="20"/>
    <n v="994"/>
    <x v="4"/>
    <n v="296"/>
    <x v="5"/>
    <x v="3"/>
    <x v="0"/>
    <n v="10"/>
    <n v="7"/>
    <n v="17"/>
    <n v="8"/>
    <n v="2"/>
    <n v="6"/>
    <n v="0"/>
    <n v="0"/>
    <n v="0"/>
    <n v="1"/>
    <n v="1"/>
    <n v="0"/>
    <n v="28"/>
    <n v="72"/>
    <n v="4"/>
    <n v="18"/>
    <n v="4"/>
    <n v="0"/>
    <n v="20"/>
    <n v="0"/>
    <n v="0"/>
    <n v="20"/>
    <n v="13"/>
    <n v="19"/>
  </r>
  <r>
    <x v="349"/>
    <x v="1"/>
    <x v="716"/>
    <n v="1990"/>
    <n v="27"/>
    <x v="5"/>
    <s v="Iceland"/>
    <n v="11000000"/>
    <n v="11000000"/>
    <x v="2"/>
    <n v="35"/>
    <n v="2840"/>
    <x v="5"/>
    <n v="805"/>
    <x v="7"/>
    <x v="4"/>
    <x v="0"/>
    <n v="3"/>
    <n v="9"/>
    <n v="54"/>
    <n v="18"/>
    <n v="3"/>
    <n v="13"/>
    <n v="1"/>
    <n v="0"/>
    <n v="0"/>
    <n v="2"/>
    <n v="1"/>
    <n v="36"/>
    <n v="87"/>
    <n v="213"/>
    <n v="1"/>
    <n v="34"/>
    <n v="18"/>
    <n v="0"/>
    <n v="43"/>
    <n v="0"/>
    <n v="0"/>
    <n v="33"/>
    <n v="41"/>
    <n v="49"/>
  </r>
  <r>
    <x v="349"/>
    <x v="2"/>
    <x v="717"/>
    <n v="1990"/>
    <n v="28"/>
    <x v="5"/>
    <s v="Iceland"/>
    <n v="9000000"/>
    <n v="9900000"/>
    <x v="2"/>
    <n v="29"/>
    <n v="1749"/>
    <x v="7"/>
    <n v="491"/>
    <x v="1"/>
    <x v="4"/>
    <x v="0"/>
    <n v="10"/>
    <n v="6"/>
    <n v="33"/>
    <n v="9"/>
    <n v="2"/>
    <n v="9"/>
    <n v="1"/>
    <n v="0"/>
    <n v="0"/>
    <n v="2"/>
    <n v="1"/>
    <n v="24"/>
    <n v="46"/>
    <n v="119"/>
    <n v="4"/>
    <n v="33"/>
    <n v="10"/>
    <n v="0"/>
    <n v="26"/>
    <n v="0"/>
    <n v="0"/>
    <n v="31"/>
    <n v="32"/>
    <n v="33"/>
  </r>
  <r>
    <x v="350"/>
    <x v="0"/>
    <x v="718"/>
    <n v="1981"/>
    <n v="34"/>
    <x v="12"/>
    <s v="Ireland"/>
    <n v="900000"/>
    <n v="900000"/>
    <x v="1"/>
    <n v="28"/>
    <n v="2008"/>
    <x v="0"/>
    <n v="590"/>
    <x v="0"/>
    <x v="4"/>
    <x v="0"/>
    <n v="5"/>
    <n v="3"/>
    <n v="7"/>
    <n v="3"/>
    <n v="0"/>
    <n v="101"/>
    <n v="0"/>
    <n v="0"/>
    <n v="0"/>
    <n v="0"/>
    <n v="0"/>
    <n v="0"/>
    <n v="0"/>
    <n v="0"/>
    <n v="11"/>
    <n v="39"/>
    <n v="19"/>
    <n v="0"/>
    <n v="32"/>
    <n v="0"/>
    <n v="0"/>
    <n v="183"/>
    <n v="51"/>
    <n v="17"/>
  </r>
  <r>
    <x v="350"/>
    <x v="3"/>
    <x v="719"/>
    <n v="1981"/>
    <n v="35"/>
    <x v="12"/>
    <s v="Ireland"/>
    <n v="900000"/>
    <n v="900000"/>
    <x v="1"/>
    <n v="28"/>
    <n v="2160"/>
    <x v="0"/>
    <n v="686"/>
    <x v="3"/>
    <x v="2"/>
    <x v="0"/>
    <n v="2"/>
    <n v="5"/>
    <n v="3"/>
    <n v="2"/>
    <n v="0"/>
    <n v="95"/>
    <n v="0"/>
    <n v="0"/>
    <n v="0"/>
    <n v="0"/>
    <n v="0"/>
    <n v="0"/>
    <n v="0"/>
    <n v="0"/>
    <n v="17"/>
    <n v="39"/>
    <n v="17"/>
    <n v="0"/>
    <n v="29"/>
    <n v="0"/>
    <n v="0"/>
    <n v="150"/>
    <n v="58"/>
    <n v="47"/>
  </r>
  <r>
    <x v="351"/>
    <x v="0"/>
    <x v="720"/>
    <n v="1987"/>
    <n v="28"/>
    <x v="1"/>
    <s v="Nigeria"/>
    <n v="3850000"/>
    <n v="3850000"/>
    <x v="2"/>
    <n v="25"/>
    <n v="1783"/>
    <x v="0"/>
    <n v="1243"/>
    <x v="3"/>
    <x v="8"/>
    <x v="0"/>
    <n v="6"/>
    <n v="4"/>
    <n v="7"/>
    <n v="0"/>
    <n v="0"/>
    <n v="16"/>
    <n v="0"/>
    <n v="0"/>
    <n v="0"/>
    <n v="0"/>
    <n v="0"/>
    <n v="0"/>
    <n v="0"/>
    <n v="3"/>
    <n v="8"/>
    <n v="32"/>
    <n v="32"/>
    <n v="0"/>
    <n v="52"/>
    <n v="0"/>
    <n v="0"/>
    <n v="34"/>
    <n v="18"/>
    <n v="29"/>
  </r>
  <r>
    <x v="352"/>
    <x v="2"/>
    <x v="721"/>
    <n v="1994"/>
    <n v="24"/>
    <x v="19"/>
    <s v="England"/>
    <n v="45000000"/>
    <n v="54000000"/>
    <x v="1"/>
    <n v="24"/>
    <n v="1763"/>
    <x v="0"/>
    <n v="1751"/>
    <x v="0"/>
    <x v="0"/>
    <x v="0"/>
    <n v="4"/>
    <n v="2"/>
    <n v="5"/>
    <n v="0"/>
    <n v="0"/>
    <n v="41"/>
    <n v="0"/>
    <n v="0"/>
    <n v="0"/>
    <n v="1"/>
    <n v="0"/>
    <n v="5"/>
    <n v="0"/>
    <n v="2"/>
    <n v="9"/>
    <n v="14"/>
    <n v="6"/>
    <n v="0"/>
    <n v="16"/>
    <n v="0"/>
    <n v="0"/>
    <n v="60"/>
    <n v="59"/>
    <n v="30"/>
  </r>
  <r>
    <x v="352"/>
    <x v="3"/>
    <x v="722"/>
    <n v="1994"/>
    <n v="22"/>
    <x v="19"/>
    <s v="England"/>
    <n v="25200000"/>
    <n v="31500000"/>
    <x v="1"/>
    <n v="27"/>
    <n v="2013"/>
    <x v="0"/>
    <n v="1464"/>
    <x v="0"/>
    <x v="3"/>
    <x v="0"/>
    <n v="4"/>
    <n v="3"/>
    <n v="13"/>
    <n v="2"/>
    <n v="0"/>
    <n v="63"/>
    <n v="0"/>
    <n v="0"/>
    <n v="0"/>
    <n v="0"/>
    <n v="0"/>
    <n v="3"/>
    <n v="0"/>
    <n v="0"/>
    <n v="14"/>
    <n v="39"/>
    <n v="8"/>
    <n v="0"/>
    <n v="26"/>
    <n v="3"/>
    <n v="0"/>
    <n v="115"/>
    <n v="49"/>
    <n v="27"/>
  </r>
  <r>
    <x v="352"/>
    <x v="0"/>
    <x v="723"/>
    <n v="1994"/>
    <n v="21"/>
    <x v="4"/>
    <s v="England"/>
    <n v="11700000"/>
    <n v="25200000"/>
    <x v="1"/>
    <n v="33"/>
    <n v="2779"/>
    <x v="0"/>
    <n v="1566"/>
    <x v="0"/>
    <x v="6"/>
    <x v="0"/>
    <n v="2"/>
    <n v="2"/>
    <n v="8"/>
    <n v="1"/>
    <n v="0"/>
    <n v="80"/>
    <n v="0"/>
    <n v="0"/>
    <n v="0"/>
    <n v="0"/>
    <n v="1"/>
    <n v="0"/>
    <n v="0"/>
    <n v="4"/>
    <n v="34"/>
    <n v="56"/>
    <n v="11"/>
    <n v="0"/>
    <n v="46"/>
    <n v="3"/>
    <n v="0"/>
    <n v="127"/>
    <n v="53"/>
    <n v="30"/>
  </r>
  <r>
    <x v="352"/>
    <x v="1"/>
    <x v="724"/>
    <n v="1994"/>
    <n v="23"/>
    <x v="19"/>
    <s v="England"/>
    <n v="31500000"/>
    <n v="45000000"/>
    <x v="1"/>
    <n v="18"/>
    <n v="1306"/>
    <x v="0"/>
    <n v="1246"/>
    <x v="0"/>
    <x v="0"/>
    <x v="0"/>
    <n v="2"/>
    <n v="5"/>
    <n v="11"/>
    <n v="4"/>
    <n v="1"/>
    <n v="21"/>
    <n v="0"/>
    <n v="0"/>
    <n v="0"/>
    <n v="0"/>
    <n v="0"/>
    <n v="7"/>
    <n v="0"/>
    <n v="1"/>
    <n v="5"/>
    <n v="19"/>
    <n v="6"/>
    <n v="0"/>
    <n v="15"/>
    <n v="0"/>
    <n v="0"/>
    <n v="41"/>
    <n v="0"/>
    <n v="11"/>
  </r>
  <r>
    <x v="353"/>
    <x v="0"/>
    <x v="725"/>
    <n v="1980"/>
    <n v="34"/>
    <x v="1"/>
    <s v="England"/>
    <n v="3600000"/>
    <n v="2250000"/>
    <x v="1"/>
    <n v="22"/>
    <n v="1989"/>
    <x v="4"/>
    <n v="924"/>
    <x v="0"/>
    <x v="4"/>
    <x v="2"/>
    <n v="0"/>
    <n v="3"/>
    <n v="10"/>
    <n v="2"/>
    <n v="0"/>
    <n v="50"/>
    <n v="0"/>
    <n v="0"/>
    <n v="0"/>
    <n v="2"/>
    <n v="1"/>
    <n v="0"/>
    <n v="0"/>
    <n v="0"/>
    <n v="19"/>
    <n v="38"/>
    <n v="10"/>
    <n v="0"/>
    <n v="21"/>
    <n v="0"/>
    <n v="0"/>
    <n v="88"/>
    <n v="49"/>
    <n v="22"/>
  </r>
  <r>
    <x v="354"/>
    <x v="0"/>
    <x v="726"/>
    <n v="1982"/>
    <n v="32"/>
    <x v="15"/>
    <s v="England"/>
    <n v="3600000"/>
    <n v="1350000"/>
    <x v="1"/>
    <n v="31"/>
    <n v="2810"/>
    <x v="4"/>
    <n v="1061"/>
    <x v="0"/>
    <x v="4"/>
    <x v="0"/>
    <n v="0"/>
    <n v="2"/>
    <n v="11"/>
    <n v="3"/>
    <n v="1"/>
    <n v="109"/>
    <n v="0"/>
    <n v="0"/>
    <n v="0"/>
    <n v="0"/>
    <n v="0"/>
    <n v="2"/>
    <n v="0"/>
    <n v="4"/>
    <n v="21"/>
    <n v="85"/>
    <n v="16"/>
    <n v="0"/>
    <n v="35"/>
    <n v="1"/>
    <n v="0"/>
    <n v="186"/>
    <n v="71"/>
    <n v="34"/>
  </r>
  <r>
    <x v="355"/>
    <x v="2"/>
    <x v="727"/>
    <n v="1996"/>
    <n v="22"/>
    <x v="6"/>
    <s v="Slovenia"/>
    <n v="450000"/>
    <n v="1350000"/>
    <x v="1"/>
    <n v="11"/>
    <n v="719"/>
    <x v="0"/>
    <n v="294"/>
    <x v="0"/>
    <x v="4"/>
    <x v="0"/>
    <n v="2"/>
    <n v="5"/>
    <n v="9"/>
    <n v="2"/>
    <n v="0"/>
    <n v="10"/>
    <n v="0"/>
    <n v="0"/>
    <n v="0"/>
    <n v="0"/>
    <n v="0"/>
    <n v="7"/>
    <n v="0"/>
    <n v="0"/>
    <n v="9"/>
    <n v="9"/>
    <n v="9"/>
    <n v="0"/>
    <n v="26"/>
    <n v="0"/>
    <n v="0"/>
    <n v="19"/>
    <n v="22"/>
    <n v="16"/>
  </r>
  <r>
    <x v="356"/>
    <x v="0"/>
    <x v="728"/>
    <n v="1983"/>
    <n v="32"/>
    <x v="18"/>
    <s v="Sweden"/>
    <n v="1350000"/>
    <n v="1350000"/>
    <x v="1"/>
    <n v="28"/>
    <n v="2016"/>
    <x v="4"/>
    <n v="576"/>
    <x v="3"/>
    <x v="2"/>
    <x v="0"/>
    <n v="3"/>
    <n v="6"/>
    <n v="6"/>
    <n v="2"/>
    <n v="1"/>
    <n v="69"/>
    <n v="1"/>
    <n v="0"/>
    <n v="0"/>
    <n v="2"/>
    <n v="0"/>
    <n v="1"/>
    <n v="0"/>
    <n v="0"/>
    <n v="32"/>
    <n v="45"/>
    <n v="22"/>
    <n v="0"/>
    <n v="16"/>
    <n v="1"/>
    <n v="0"/>
    <n v="127"/>
    <n v="48"/>
    <n v="21"/>
  </r>
  <r>
    <x v="357"/>
    <x v="3"/>
    <x v="729"/>
    <n v="1993"/>
    <n v="22"/>
    <x v="3"/>
    <s v="Argentina"/>
    <n v="11000000"/>
    <n v="7200000"/>
    <x v="0"/>
    <n v="16"/>
    <n v="537"/>
    <x v="4"/>
    <n v="119"/>
    <x v="0"/>
    <x v="0"/>
    <x v="0"/>
    <n v="12"/>
    <n v="4"/>
    <n v="16"/>
    <n v="3"/>
    <n v="0"/>
    <n v="2"/>
    <n v="0"/>
    <n v="0"/>
    <n v="0"/>
    <n v="9"/>
    <n v="3"/>
    <n v="4"/>
    <n v="0"/>
    <n v="15"/>
    <n v="0"/>
    <n v="4"/>
    <n v="10"/>
    <n v="0"/>
    <n v="5"/>
    <n v="0"/>
    <n v="0"/>
    <n v="3"/>
    <n v="9"/>
    <n v="14"/>
  </r>
  <r>
    <x v="358"/>
    <x v="2"/>
    <x v="730"/>
    <n v="1988"/>
    <n v="29"/>
    <x v="6"/>
    <s v="England"/>
    <n v="1100000"/>
    <n v="3850000"/>
    <x v="2"/>
    <n v="29"/>
    <n v="2375"/>
    <x v="0"/>
    <n v="1546"/>
    <x v="3"/>
    <x v="9"/>
    <x v="1"/>
    <n v="0"/>
    <n v="9"/>
    <n v="8"/>
    <n v="1"/>
    <n v="1"/>
    <n v="9"/>
    <n v="0"/>
    <n v="0"/>
    <n v="0"/>
    <n v="1"/>
    <n v="6"/>
    <n v="7"/>
    <n v="0"/>
    <n v="6"/>
    <n v="7"/>
    <n v="72"/>
    <n v="58"/>
    <n v="0"/>
    <n v="78"/>
    <n v="1"/>
    <n v="0"/>
    <n v="17"/>
    <n v="31"/>
    <n v="34"/>
  </r>
  <r>
    <x v="358"/>
    <x v="1"/>
    <x v="731"/>
    <n v="1988"/>
    <n v="29"/>
    <x v="6"/>
    <s v="England"/>
    <n v="3150000"/>
    <n v="2250000"/>
    <x v="2"/>
    <n v="30"/>
    <n v="2406"/>
    <x v="0"/>
    <n v="1413"/>
    <x v="0"/>
    <x v="9"/>
    <x v="1"/>
    <n v="1"/>
    <n v="11"/>
    <n v="12"/>
    <n v="2"/>
    <n v="0"/>
    <n v="19"/>
    <n v="0"/>
    <n v="0"/>
    <n v="0"/>
    <n v="0"/>
    <n v="2"/>
    <n v="10"/>
    <n v="0"/>
    <n v="3"/>
    <n v="12"/>
    <n v="70"/>
    <n v="32"/>
    <n v="0"/>
    <n v="93"/>
    <n v="0"/>
    <n v="0"/>
    <n v="45"/>
    <n v="0"/>
    <n v="30"/>
  </r>
  <r>
    <x v="359"/>
    <x v="0"/>
    <x v="732"/>
    <n v="1983"/>
    <n v="31"/>
    <x v="25"/>
    <s v="Ireland"/>
    <n v="4400000"/>
    <n v="3150000"/>
    <x v="0"/>
    <n v="27"/>
    <n v="1724"/>
    <x v="2"/>
    <n v="492"/>
    <x v="6"/>
    <x v="3"/>
    <x v="0"/>
    <n v="9"/>
    <n v="4"/>
    <n v="32"/>
    <n v="13"/>
    <n v="0"/>
    <n v="18"/>
    <n v="0"/>
    <n v="0"/>
    <n v="0"/>
    <n v="25"/>
    <n v="2"/>
    <n v="4"/>
    <n v="0"/>
    <n v="36"/>
    <n v="6"/>
    <n v="5"/>
    <n v="14"/>
    <n v="0"/>
    <n v="8"/>
    <n v="0"/>
    <n v="0"/>
    <n v="26"/>
    <n v="81"/>
    <n v="103"/>
  </r>
  <r>
    <x v="359"/>
    <x v="3"/>
    <x v="733"/>
    <n v="1983"/>
    <n v="32"/>
    <x v="25"/>
    <s v="Ireland"/>
    <n v="13200000"/>
    <n v="12100000"/>
    <x v="2"/>
    <n v="23"/>
    <n v="1296"/>
    <x v="6"/>
    <n v="331"/>
    <x v="5"/>
    <x v="3"/>
    <x v="0"/>
    <n v="10"/>
    <n v="2"/>
    <n v="25"/>
    <n v="12"/>
    <n v="0"/>
    <n v="16"/>
    <n v="2"/>
    <n v="1"/>
    <n v="0"/>
    <n v="12"/>
    <n v="0"/>
    <n v="4"/>
    <n v="0"/>
    <n v="36"/>
    <n v="4"/>
    <n v="4"/>
    <n v="13"/>
    <n v="0"/>
    <n v="8"/>
    <n v="0"/>
    <n v="0"/>
    <n v="27"/>
    <n v="66"/>
    <n v="68"/>
  </r>
  <r>
    <x v="360"/>
    <x v="0"/>
    <x v="734"/>
    <n v="1992"/>
    <n v="23"/>
    <x v="0"/>
    <s v="England"/>
    <n v="16500000"/>
    <n v="16500000"/>
    <x v="2"/>
    <n v="31"/>
    <n v="2268"/>
    <x v="4"/>
    <n v="1473"/>
    <x v="8"/>
    <x v="9"/>
    <x v="0"/>
    <n v="6"/>
    <n v="8"/>
    <n v="56"/>
    <n v="16"/>
    <n v="2"/>
    <n v="11"/>
    <n v="0"/>
    <n v="1"/>
    <n v="0"/>
    <n v="0"/>
    <n v="11"/>
    <n v="0"/>
    <n v="73"/>
    <n v="116"/>
    <n v="0"/>
    <n v="45"/>
    <n v="21"/>
    <n v="0"/>
    <n v="37"/>
    <n v="0"/>
    <n v="0"/>
    <n v="25"/>
    <n v="12"/>
    <n v="16"/>
  </r>
  <r>
    <x v="360"/>
    <x v="2"/>
    <x v="735"/>
    <n v="1992"/>
    <n v="26"/>
    <x v="20"/>
    <s v="England"/>
    <n v="12100000"/>
    <n v="16500000"/>
    <x v="2"/>
    <n v="16"/>
    <n v="944"/>
    <x v="0"/>
    <n v="629"/>
    <x v="0"/>
    <x v="0"/>
    <x v="0"/>
    <n v="6"/>
    <n v="2"/>
    <n v="23"/>
    <n v="8"/>
    <n v="0"/>
    <n v="2"/>
    <n v="0"/>
    <n v="0"/>
    <n v="0"/>
    <n v="0"/>
    <n v="4"/>
    <n v="15"/>
    <n v="31"/>
    <n v="50"/>
    <n v="3"/>
    <n v="7"/>
    <n v="16"/>
    <n v="0"/>
    <n v="22"/>
    <n v="0"/>
    <n v="0"/>
    <n v="13"/>
    <n v="14"/>
    <n v="10"/>
  </r>
  <r>
    <x v="360"/>
    <x v="1"/>
    <x v="736"/>
    <n v="1992"/>
    <n v="25"/>
    <x v="20"/>
    <s v="England"/>
    <n v="3000000"/>
    <n v="4000000"/>
    <x v="2"/>
    <n v="30"/>
    <n v="2267"/>
    <x v="4"/>
    <n v="1382"/>
    <x v="6"/>
    <x v="4"/>
    <x v="2"/>
    <n v="5"/>
    <n v="3"/>
    <n v="42"/>
    <n v="9"/>
    <n v="2"/>
    <n v="7"/>
    <n v="0"/>
    <n v="0"/>
    <n v="0"/>
    <n v="0"/>
    <n v="21"/>
    <n v="33"/>
    <n v="45"/>
    <n v="79"/>
    <n v="5"/>
    <n v="28"/>
    <n v="23"/>
    <n v="0"/>
    <n v="39"/>
    <n v="0"/>
    <n v="0"/>
    <n v="28"/>
    <n v="20"/>
    <n v="13"/>
  </r>
  <r>
    <x v="361"/>
    <x v="2"/>
    <x v="737"/>
    <n v="1997"/>
    <n v="21"/>
    <x v="4"/>
    <s v="England"/>
    <n v="4500000"/>
    <n v="4500000"/>
    <x v="1"/>
    <n v="10"/>
    <n v="790"/>
    <x v="0"/>
    <n v="427"/>
    <x v="3"/>
    <x v="3"/>
    <x v="0"/>
    <n v="2"/>
    <n v="1"/>
    <n v="3"/>
    <n v="0"/>
    <n v="1"/>
    <n v="14"/>
    <n v="0"/>
    <n v="0"/>
    <n v="0"/>
    <n v="0"/>
    <n v="0"/>
    <n v="3"/>
    <n v="0"/>
    <n v="17"/>
    <n v="2"/>
    <n v="17"/>
    <n v="10"/>
    <n v="0"/>
    <n v="22"/>
    <n v="0"/>
    <n v="0"/>
    <n v="30"/>
    <n v="23"/>
    <n v="11"/>
  </r>
  <r>
    <x v="361"/>
    <x v="1"/>
    <x v="738"/>
    <n v="1997"/>
    <n v="20"/>
    <x v="4"/>
    <s v="England"/>
    <n v="225000"/>
    <n v="4500000"/>
    <x v="1"/>
    <n v="19"/>
    <n v="1589"/>
    <x v="0"/>
    <n v="587"/>
    <x v="3"/>
    <x v="4"/>
    <x v="0"/>
    <n v="2"/>
    <n v="0"/>
    <n v="1"/>
    <n v="1"/>
    <n v="0"/>
    <n v="41"/>
    <n v="0"/>
    <n v="0"/>
    <n v="0"/>
    <n v="0"/>
    <n v="0"/>
    <n v="0"/>
    <n v="0"/>
    <n v="46"/>
    <n v="7"/>
    <n v="28"/>
    <n v="17"/>
    <n v="0"/>
    <n v="41"/>
    <n v="0"/>
    <n v="0"/>
    <n v="73"/>
    <n v="38"/>
    <n v="31"/>
  </r>
  <r>
    <x v="362"/>
    <x v="2"/>
    <x v="739"/>
    <n v="1994"/>
    <n v="24"/>
    <x v="16"/>
    <s v="Spain"/>
    <n v="10800000"/>
    <n v="18000000"/>
    <x v="1"/>
    <n v="33"/>
    <n v="2777"/>
    <x v="4"/>
    <n v="1075"/>
    <x v="3"/>
    <x v="8"/>
    <x v="0"/>
    <n v="1"/>
    <n v="10"/>
    <n v="25"/>
    <n v="8"/>
    <n v="1"/>
    <n v="23"/>
    <n v="0"/>
    <n v="0"/>
    <n v="0"/>
    <n v="5"/>
    <n v="1"/>
    <n v="17"/>
    <n v="0"/>
    <n v="46"/>
    <n v="8"/>
    <n v="60"/>
    <n v="23"/>
    <n v="0"/>
    <n v="79"/>
    <n v="1"/>
    <n v="0"/>
    <n v="53"/>
    <n v="39"/>
    <n v="51"/>
  </r>
  <r>
    <x v="363"/>
    <x v="2"/>
    <x v="740"/>
    <n v="1988"/>
    <n v="30"/>
    <x v="17"/>
    <s v="Northern Ireland"/>
    <n v="13500000"/>
    <n v="9000000"/>
    <x v="1"/>
    <n v="24"/>
    <n v="1994"/>
    <x v="4"/>
    <n v="1029"/>
    <x v="0"/>
    <x v="4"/>
    <x v="0"/>
    <n v="3"/>
    <n v="2"/>
    <n v="11"/>
    <n v="3"/>
    <n v="0"/>
    <n v="79"/>
    <n v="0"/>
    <n v="0"/>
    <n v="0"/>
    <n v="0"/>
    <n v="0"/>
    <n v="8"/>
    <n v="0"/>
    <n v="1"/>
    <n v="10"/>
    <n v="33"/>
    <n v="21"/>
    <n v="0"/>
    <n v="24"/>
    <n v="0"/>
    <n v="0"/>
    <n v="146"/>
    <n v="72"/>
    <n v="38"/>
  </r>
  <r>
    <x v="363"/>
    <x v="0"/>
    <x v="741"/>
    <n v="1988"/>
    <n v="27"/>
    <x v="18"/>
    <s v="Northern Ireland"/>
    <n v="5400000"/>
    <n v="5400000"/>
    <x v="1"/>
    <n v="30"/>
    <n v="2593"/>
    <x v="4"/>
    <n v="984"/>
    <x v="3"/>
    <x v="5"/>
    <x v="0"/>
    <n v="0"/>
    <n v="3"/>
    <n v="7"/>
    <n v="1"/>
    <n v="0"/>
    <n v="60"/>
    <n v="0"/>
    <n v="0"/>
    <n v="0"/>
    <n v="0"/>
    <n v="1"/>
    <n v="0"/>
    <n v="0"/>
    <n v="22"/>
    <n v="28"/>
    <n v="92"/>
    <n v="23"/>
    <n v="0"/>
    <n v="74"/>
    <n v="0"/>
    <n v="0"/>
    <n v="104"/>
    <n v="54"/>
    <n v="30"/>
  </r>
  <r>
    <x v="363"/>
    <x v="1"/>
    <x v="742"/>
    <n v="1988"/>
    <n v="29"/>
    <x v="18"/>
    <s v="Northern Ireland"/>
    <n v="6300000"/>
    <n v="13500000"/>
    <x v="1"/>
    <n v="28"/>
    <n v="2273"/>
    <x v="5"/>
    <n v="961"/>
    <x v="5"/>
    <x v="1"/>
    <x v="0"/>
    <n v="2"/>
    <n v="4"/>
    <n v="10"/>
    <n v="5"/>
    <n v="0"/>
    <n v="67"/>
    <n v="2"/>
    <n v="0"/>
    <n v="0"/>
    <n v="0"/>
    <n v="0"/>
    <n v="5"/>
    <n v="0"/>
    <n v="4"/>
    <n v="13"/>
    <n v="48"/>
    <n v="26"/>
    <n v="0"/>
    <n v="29"/>
    <n v="0"/>
    <n v="1"/>
    <n v="126"/>
    <n v="54"/>
    <n v="34"/>
  </r>
  <r>
    <x v="363"/>
    <x v="3"/>
    <x v="743"/>
    <n v="1988"/>
    <n v="28"/>
    <x v="18"/>
    <s v="Northern Ireland"/>
    <n v="5400000"/>
    <n v="6300000"/>
    <x v="1"/>
    <n v="31"/>
    <n v="2638"/>
    <x v="5"/>
    <n v="942"/>
    <x v="3"/>
    <x v="9"/>
    <x v="0"/>
    <n v="1"/>
    <n v="2"/>
    <n v="9"/>
    <n v="5"/>
    <n v="0"/>
    <n v="91"/>
    <n v="2"/>
    <n v="0"/>
    <n v="0"/>
    <n v="0"/>
    <n v="0"/>
    <n v="1"/>
    <n v="0"/>
    <n v="9"/>
    <n v="19"/>
    <n v="74"/>
    <n v="31"/>
    <n v="0"/>
    <n v="42"/>
    <n v="1"/>
    <n v="0"/>
    <n v="151"/>
    <n v="45"/>
    <n v="29"/>
  </r>
  <r>
    <x v="364"/>
    <x v="0"/>
    <x v="744"/>
    <n v="1988"/>
    <n v="27"/>
    <x v="21"/>
    <s v="England"/>
    <n v="30800000"/>
    <n v="30800000"/>
    <x v="2"/>
    <n v="36"/>
    <n v="2953"/>
    <x v="7"/>
    <n v="1284"/>
    <x v="2"/>
    <x v="1"/>
    <x v="0"/>
    <n v="3"/>
    <n v="5"/>
    <n v="35"/>
    <n v="9"/>
    <n v="0"/>
    <n v="35"/>
    <n v="1"/>
    <n v="0"/>
    <n v="0"/>
    <n v="3"/>
    <n v="1"/>
    <n v="0"/>
    <n v="2"/>
    <n v="30"/>
    <n v="9"/>
    <n v="42"/>
    <n v="27"/>
    <n v="0"/>
    <n v="76"/>
    <n v="0"/>
    <n v="0"/>
    <n v="66"/>
    <n v="32"/>
    <n v="77"/>
  </r>
  <r>
    <x v="365"/>
    <x v="0"/>
    <x v="745"/>
    <n v="1994"/>
    <n v="21"/>
    <x v="15"/>
    <s v="France"/>
    <n v="3600000"/>
    <n v="9000000"/>
    <x v="1"/>
    <n v="10"/>
    <n v="836"/>
    <x v="0"/>
    <n v="368"/>
    <x v="5"/>
    <x v="4"/>
    <x v="0"/>
    <n v="1"/>
    <n v="0"/>
    <n v="5"/>
    <n v="1"/>
    <n v="0"/>
    <n v="19"/>
    <n v="0"/>
    <n v="0"/>
    <n v="0"/>
    <n v="0"/>
    <n v="0"/>
    <n v="0"/>
    <n v="0"/>
    <n v="40"/>
    <n v="3"/>
    <n v="37"/>
    <n v="18"/>
    <n v="0"/>
    <n v="36"/>
    <n v="1"/>
    <n v="0"/>
    <n v="32"/>
    <n v="20"/>
    <n v="17"/>
  </r>
  <r>
    <x v="366"/>
    <x v="0"/>
    <x v="746"/>
    <n v="1991"/>
    <n v="23"/>
    <x v="15"/>
    <s v="Ghana"/>
    <n v="6600000"/>
    <n v="8250000"/>
    <x v="0"/>
    <n v="30"/>
    <n v="2352"/>
    <x v="8"/>
    <n v="800"/>
    <x v="0"/>
    <x v="8"/>
    <x v="1"/>
    <n v="3"/>
    <n v="7"/>
    <n v="59"/>
    <n v="21"/>
    <n v="2"/>
    <n v="5"/>
    <n v="1"/>
    <n v="1"/>
    <n v="0"/>
    <n v="10"/>
    <n v="0"/>
    <n v="1"/>
    <n v="0"/>
    <n v="43"/>
    <n v="2"/>
    <n v="23"/>
    <n v="48"/>
    <n v="0"/>
    <n v="40"/>
    <n v="0"/>
    <n v="0"/>
    <n v="8"/>
    <n v="61"/>
    <n v="85"/>
  </r>
  <r>
    <x v="366"/>
    <x v="3"/>
    <x v="747"/>
    <n v="1991"/>
    <n v="24"/>
    <x v="0"/>
    <s v="Ghana"/>
    <n v="8250000"/>
    <n v="8250000"/>
    <x v="0"/>
    <n v="14"/>
    <n v="863"/>
    <x v="4"/>
    <n v="240"/>
    <x v="6"/>
    <x v="3"/>
    <x v="0"/>
    <n v="5"/>
    <n v="3"/>
    <n v="12"/>
    <n v="6"/>
    <n v="1"/>
    <n v="2"/>
    <n v="1"/>
    <n v="0"/>
    <n v="0"/>
    <n v="6"/>
    <n v="0"/>
    <n v="0"/>
    <n v="0"/>
    <n v="19"/>
    <n v="0"/>
    <n v="7"/>
    <n v="18"/>
    <n v="0"/>
    <n v="14"/>
    <n v="0"/>
    <n v="0"/>
    <n v="5"/>
    <n v="7"/>
    <n v="37"/>
  </r>
  <r>
    <x v="366"/>
    <x v="1"/>
    <x v="748"/>
    <n v="1991"/>
    <n v="26"/>
    <x v="0"/>
    <s v="Ghana"/>
    <n v="8250000"/>
    <n v="7200000"/>
    <x v="0"/>
    <n v="36"/>
    <n v="2856"/>
    <x v="8"/>
    <n v="835"/>
    <x v="5"/>
    <x v="4"/>
    <x v="1"/>
    <n v="3"/>
    <n v="10"/>
    <n v="66"/>
    <n v="21"/>
    <n v="4"/>
    <n v="10"/>
    <n v="1"/>
    <n v="1"/>
    <n v="0"/>
    <n v="8"/>
    <n v="3"/>
    <n v="45"/>
    <n v="0"/>
    <n v="45"/>
    <n v="3"/>
    <n v="24"/>
    <n v="63"/>
    <n v="0"/>
    <n v="82"/>
    <n v="1"/>
    <n v="0"/>
    <n v="17"/>
    <n v="52"/>
    <n v="122"/>
  </r>
  <r>
    <x v="366"/>
    <x v="2"/>
    <x v="749"/>
    <n v="1991"/>
    <n v="26"/>
    <x v="8"/>
    <s v="Ghana"/>
    <n v="7200000"/>
    <n v="7200000"/>
    <x v="0"/>
    <n v="20"/>
    <n v="1187"/>
    <x v="4"/>
    <n v="265"/>
    <x v="5"/>
    <x v="6"/>
    <x v="0"/>
    <n v="6"/>
    <n v="11"/>
    <n v="27"/>
    <n v="3"/>
    <n v="0"/>
    <n v="2"/>
    <n v="0"/>
    <n v="0"/>
    <n v="0"/>
    <n v="9"/>
    <n v="2"/>
    <n v="24"/>
    <n v="0"/>
    <n v="15"/>
    <n v="0"/>
    <n v="7"/>
    <n v="31"/>
    <n v="0"/>
    <n v="38"/>
    <n v="0"/>
    <n v="0"/>
    <n v="5"/>
    <n v="32"/>
    <n v="90"/>
  </r>
  <r>
    <x v="367"/>
    <x v="0"/>
    <x v="750"/>
    <n v="1990"/>
    <n v="25"/>
    <x v="13"/>
    <s v="England"/>
    <n v="30800000"/>
    <n v="30800000"/>
    <x v="2"/>
    <n v="17"/>
    <n v="1293"/>
    <x v="5"/>
    <n v="939"/>
    <x v="6"/>
    <x v="3"/>
    <x v="0"/>
    <n v="2"/>
    <n v="5"/>
    <n v="26"/>
    <n v="6"/>
    <n v="1"/>
    <n v="10"/>
    <n v="0"/>
    <n v="0"/>
    <n v="0"/>
    <n v="3"/>
    <n v="3"/>
    <n v="0"/>
    <n v="12"/>
    <n v="47"/>
    <n v="1"/>
    <n v="22"/>
    <n v="10"/>
    <n v="0"/>
    <n v="41"/>
    <n v="0"/>
    <n v="0"/>
    <n v="17"/>
    <n v="21"/>
    <n v="10"/>
  </r>
  <r>
    <x v="367"/>
    <x v="3"/>
    <x v="751"/>
    <n v="1990"/>
    <n v="26"/>
    <x v="13"/>
    <s v="England"/>
    <n v="27500000"/>
    <n v="38500000"/>
    <x v="2"/>
    <n v="24"/>
    <n v="2118"/>
    <x v="4"/>
    <n v="2057"/>
    <x v="2"/>
    <x v="9"/>
    <x v="0"/>
    <n v="0"/>
    <n v="2"/>
    <n v="17"/>
    <n v="4"/>
    <n v="0"/>
    <n v="20"/>
    <n v="0"/>
    <n v="0"/>
    <n v="0"/>
    <n v="0"/>
    <n v="5"/>
    <n v="1"/>
    <n v="48"/>
    <n v="65"/>
    <n v="3"/>
    <n v="39"/>
    <n v="28"/>
    <n v="1"/>
    <n v="88"/>
    <n v="0"/>
    <n v="0"/>
    <n v="40"/>
    <n v="26"/>
    <n v="23"/>
  </r>
  <r>
    <x v="367"/>
    <x v="2"/>
    <x v="752"/>
    <n v="1990"/>
    <n v="28"/>
    <x v="13"/>
    <s v="England"/>
    <n v="30800000"/>
    <n v="27500000"/>
    <x v="2"/>
    <n v="32"/>
    <n v="1982"/>
    <x v="4"/>
    <n v="1740"/>
    <x v="6"/>
    <x v="3"/>
    <x v="1"/>
    <n v="11"/>
    <n v="6"/>
    <n v="16"/>
    <n v="1"/>
    <n v="0"/>
    <n v="6"/>
    <n v="0"/>
    <n v="0"/>
    <n v="0"/>
    <n v="1"/>
    <n v="6"/>
    <n v="15"/>
    <n v="0"/>
    <n v="38"/>
    <n v="3"/>
    <n v="30"/>
    <n v="26"/>
    <n v="0"/>
    <n v="46"/>
    <n v="0"/>
    <n v="0"/>
    <n v="13"/>
    <n v="25"/>
    <n v="21"/>
  </r>
  <r>
    <x v="367"/>
    <x v="1"/>
    <x v="753"/>
    <n v="1990"/>
    <n v="27"/>
    <x v="13"/>
    <s v="England"/>
    <n v="7200000"/>
    <n v="7200000"/>
    <x v="2"/>
    <n v="27"/>
    <n v="2172"/>
    <x v="4"/>
    <n v="2085"/>
    <x v="3"/>
    <x v="3"/>
    <x v="0"/>
    <n v="2"/>
    <n v="4"/>
    <n v="15"/>
    <n v="3"/>
    <n v="1"/>
    <n v="5"/>
    <n v="0"/>
    <n v="0"/>
    <n v="0"/>
    <n v="0"/>
    <n v="7"/>
    <n v="12"/>
    <n v="5"/>
    <n v="25"/>
    <n v="2"/>
    <n v="31"/>
    <n v="26"/>
    <n v="0"/>
    <n v="51"/>
    <n v="0"/>
    <n v="0"/>
    <n v="20"/>
    <n v="28"/>
    <n v="11"/>
  </r>
  <r>
    <x v="368"/>
    <x v="0"/>
    <x v="754"/>
    <n v="1993"/>
    <n v="22"/>
    <x v="15"/>
    <s v="France"/>
    <n v="5500000"/>
    <n v="11000000"/>
    <x v="2"/>
    <n v="25"/>
    <n v="1824"/>
    <x v="0"/>
    <n v="991"/>
    <x v="8"/>
    <x v="5"/>
    <x v="0"/>
    <n v="4"/>
    <n v="8"/>
    <n v="19"/>
    <n v="6"/>
    <n v="0"/>
    <n v="0"/>
    <n v="0"/>
    <n v="0"/>
    <n v="0"/>
    <n v="0"/>
    <n v="2"/>
    <n v="0"/>
    <n v="56"/>
    <n v="109"/>
    <n v="0"/>
    <n v="27"/>
    <n v="19"/>
    <n v="0"/>
    <n v="32"/>
    <n v="1"/>
    <n v="0"/>
    <n v="15"/>
    <n v="11"/>
    <n v="27"/>
  </r>
  <r>
    <x v="369"/>
    <x v="3"/>
    <x v="755"/>
    <n v="1992"/>
    <n v="24"/>
    <x v="0"/>
    <s v="Spain"/>
    <n v="2750000"/>
    <n v="2750000"/>
    <x v="1"/>
    <n v="17"/>
    <n v="1408"/>
    <x v="0"/>
    <n v="658"/>
    <x v="0"/>
    <x v="2"/>
    <x v="0"/>
    <n v="2"/>
    <n v="0"/>
    <n v="7"/>
    <n v="4"/>
    <n v="0"/>
    <n v="49"/>
    <n v="0"/>
    <n v="0"/>
    <n v="0"/>
    <n v="0"/>
    <n v="0"/>
    <n v="2"/>
    <n v="0"/>
    <n v="0"/>
    <n v="15"/>
    <n v="29"/>
    <n v="26"/>
    <n v="0"/>
    <n v="36"/>
    <n v="2"/>
    <n v="0"/>
    <n v="109"/>
    <n v="24"/>
    <n v="36"/>
  </r>
  <r>
    <x v="370"/>
    <x v="0"/>
    <x v="756"/>
    <n v="1995"/>
    <n v="19"/>
    <x v="13"/>
    <s v="England"/>
    <n v="11000000"/>
    <n v="8800000"/>
    <x v="2"/>
    <n v="27"/>
    <n v="1172"/>
    <x v="4"/>
    <n v="481"/>
    <x v="0"/>
    <x v="0"/>
    <x v="0"/>
    <n v="15"/>
    <n v="9"/>
    <n v="29"/>
    <n v="6"/>
    <n v="2"/>
    <n v="0"/>
    <n v="0"/>
    <n v="0"/>
    <n v="0"/>
    <n v="1"/>
    <n v="3"/>
    <n v="0"/>
    <n v="27"/>
    <n v="59"/>
    <n v="0"/>
    <n v="0"/>
    <n v="10"/>
    <n v="0"/>
    <n v="10"/>
    <n v="0"/>
    <n v="0"/>
    <n v="0"/>
    <n v="2"/>
    <n v="6"/>
  </r>
  <r>
    <x v="370"/>
    <x v="3"/>
    <x v="757"/>
    <n v="1995"/>
    <n v="20"/>
    <x v="14"/>
    <s v="England"/>
    <n v="9900000"/>
    <n v="8800000"/>
    <x v="2"/>
    <n v="25"/>
    <n v="1057"/>
    <x v="0"/>
    <n v="378"/>
    <x v="0"/>
    <x v="0"/>
    <x v="0"/>
    <n v="12"/>
    <n v="13"/>
    <n v="15"/>
    <n v="1"/>
    <n v="0"/>
    <n v="1"/>
    <n v="0"/>
    <n v="0"/>
    <n v="0"/>
    <n v="1"/>
    <n v="0"/>
    <n v="0"/>
    <n v="18"/>
    <n v="43"/>
    <n v="2"/>
    <n v="9"/>
    <n v="7"/>
    <n v="0"/>
    <n v="12"/>
    <n v="0"/>
    <n v="0"/>
    <n v="3"/>
    <n v="0"/>
    <n v="7"/>
  </r>
  <r>
    <x v="370"/>
    <x v="2"/>
    <x v="758"/>
    <n v="1995"/>
    <n v="22"/>
    <x v="14"/>
    <s v="England"/>
    <n v="8800000"/>
    <n v="9900000"/>
    <x v="2"/>
    <n v="19"/>
    <n v="796"/>
    <x v="4"/>
    <n v="250"/>
    <x v="3"/>
    <x v="3"/>
    <x v="0"/>
    <n v="10"/>
    <n v="7"/>
    <n v="9"/>
    <n v="3"/>
    <n v="1"/>
    <n v="1"/>
    <n v="0"/>
    <n v="0"/>
    <n v="0"/>
    <n v="0"/>
    <n v="2"/>
    <n v="6"/>
    <n v="6"/>
    <n v="27"/>
    <n v="0"/>
    <n v="4"/>
    <n v="8"/>
    <n v="0"/>
    <n v="6"/>
    <n v="0"/>
    <n v="0"/>
    <n v="4"/>
    <n v="2"/>
    <n v="6"/>
  </r>
  <r>
    <x v="370"/>
    <x v="1"/>
    <x v="759"/>
    <n v="1995"/>
    <n v="22"/>
    <x v="14"/>
    <s v="England"/>
    <n v="5500000"/>
    <n v="4000000"/>
    <x v="2"/>
    <n v="32"/>
    <n v="2000"/>
    <x v="5"/>
    <n v="695"/>
    <x v="1"/>
    <x v="3"/>
    <x v="0"/>
    <n v="10"/>
    <n v="14"/>
    <n v="54"/>
    <n v="17"/>
    <n v="2"/>
    <n v="4"/>
    <n v="0"/>
    <n v="0"/>
    <n v="0"/>
    <n v="2"/>
    <n v="5"/>
    <n v="37"/>
    <n v="57"/>
    <n v="109"/>
    <n v="0"/>
    <n v="10"/>
    <n v="10"/>
    <n v="0"/>
    <n v="14"/>
    <n v="0"/>
    <n v="0"/>
    <n v="9"/>
    <n v="4"/>
    <n v="15"/>
  </r>
  <r>
    <x v="371"/>
    <x v="0"/>
    <x v="760"/>
    <n v="1991"/>
    <n v="23"/>
    <x v="8"/>
    <s v="England"/>
    <n v="11000000"/>
    <n v="12100000"/>
    <x v="2"/>
    <n v="20"/>
    <n v="795"/>
    <x v="0"/>
    <n v="307"/>
    <x v="0"/>
    <x v="0"/>
    <x v="0"/>
    <n v="13"/>
    <n v="4"/>
    <n v="17"/>
    <n v="0"/>
    <n v="0"/>
    <n v="5"/>
    <n v="0"/>
    <n v="0"/>
    <n v="0"/>
    <n v="3"/>
    <n v="1"/>
    <n v="0"/>
    <n v="15"/>
    <n v="42"/>
    <n v="1"/>
    <n v="15"/>
    <n v="11"/>
    <n v="0"/>
    <n v="18"/>
    <n v="0"/>
    <n v="0"/>
    <n v="8"/>
    <n v="10"/>
    <n v="22"/>
  </r>
  <r>
    <x v="372"/>
    <x v="0"/>
    <x v="761"/>
    <n v="1991"/>
    <n v="24"/>
    <x v="27"/>
    <s v="Netherlands"/>
    <n v="12100000"/>
    <n v="11000000"/>
    <x v="2"/>
    <n v="22"/>
    <n v="1551"/>
    <x v="0"/>
    <n v="768"/>
    <x v="0"/>
    <x v="2"/>
    <x v="0"/>
    <n v="2"/>
    <n v="16"/>
    <n v="14"/>
    <n v="1"/>
    <n v="0"/>
    <n v="9"/>
    <n v="0"/>
    <n v="0"/>
    <n v="0"/>
    <n v="0"/>
    <n v="3"/>
    <n v="0"/>
    <n v="10"/>
    <n v="19"/>
    <n v="5"/>
    <n v="55"/>
    <n v="18"/>
    <n v="0"/>
    <n v="42"/>
    <n v="0"/>
    <n v="0"/>
    <n v="28"/>
    <n v="8"/>
    <n v="24"/>
  </r>
  <r>
    <x v="372"/>
    <x v="3"/>
    <x v="762"/>
    <n v="1991"/>
    <n v="25"/>
    <x v="27"/>
    <s v="Netherlands"/>
    <n v="55000000"/>
    <n v="71500000"/>
    <x v="2"/>
    <n v="16"/>
    <n v="1026"/>
    <x v="4"/>
    <n v="623"/>
    <x v="3"/>
    <x v="6"/>
    <x v="0"/>
    <n v="4"/>
    <n v="9"/>
    <n v="12"/>
    <n v="4"/>
    <n v="0"/>
    <n v="2"/>
    <n v="0"/>
    <n v="0"/>
    <n v="0"/>
    <n v="0"/>
    <n v="0"/>
    <n v="0"/>
    <n v="0"/>
    <n v="9"/>
    <n v="2"/>
    <n v="14"/>
    <n v="14"/>
    <n v="0"/>
    <n v="18"/>
    <n v="0"/>
    <n v="0"/>
    <n v="9"/>
    <n v="6"/>
    <n v="16"/>
  </r>
  <r>
    <x v="373"/>
    <x v="0"/>
    <x v="763"/>
    <n v="1992"/>
    <n v="22"/>
    <x v="15"/>
    <s v="Denmark"/>
    <n v="5000000"/>
    <n v="4000000"/>
    <x v="1"/>
    <n v="12"/>
    <n v="1080"/>
    <x v="0"/>
    <n v="330"/>
    <x v="0"/>
    <x v="3"/>
    <x v="0"/>
    <n v="0"/>
    <n v="0"/>
    <n v="0"/>
    <n v="0"/>
    <n v="0"/>
    <n v="31"/>
    <n v="0"/>
    <n v="0"/>
    <n v="0"/>
    <n v="0"/>
    <n v="0"/>
    <n v="0"/>
    <n v="0"/>
    <n v="0"/>
    <n v="8"/>
    <n v="28"/>
    <n v="8"/>
    <n v="0"/>
    <n v="37"/>
    <n v="0"/>
    <n v="0"/>
    <n v="83"/>
    <n v="18"/>
    <n v="16"/>
  </r>
  <r>
    <x v="374"/>
    <x v="2"/>
    <x v="764"/>
    <n v="1991"/>
    <n v="26"/>
    <x v="1"/>
    <s v="Italy"/>
    <n v="6300000"/>
    <n v="3150000"/>
    <x v="2"/>
    <n v="37"/>
    <n v="3165"/>
    <x v="5"/>
    <n v="3118"/>
    <x v="0"/>
    <x v="9"/>
    <x v="0"/>
    <n v="0"/>
    <n v="9"/>
    <n v="19"/>
    <n v="7"/>
    <n v="0"/>
    <n v="21"/>
    <n v="0"/>
    <n v="0"/>
    <n v="0"/>
    <n v="0"/>
    <n v="34"/>
    <n v="12"/>
    <n v="0"/>
    <n v="2"/>
    <n v="7"/>
    <n v="63"/>
    <n v="33"/>
    <n v="0"/>
    <n v="76"/>
    <n v="0"/>
    <n v="0"/>
    <n v="35"/>
    <n v="13"/>
    <n v="21"/>
  </r>
  <r>
    <x v="375"/>
    <x v="3"/>
    <x v="765"/>
    <n v="1983"/>
    <n v="32"/>
    <x v="27"/>
    <s v="Portugal"/>
    <n v="4500000"/>
    <n v="6300000"/>
    <x v="1"/>
    <n v="33"/>
    <n v="2845"/>
    <x v="0"/>
    <n v="1604"/>
    <x v="0"/>
    <x v="5"/>
    <x v="0"/>
    <n v="0"/>
    <n v="1"/>
    <n v="17"/>
    <n v="3"/>
    <n v="0"/>
    <n v="101"/>
    <n v="0"/>
    <n v="0"/>
    <n v="0"/>
    <n v="0"/>
    <n v="0"/>
    <n v="0"/>
    <n v="0"/>
    <n v="5"/>
    <n v="23"/>
    <n v="70"/>
    <n v="27"/>
    <n v="0"/>
    <n v="47"/>
    <n v="1"/>
    <n v="0"/>
    <n v="187"/>
    <n v="79"/>
    <n v="45"/>
  </r>
  <r>
    <x v="375"/>
    <x v="0"/>
    <x v="766"/>
    <n v="1983"/>
    <n v="31"/>
    <x v="27"/>
    <s v="Portugal"/>
    <n v="4500000"/>
    <n v="4500000"/>
    <x v="1"/>
    <n v="27"/>
    <n v="2025"/>
    <x v="0"/>
    <n v="956"/>
    <x v="0"/>
    <x v="6"/>
    <x v="0"/>
    <n v="0"/>
    <n v="20"/>
    <n v="35"/>
    <n v="10"/>
    <n v="2"/>
    <n v="3"/>
    <n v="0"/>
    <n v="0"/>
    <n v="0"/>
    <n v="1"/>
    <n v="3"/>
    <n v="0"/>
    <n v="29"/>
    <n v="69"/>
    <n v="1"/>
    <n v="22"/>
    <n v="12"/>
    <n v="0"/>
    <n v="37"/>
    <n v="0"/>
    <n v="0"/>
    <n v="7"/>
    <n v="3"/>
    <n v="17"/>
  </r>
  <r>
    <x v="376"/>
    <x v="0"/>
    <x v="767"/>
    <n v="1984"/>
    <n v="31"/>
    <x v="9"/>
    <s v="Greece"/>
    <n v="1800000"/>
    <n v="1800000"/>
    <x v="1"/>
    <n v="37"/>
    <n v="3168"/>
    <x v="5"/>
    <n v="1622"/>
    <x v="0"/>
    <x v="5"/>
    <x v="1"/>
    <n v="0"/>
    <n v="3"/>
    <n v="20"/>
    <n v="8"/>
    <n v="0"/>
    <n v="90"/>
    <n v="2"/>
    <n v="0"/>
    <n v="0"/>
    <n v="1"/>
    <n v="0"/>
    <n v="2"/>
    <n v="0"/>
    <n v="9"/>
    <n v="32"/>
    <n v="81"/>
    <n v="21"/>
    <n v="0"/>
    <n v="53"/>
    <n v="0"/>
    <n v="0"/>
    <n v="224"/>
    <n v="91"/>
    <n v="42"/>
  </r>
  <r>
    <x v="376"/>
    <x v="3"/>
    <x v="768"/>
    <n v="1984"/>
    <n v="32"/>
    <x v="9"/>
    <s v="Greece"/>
    <n v="1800000"/>
    <n v="1800000"/>
    <x v="1"/>
    <n v="33"/>
    <n v="2909"/>
    <x v="5"/>
    <n v="1158"/>
    <x v="2"/>
    <x v="13"/>
    <x v="0"/>
    <n v="0"/>
    <n v="5"/>
    <n v="28"/>
    <n v="7"/>
    <n v="0"/>
    <n v="65"/>
    <n v="0"/>
    <n v="0"/>
    <n v="0"/>
    <n v="1"/>
    <n v="0"/>
    <n v="0"/>
    <n v="56"/>
    <n v="164"/>
    <n v="10"/>
    <n v="55"/>
    <n v="43"/>
    <n v="0"/>
    <n v="62"/>
    <n v="2"/>
    <n v="0"/>
    <n v="114"/>
    <n v="47"/>
    <n v="28"/>
  </r>
  <r>
    <x v="376"/>
    <x v="2"/>
    <x v="769"/>
    <n v="1984"/>
    <n v="34"/>
    <x v="9"/>
    <s v="Greece"/>
    <n v="1800000"/>
    <n v="1800000"/>
    <x v="1"/>
    <n v="28"/>
    <n v="2394"/>
    <x v="7"/>
    <n v="833"/>
    <x v="1"/>
    <x v="0"/>
    <x v="1"/>
    <n v="1"/>
    <n v="1"/>
    <n v="17"/>
    <n v="5"/>
    <n v="1"/>
    <n v="46"/>
    <n v="0"/>
    <n v="0"/>
    <n v="0"/>
    <n v="2"/>
    <n v="0"/>
    <n v="12"/>
    <n v="115"/>
    <n v="209"/>
    <n v="8"/>
    <n v="21"/>
    <n v="34"/>
    <n v="1"/>
    <n v="68"/>
    <n v="0"/>
    <n v="0"/>
    <n v="79"/>
    <n v="62"/>
    <n v="41"/>
  </r>
  <r>
    <x v="376"/>
    <x v="1"/>
    <x v="770"/>
    <n v="1984"/>
    <n v="33"/>
    <x v="9"/>
    <s v="Greece"/>
    <n v="1800000"/>
    <n v="1800000"/>
    <x v="1"/>
    <n v="28"/>
    <n v="2381"/>
    <x v="0"/>
    <n v="958"/>
    <x v="2"/>
    <x v="1"/>
    <x v="0"/>
    <n v="2"/>
    <n v="2"/>
    <n v="17"/>
    <n v="3"/>
    <n v="0"/>
    <n v="43"/>
    <n v="0"/>
    <n v="0"/>
    <n v="0"/>
    <n v="0"/>
    <n v="0"/>
    <n v="14"/>
    <n v="92"/>
    <n v="210"/>
    <n v="8"/>
    <n v="29"/>
    <n v="37"/>
    <n v="0"/>
    <n v="51"/>
    <n v="1"/>
    <n v="0"/>
    <n v="81"/>
    <n v="45"/>
    <n v="35"/>
  </r>
  <r>
    <x v="377"/>
    <x v="1"/>
    <x v="771"/>
    <n v="1992"/>
    <n v="25"/>
    <x v="23"/>
    <s v="Colombia"/>
    <n v="9000000"/>
    <n v="12600000"/>
    <x v="0"/>
    <n v="32"/>
    <n v="1987"/>
    <x v="2"/>
    <n v="523"/>
    <x v="6"/>
    <x v="4"/>
    <x v="0"/>
    <n v="9"/>
    <n v="12"/>
    <n v="52"/>
    <n v="16"/>
    <n v="0"/>
    <n v="9"/>
    <n v="0"/>
    <n v="0"/>
    <n v="0"/>
    <n v="14"/>
    <n v="0"/>
    <n v="36"/>
    <n v="0"/>
    <n v="23"/>
    <n v="0"/>
    <n v="16"/>
    <n v="20"/>
    <n v="0"/>
    <n v="23"/>
    <n v="0"/>
    <n v="0"/>
    <n v="25"/>
    <n v="15"/>
    <n v="31"/>
  </r>
  <r>
    <x v="377"/>
    <x v="2"/>
    <x v="772"/>
    <n v="1992"/>
    <n v="26"/>
    <x v="23"/>
    <s v="Colombia"/>
    <n v="12600000"/>
    <n v="9000000"/>
    <x v="0"/>
    <n v="15"/>
    <n v="794"/>
    <x v="0"/>
    <n v="205"/>
    <x v="3"/>
    <x v="0"/>
    <x v="0"/>
    <n v="6"/>
    <n v="5"/>
    <n v="15"/>
    <n v="3"/>
    <n v="0"/>
    <n v="2"/>
    <n v="0"/>
    <n v="0"/>
    <n v="0"/>
    <n v="4"/>
    <n v="0"/>
    <n v="12"/>
    <n v="0"/>
    <n v="6"/>
    <n v="1"/>
    <n v="5"/>
    <n v="6"/>
    <n v="0"/>
    <n v="15"/>
    <n v="0"/>
    <n v="0"/>
    <n v="7"/>
    <n v="3"/>
    <n v="15"/>
  </r>
  <r>
    <x v="378"/>
    <x v="0"/>
    <x v="773"/>
    <n v="1986"/>
    <n v="29"/>
    <x v="9"/>
    <s v="Spain"/>
    <n v="8000000"/>
    <n v="10000000"/>
    <x v="2"/>
    <n v="11"/>
    <n v="945"/>
    <x v="0"/>
    <n v="413"/>
    <x v="0"/>
    <x v="4"/>
    <x v="0"/>
    <n v="0"/>
    <n v="1"/>
    <n v="13"/>
    <n v="1"/>
    <n v="0"/>
    <n v="16"/>
    <n v="0"/>
    <n v="0"/>
    <n v="0"/>
    <n v="0"/>
    <n v="0"/>
    <n v="0"/>
    <n v="2"/>
    <n v="26"/>
    <n v="1"/>
    <n v="30"/>
    <n v="8"/>
    <n v="0"/>
    <n v="25"/>
    <n v="0"/>
    <n v="0"/>
    <n v="34"/>
    <n v="24"/>
    <n v="8"/>
  </r>
  <r>
    <x v="379"/>
    <x v="0"/>
    <x v="774"/>
    <n v="1990"/>
    <n v="25"/>
    <x v="25"/>
    <s v="Spain"/>
    <n v="5400000"/>
    <n v="5400000"/>
    <x v="0"/>
    <n v="22"/>
    <n v="1090"/>
    <x v="6"/>
    <n v="379"/>
    <x v="3"/>
    <x v="0"/>
    <x v="0"/>
    <n v="12"/>
    <n v="4"/>
    <n v="29"/>
    <n v="16"/>
    <n v="0"/>
    <n v="3"/>
    <n v="1"/>
    <n v="0"/>
    <n v="0"/>
    <n v="8"/>
    <n v="1"/>
    <n v="6"/>
    <n v="1"/>
    <n v="14"/>
    <n v="1"/>
    <n v="6"/>
    <n v="19"/>
    <n v="0"/>
    <n v="14"/>
    <n v="0"/>
    <n v="0"/>
    <n v="11"/>
    <n v="57"/>
    <n v="39"/>
  </r>
  <r>
    <x v="379"/>
    <x v="1"/>
    <x v="775"/>
    <n v="1990"/>
    <n v="27"/>
    <x v="20"/>
    <s v="Spain"/>
    <n v="5400000"/>
    <n v="3150000"/>
    <x v="0"/>
    <n v="30"/>
    <n v="1716"/>
    <x v="6"/>
    <n v="593"/>
    <x v="3"/>
    <x v="4"/>
    <x v="0"/>
    <n v="11"/>
    <n v="15"/>
    <n v="47"/>
    <n v="17"/>
    <n v="1"/>
    <n v="24"/>
    <n v="0"/>
    <n v="0"/>
    <n v="0"/>
    <n v="3"/>
    <n v="1"/>
    <n v="30"/>
    <n v="0"/>
    <n v="6"/>
    <n v="2"/>
    <n v="11"/>
    <n v="30"/>
    <n v="0"/>
    <n v="22"/>
    <n v="0"/>
    <n v="0"/>
    <n v="35"/>
    <n v="145"/>
    <n v="122"/>
  </r>
  <r>
    <x v="379"/>
    <x v="2"/>
    <x v="776"/>
    <n v="1990"/>
    <n v="28"/>
    <x v="20"/>
    <s v="Spain"/>
    <n v="3150000"/>
    <n v="3600000"/>
    <x v="0"/>
    <n v="16"/>
    <n v="587"/>
    <x v="5"/>
    <n v="208"/>
    <x v="0"/>
    <x v="3"/>
    <x v="0"/>
    <n v="11"/>
    <n v="1"/>
    <n v="17"/>
    <n v="5"/>
    <n v="1"/>
    <n v="10"/>
    <n v="2"/>
    <n v="0"/>
    <n v="0"/>
    <n v="4"/>
    <n v="1"/>
    <n v="12"/>
    <n v="0"/>
    <n v="3"/>
    <n v="0"/>
    <n v="3"/>
    <n v="5"/>
    <n v="0"/>
    <n v="14"/>
    <n v="0"/>
    <n v="0"/>
    <n v="14"/>
    <n v="44"/>
    <n v="39"/>
  </r>
  <r>
    <x v="380"/>
    <x v="2"/>
    <x v="777"/>
    <n v="1997"/>
    <n v="21"/>
    <x v="13"/>
    <s v="England"/>
    <n v="19800000"/>
    <n v="31500000"/>
    <x v="1"/>
    <n v="16"/>
    <n v="1060"/>
    <x v="0"/>
    <n v="787"/>
    <x v="0"/>
    <x v="4"/>
    <x v="0"/>
    <n v="4"/>
    <n v="1"/>
    <n v="5"/>
    <n v="1"/>
    <n v="0"/>
    <n v="17"/>
    <n v="0"/>
    <n v="0"/>
    <n v="0"/>
    <n v="0"/>
    <n v="0"/>
    <n v="4"/>
    <n v="0"/>
    <n v="7"/>
    <n v="5"/>
    <n v="14"/>
    <n v="12"/>
    <n v="0"/>
    <n v="17"/>
    <n v="0"/>
    <n v="0"/>
    <n v="39"/>
    <n v="24"/>
    <n v="19"/>
  </r>
  <r>
    <x v="380"/>
    <x v="1"/>
    <x v="778"/>
    <n v="1997"/>
    <n v="20"/>
    <x v="17"/>
    <s v="England"/>
    <n v="3600000"/>
    <n v="19800000"/>
    <x v="1"/>
    <n v="23"/>
    <n v="1901"/>
    <x v="0"/>
    <n v="1337"/>
    <x v="5"/>
    <x v="6"/>
    <x v="0"/>
    <n v="2"/>
    <n v="0"/>
    <n v="0"/>
    <n v="0"/>
    <n v="0"/>
    <n v="26"/>
    <n v="0"/>
    <n v="0"/>
    <n v="0"/>
    <n v="0"/>
    <n v="0"/>
    <n v="0"/>
    <n v="0"/>
    <n v="45"/>
    <n v="8"/>
    <n v="34"/>
    <n v="15"/>
    <n v="1"/>
    <n v="58"/>
    <n v="0"/>
    <n v="0"/>
    <n v="48"/>
    <n v="0"/>
    <n v="31"/>
  </r>
  <r>
    <x v="381"/>
    <x v="2"/>
    <x v="779"/>
    <n v="1995"/>
    <n v="23"/>
    <x v="24"/>
    <s v="England"/>
    <n v="2200000"/>
    <n v="2200000"/>
    <x v="2"/>
    <n v="29"/>
    <n v="1822"/>
    <x v="7"/>
    <n v="308"/>
    <x v="5"/>
    <x v="4"/>
    <x v="0"/>
    <n v="7"/>
    <n v="15"/>
    <n v="46"/>
    <n v="15"/>
    <n v="2"/>
    <n v="0"/>
    <n v="0"/>
    <n v="0"/>
    <n v="0"/>
    <n v="10"/>
    <n v="4"/>
    <n v="31"/>
    <n v="12"/>
    <n v="74"/>
    <n v="0"/>
    <n v="11"/>
    <n v="14"/>
    <n v="0"/>
    <n v="26"/>
    <n v="0"/>
    <n v="0"/>
    <n v="8"/>
    <n v="11"/>
    <n v="33"/>
  </r>
  <r>
    <x v="382"/>
    <x v="0"/>
    <x v="780"/>
    <n v="1992"/>
    <n v="23"/>
    <x v="14"/>
    <s v="Norway"/>
    <n v="1100000"/>
    <n v="3600000"/>
    <x v="0"/>
    <n v="21"/>
    <n v="1924"/>
    <x v="14"/>
    <n v="444"/>
    <x v="5"/>
    <x v="3"/>
    <x v="0"/>
    <n v="7"/>
    <n v="18"/>
    <n v="54"/>
    <n v="20"/>
    <n v="1"/>
    <n v="9"/>
    <n v="0"/>
    <n v="0"/>
    <n v="0"/>
    <n v="16"/>
    <n v="2"/>
    <n v="2"/>
    <n v="1"/>
    <n v="24"/>
    <n v="1"/>
    <n v="9"/>
    <n v="37"/>
    <n v="0"/>
    <n v="29"/>
    <n v="0"/>
    <n v="0"/>
    <n v="12"/>
    <n v="30"/>
    <n v="51"/>
  </r>
  <r>
    <x v="382"/>
    <x v="3"/>
    <x v="781"/>
    <n v="1992"/>
    <n v="24"/>
    <x v="14"/>
    <s v="Norway"/>
    <n v="3600000"/>
    <n v="7200000"/>
    <x v="0"/>
    <n v="36"/>
    <n v="2719"/>
    <x v="19"/>
    <n v="715"/>
    <x v="5"/>
    <x v="3"/>
    <x v="0"/>
    <n v="5"/>
    <n v="13"/>
    <n v="67"/>
    <n v="31"/>
    <n v="2"/>
    <n v="25"/>
    <n v="0"/>
    <n v="2"/>
    <n v="0"/>
    <n v="5"/>
    <n v="2"/>
    <n v="4"/>
    <n v="4"/>
    <n v="42"/>
    <n v="6"/>
    <n v="19"/>
    <n v="58"/>
    <n v="0"/>
    <n v="49"/>
    <n v="0"/>
    <n v="0"/>
    <n v="39"/>
    <n v="39"/>
    <n v="69"/>
  </r>
  <r>
    <x v="382"/>
    <x v="1"/>
    <x v="782"/>
    <n v="1992"/>
    <n v="25"/>
    <x v="14"/>
    <s v="Norway"/>
    <n v="7200000"/>
    <n v="9000000"/>
    <x v="0"/>
    <n v="33"/>
    <n v="2453"/>
    <x v="9"/>
    <n v="689"/>
    <x v="6"/>
    <x v="6"/>
    <x v="0"/>
    <n v="6"/>
    <n v="9"/>
    <n v="51"/>
    <n v="21"/>
    <n v="1"/>
    <n v="9"/>
    <n v="0"/>
    <n v="2"/>
    <n v="0"/>
    <n v="4"/>
    <n v="5"/>
    <n v="30"/>
    <n v="0"/>
    <n v="34"/>
    <n v="3"/>
    <n v="4"/>
    <n v="45"/>
    <n v="0"/>
    <n v="36"/>
    <n v="0"/>
    <n v="0"/>
    <n v="14"/>
    <n v="68"/>
    <n v="82"/>
  </r>
  <r>
    <x v="382"/>
    <x v="2"/>
    <x v="783"/>
    <n v="1992"/>
    <n v="26"/>
    <x v="14"/>
    <s v="Norway"/>
    <n v="9000000"/>
    <n v="18000000"/>
    <x v="0"/>
    <n v="35"/>
    <n v="2970"/>
    <x v="13"/>
    <n v="802"/>
    <x v="6"/>
    <x v="6"/>
    <x v="0"/>
    <n v="1"/>
    <n v="14"/>
    <n v="72"/>
    <n v="23"/>
    <n v="1"/>
    <n v="9"/>
    <n v="1"/>
    <n v="5"/>
    <n v="0"/>
    <n v="7"/>
    <n v="11"/>
    <n v="49"/>
    <n v="1"/>
    <n v="43"/>
    <n v="5"/>
    <n v="7"/>
    <n v="53"/>
    <n v="0"/>
    <n v="30"/>
    <n v="0"/>
    <n v="0"/>
    <n v="13"/>
    <n v="89"/>
    <n v="119"/>
  </r>
  <r>
    <x v="383"/>
    <x v="3"/>
    <x v="784"/>
    <n v="1985"/>
    <n v="31"/>
    <x v="9"/>
    <s v="Colombia"/>
    <n v="1100000"/>
    <n v="1650000"/>
    <x v="1"/>
    <n v="21"/>
    <n v="813"/>
    <x v="4"/>
    <n v="358"/>
    <x v="0"/>
    <x v="0"/>
    <x v="0"/>
    <n v="15"/>
    <n v="5"/>
    <n v="6"/>
    <n v="1"/>
    <n v="0"/>
    <n v="6"/>
    <n v="0"/>
    <n v="0"/>
    <n v="0"/>
    <n v="0"/>
    <n v="2"/>
    <n v="0"/>
    <n v="0"/>
    <n v="11"/>
    <n v="0"/>
    <n v="18"/>
    <n v="5"/>
    <n v="0"/>
    <n v="19"/>
    <n v="0"/>
    <n v="0"/>
    <n v="22"/>
    <n v="10"/>
    <n v="7"/>
  </r>
  <r>
    <x v="384"/>
    <x v="0"/>
    <x v="785"/>
    <n v="1987"/>
    <n v="28"/>
    <x v="9"/>
    <s v="Ecuador"/>
    <n v="34100000"/>
    <n v="33000000"/>
    <x v="2"/>
    <n v="17"/>
    <n v="766"/>
    <x v="0"/>
    <n v="264"/>
    <x v="0"/>
    <x v="3"/>
    <x v="0"/>
    <n v="10"/>
    <n v="4"/>
    <n v="5"/>
    <n v="1"/>
    <n v="0"/>
    <n v="5"/>
    <n v="0"/>
    <n v="0"/>
    <n v="0"/>
    <n v="0"/>
    <n v="0"/>
    <n v="0"/>
    <n v="0"/>
    <n v="29"/>
    <n v="1"/>
    <n v="16"/>
    <n v="10"/>
    <n v="0"/>
    <n v="15"/>
    <n v="0"/>
    <n v="0"/>
    <n v="13"/>
    <n v="2"/>
    <n v="3"/>
  </r>
  <r>
    <x v="385"/>
    <x v="2"/>
    <x v="786"/>
    <n v="1998"/>
    <n v="20"/>
    <x v="26"/>
    <s v="Argentina"/>
    <n v="4500000"/>
    <n v="13500000"/>
    <x v="1"/>
    <n v="12"/>
    <n v="890"/>
    <x v="4"/>
    <n v="586"/>
    <x v="0"/>
    <x v="6"/>
    <x v="1"/>
    <n v="2"/>
    <n v="1"/>
    <n v="4"/>
    <n v="1"/>
    <n v="0"/>
    <n v="27"/>
    <n v="1"/>
    <n v="0"/>
    <n v="0"/>
    <n v="0"/>
    <n v="1"/>
    <n v="3"/>
    <n v="0"/>
    <n v="2"/>
    <n v="5"/>
    <n v="10"/>
    <n v="16"/>
    <n v="1"/>
    <n v="31"/>
    <n v="1"/>
    <n v="0"/>
    <n v="48"/>
    <n v="25"/>
    <n v="19"/>
  </r>
  <r>
    <x v="386"/>
    <x v="0"/>
    <x v="787"/>
    <n v="1988"/>
    <n v="27"/>
    <x v="22"/>
    <s v="Spain"/>
    <n v="31400000"/>
    <n v="27900000"/>
    <x v="0"/>
    <n v="38"/>
    <n v="2898"/>
    <x v="14"/>
    <n v="1803"/>
    <x v="8"/>
    <x v="5"/>
    <x v="1"/>
    <n v="4"/>
    <n v="15"/>
    <n v="57"/>
    <n v="22"/>
    <n v="1"/>
    <n v="3"/>
    <n v="0"/>
    <n v="1"/>
    <n v="1"/>
    <n v="9"/>
    <n v="7"/>
    <n v="0"/>
    <n v="49"/>
    <n v="98"/>
    <n v="0"/>
    <n v="23"/>
    <n v="22"/>
    <n v="0"/>
    <n v="30"/>
    <n v="0"/>
    <n v="0"/>
    <n v="19"/>
    <n v="4"/>
    <n v="14"/>
  </r>
  <r>
    <x v="386"/>
    <x v="3"/>
    <x v="788"/>
    <n v="1988"/>
    <n v="28"/>
    <x v="22"/>
    <s v="Spain"/>
    <n v="33000000"/>
    <n v="33000000"/>
    <x v="2"/>
    <n v="25"/>
    <n v="1628"/>
    <x v="14"/>
    <n v="990"/>
    <x v="6"/>
    <x v="6"/>
    <x v="0"/>
    <n v="6"/>
    <n v="18"/>
    <n v="40"/>
    <n v="21"/>
    <n v="0"/>
    <n v="0"/>
    <n v="0"/>
    <n v="0"/>
    <n v="0"/>
    <n v="9"/>
    <n v="6"/>
    <n v="5"/>
    <n v="49"/>
    <n v="93"/>
    <n v="0"/>
    <n v="12"/>
    <n v="10"/>
    <n v="0"/>
    <n v="22"/>
    <n v="0"/>
    <n v="0"/>
    <n v="8"/>
    <n v="4"/>
    <n v="6"/>
  </r>
  <r>
    <x v="386"/>
    <x v="1"/>
    <x v="789"/>
    <n v="1988"/>
    <n v="29"/>
    <x v="22"/>
    <s v="Spain"/>
    <n v="33000000"/>
    <n v="22000000"/>
    <x v="2"/>
    <n v="28"/>
    <n v="1930"/>
    <x v="7"/>
    <n v="1215"/>
    <x v="8"/>
    <x v="3"/>
    <x v="0"/>
    <n v="5"/>
    <n v="16"/>
    <n v="28"/>
    <n v="10"/>
    <n v="2"/>
    <n v="0"/>
    <n v="0"/>
    <n v="0"/>
    <n v="1"/>
    <n v="18"/>
    <n v="4"/>
    <n v="18"/>
    <n v="54"/>
    <n v="111"/>
    <n v="0"/>
    <n v="15"/>
    <n v="12"/>
    <n v="0"/>
    <n v="18"/>
    <n v="1"/>
    <n v="0"/>
    <n v="7"/>
    <n v="3"/>
    <n v="8"/>
  </r>
  <r>
    <x v="386"/>
    <x v="2"/>
    <x v="790"/>
    <n v="1988"/>
    <n v="30"/>
    <x v="22"/>
    <s v="Spain"/>
    <n v="6300000"/>
    <n v="4500000"/>
    <x v="2"/>
    <n v="22"/>
    <n v="1293"/>
    <x v="7"/>
    <n v="700"/>
    <x v="5"/>
    <x v="6"/>
    <x v="0"/>
    <n v="6"/>
    <n v="11"/>
    <n v="19"/>
    <n v="6"/>
    <n v="0"/>
    <n v="0"/>
    <n v="0"/>
    <n v="0"/>
    <n v="1"/>
    <n v="8"/>
    <n v="6"/>
    <n v="13"/>
    <n v="35"/>
    <n v="67"/>
    <n v="1"/>
    <n v="6"/>
    <n v="10"/>
    <n v="0"/>
    <n v="9"/>
    <n v="0"/>
    <n v="0"/>
    <n v="5"/>
    <n v="2"/>
    <n v="6"/>
  </r>
  <r>
    <x v="387"/>
    <x v="0"/>
    <x v="791"/>
    <n v="1993"/>
    <n v="22"/>
    <x v="27"/>
    <s v="Spain"/>
    <n v="1100000"/>
    <n v="4400000"/>
    <x v="2"/>
    <n v="12"/>
    <n v="161"/>
    <x v="0"/>
    <n v="48"/>
    <x v="0"/>
    <x v="0"/>
    <x v="0"/>
    <n v="12"/>
    <n v="0"/>
    <n v="5"/>
    <n v="1"/>
    <n v="0"/>
    <n v="0"/>
    <n v="0"/>
    <n v="0"/>
    <n v="0"/>
    <n v="1"/>
    <n v="1"/>
    <n v="0"/>
    <n v="0"/>
    <n v="2"/>
    <n v="1"/>
    <n v="0"/>
    <n v="0"/>
    <n v="0"/>
    <n v="0"/>
    <n v="0"/>
    <n v="0"/>
    <n v="0"/>
    <n v="0"/>
    <n v="4"/>
  </r>
  <r>
    <x v="388"/>
    <x v="2"/>
    <x v="792"/>
    <n v="1997"/>
    <n v="20"/>
    <x v="6"/>
    <s v="Curacao"/>
    <n v="1650000"/>
    <n v="3150000"/>
    <x v="0"/>
    <n v="21"/>
    <n v="1415"/>
    <x v="4"/>
    <n v="715"/>
    <x v="0"/>
    <x v="5"/>
    <x v="0"/>
    <n v="5"/>
    <n v="7"/>
    <n v="19"/>
    <n v="8"/>
    <n v="1"/>
    <n v="1"/>
    <n v="1"/>
    <n v="0"/>
    <n v="0"/>
    <n v="1"/>
    <n v="6"/>
    <n v="11"/>
    <n v="16"/>
    <n v="34"/>
    <n v="1"/>
    <n v="23"/>
    <n v="33"/>
    <n v="0"/>
    <n v="46"/>
    <n v="1"/>
    <n v="0"/>
    <n v="11"/>
    <n v="17"/>
    <n v="22"/>
  </r>
  <r>
    <x v="389"/>
    <x v="0"/>
    <x v="793"/>
    <n v="1989"/>
    <n v="25"/>
    <x v="14"/>
    <s v="England"/>
    <n v="4400000"/>
    <n v="4950000"/>
    <x v="2"/>
    <n v="21"/>
    <n v="1440"/>
    <x v="7"/>
    <n v="662"/>
    <x v="5"/>
    <x v="3"/>
    <x v="0"/>
    <n v="4"/>
    <n v="9"/>
    <n v="44"/>
    <n v="10"/>
    <n v="2"/>
    <n v="2"/>
    <n v="0"/>
    <n v="0"/>
    <n v="0"/>
    <n v="3"/>
    <n v="4"/>
    <n v="2"/>
    <n v="45"/>
    <n v="96"/>
    <n v="1"/>
    <n v="18"/>
    <n v="11"/>
    <n v="0"/>
    <n v="29"/>
    <n v="0"/>
    <n v="0"/>
    <n v="11"/>
    <n v="14"/>
    <n v="29"/>
  </r>
  <r>
    <x v="389"/>
    <x v="3"/>
    <x v="794"/>
    <n v="1989"/>
    <n v="26"/>
    <x v="14"/>
    <s v="England"/>
    <n v="4950000"/>
    <n v="4950000"/>
    <x v="2"/>
    <n v="21"/>
    <n v="1476"/>
    <x v="8"/>
    <n v="615"/>
    <x v="8"/>
    <x v="3"/>
    <x v="0"/>
    <n v="3"/>
    <n v="12"/>
    <n v="42"/>
    <n v="18"/>
    <n v="3"/>
    <n v="5"/>
    <n v="0"/>
    <n v="2"/>
    <n v="0"/>
    <n v="5"/>
    <n v="7"/>
    <n v="1"/>
    <n v="30"/>
    <n v="70"/>
    <n v="4"/>
    <n v="8"/>
    <n v="8"/>
    <n v="0"/>
    <n v="14"/>
    <n v="0"/>
    <n v="0"/>
    <n v="14"/>
    <n v="15"/>
    <n v="34"/>
  </r>
  <r>
    <x v="389"/>
    <x v="2"/>
    <x v="795"/>
    <n v="1989"/>
    <n v="28"/>
    <x v="14"/>
    <s v="England"/>
    <n v="4950000"/>
    <n v="4950000"/>
    <x v="2"/>
    <n v="23"/>
    <n v="1025"/>
    <x v="5"/>
    <n v="496"/>
    <x v="6"/>
    <x v="0"/>
    <x v="0"/>
    <n v="12"/>
    <n v="8"/>
    <n v="34"/>
    <n v="10"/>
    <n v="0"/>
    <n v="8"/>
    <n v="0"/>
    <n v="0"/>
    <n v="0"/>
    <n v="3"/>
    <n v="4"/>
    <n v="24"/>
    <n v="26"/>
    <n v="37"/>
    <n v="1"/>
    <n v="2"/>
    <n v="6"/>
    <n v="0"/>
    <n v="12"/>
    <n v="0"/>
    <n v="0"/>
    <n v="15"/>
    <n v="10"/>
    <n v="13"/>
  </r>
  <r>
    <x v="389"/>
    <x v="1"/>
    <x v="796"/>
    <n v="1989"/>
    <n v="28"/>
    <x v="14"/>
    <s v="England"/>
    <n v="350000"/>
    <n v="750000"/>
    <x v="2"/>
    <n v="19"/>
    <n v="1296"/>
    <x v="2"/>
    <n v="489"/>
    <x v="5"/>
    <x v="3"/>
    <x v="0"/>
    <n v="2"/>
    <n v="12"/>
    <n v="45"/>
    <n v="20"/>
    <n v="1"/>
    <n v="4"/>
    <n v="0"/>
    <n v="1"/>
    <n v="1"/>
    <n v="0"/>
    <n v="4"/>
    <n v="25"/>
    <n v="38"/>
    <n v="71"/>
    <n v="6"/>
    <n v="6"/>
    <n v="6"/>
    <n v="0"/>
    <n v="16"/>
    <n v="0"/>
    <n v="0"/>
    <n v="11"/>
    <n v="10"/>
    <n v="25"/>
  </r>
  <r>
    <x v="390"/>
    <x v="2"/>
    <x v="797"/>
    <n v="1993"/>
    <n v="25"/>
    <x v="24"/>
    <s v="England"/>
    <n v="4050000"/>
    <n v="6300000"/>
    <x v="2"/>
    <n v="13"/>
    <n v="366"/>
    <x v="4"/>
    <n v="88"/>
    <x v="0"/>
    <x v="3"/>
    <x v="0"/>
    <n v="10"/>
    <n v="1"/>
    <n v="5"/>
    <n v="3"/>
    <n v="1"/>
    <n v="1"/>
    <n v="0"/>
    <n v="0"/>
    <n v="0"/>
    <n v="1"/>
    <n v="0"/>
    <n v="2"/>
    <n v="0"/>
    <n v="15"/>
    <n v="0"/>
    <n v="3"/>
    <n v="4"/>
    <n v="0"/>
    <n v="12"/>
    <n v="0"/>
    <n v="0"/>
    <n v="4"/>
    <n v="3"/>
    <n v="9"/>
  </r>
  <r>
    <x v="391"/>
    <x v="3"/>
    <x v="798"/>
    <n v="1988"/>
    <n v="28"/>
    <x v="10"/>
    <s v="Poland"/>
    <n v="1800000"/>
    <n v="3150000"/>
    <x v="2"/>
    <n v="15"/>
    <n v="916"/>
    <x v="0"/>
    <n v="251"/>
    <x v="2"/>
    <x v="3"/>
    <x v="0"/>
    <n v="3"/>
    <n v="3"/>
    <n v="24"/>
    <n v="7"/>
    <n v="1"/>
    <n v="3"/>
    <n v="0"/>
    <n v="0"/>
    <n v="0"/>
    <n v="6"/>
    <n v="0"/>
    <n v="1"/>
    <n v="44"/>
    <n v="84"/>
    <n v="0"/>
    <n v="8"/>
    <n v="12"/>
    <n v="0"/>
    <n v="4"/>
    <n v="0"/>
    <n v="0"/>
    <n v="6"/>
    <n v="1"/>
    <n v="11"/>
  </r>
  <r>
    <x v="392"/>
    <x v="2"/>
    <x v="799"/>
    <n v="1997"/>
    <n v="20"/>
    <x v="6"/>
    <s v="England"/>
    <n v="1000000"/>
    <n v="4500000"/>
    <x v="0"/>
    <n v="13"/>
    <n v="874"/>
    <x v="6"/>
    <n v="212"/>
    <x v="0"/>
    <x v="0"/>
    <x v="0"/>
    <n v="4"/>
    <n v="1"/>
    <n v="21"/>
    <n v="12"/>
    <n v="0"/>
    <n v="0"/>
    <n v="1"/>
    <n v="0"/>
    <n v="0"/>
    <n v="4"/>
    <n v="0"/>
    <n v="9"/>
    <n v="0"/>
    <n v="9"/>
    <n v="0"/>
    <n v="2"/>
    <n v="8"/>
    <n v="0"/>
    <n v="5"/>
    <n v="0"/>
    <n v="0"/>
    <n v="0"/>
    <n v="10"/>
    <n v="49"/>
  </r>
  <r>
    <x v="393"/>
    <x v="0"/>
    <x v="800"/>
    <n v="1996"/>
    <n v="18"/>
    <x v="19"/>
    <s v="Nigeria"/>
    <n v="110000"/>
    <n v="6300000"/>
    <x v="0"/>
    <n v="26"/>
    <n v="751"/>
    <x v="9"/>
    <n v="346"/>
    <x v="3"/>
    <x v="3"/>
    <x v="0"/>
    <n v="19"/>
    <n v="5"/>
    <n v="28"/>
    <n v="12"/>
    <n v="0"/>
    <n v="3"/>
    <n v="1"/>
    <n v="0"/>
    <n v="0"/>
    <n v="3"/>
    <n v="0"/>
    <n v="0"/>
    <n v="1"/>
    <n v="10"/>
    <n v="0"/>
    <n v="3"/>
    <n v="17"/>
    <n v="0"/>
    <n v="14"/>
    <n v="0"/>
    <n v="0"/>
    <n v="6"/>
    <n v="14"/>
    <n v="49"/>
  </r>
  <r>
    <x v="393"/>
    <x v="3"/>
    <x v="801"/>
    <n v="1996"/>
    <n v="19"/>
    <x v="19"/>
    <s v="Nigeria"/>
    <n v="6300000"/>
    <n v="13500000"/>
    <x v="0"/>
    <n v="20"/>
    <n v="527"/>
    <x v="6"/>
    <n v="192"/>
    <x v="6"/>
    <x v="0"/>
    <x v="0"/>
    <n v="15"/>
    <n v="4"/>
    <n v="22"/>
    <n v="7"/>
    <n v="0"/>
    <n v="2"/>
    <n v="0"/>
    <n v="0"/>
    <n v="0"/>
    <n v="6"/>
    <n v="3"/>
    <n v="3"/>
    <n v="0"/>
    <n v="4"/>
    <n v="0"/>
    <n v="0"/>
    <n v="8"/>
    <n v="0"/>
    <n v="6"/>
    <n v="0"/>
    <n v="0"/>
    <n v="2"/>
    <n v="5"/>
    <n v="25"/>
  </r>
  <r>
    <x v="393"/>
    <x v="1"/>
    <x v="802"/>
    <n v="1996"/>
    <n v="21"/>
    <x v="17"/>
    <s v="Nigeria"/>
    <n v="13500000"/>
    <n v="13500000"/>
    <x v="0"/>
    <n v="21"/>
    <n v="824"/>
    <x v="7"/>
    <n v="246"/>
    <x v="6"/>
    <x v="4"/>
    <x v="0"/>
    <n v="14"/>
    <n v="7"/>
    <n v="29"/>
    <n v="11"/>
    <n v="2"/>
    <n v="3"/>
    <n v="1"/>
    <n v="0"/>
    <n v="0"/>
    <n v="4"/>
    <n v="9"/>
    <n v="18"/>
    <n v="0"/>
    <n v="5"/>
    <n v="2"/>
    <n v="3"/>
    <n v="17"/>
    <n v="0"/>
    <n v="9"/>
    <n v="0"/>
    <n v="0"/>
    <n v="4"/>
    <n v="6"/>
    <n v="18"/>
  </r>
  <r>
    <x v="393"/>
    <x v="2"/>
    <x v="803"/>
    <n v="1996"/>
    <n v="21"/>
    <x v="17"/>
    <s v="Nigeria"/>
    <n v="13500000"/>
    <n v="10800000"/>
    <x v="0"/>
    <n v="30"/>
    <n v="930"/>
    <x v="4"/>
    <n v="276"/>
    <x v="6"/>
    <x v="4"/>
    <x v="0"/>
    <n v="21"/>
    <n v="6"/>
    <n v="18"/>
    <n v="6"/>
    <n v="0"/>
    <n v="1"/>
    <n v="0"/>
    <n v="0"/>
    <n v="0"/>
    <n v="8"/>
    <n v="7"/>
    <n v="12"/>
    <n v="0"/>
    <n v="6"/>
    <n v="0"/>
    <n v="2"/>
    <n v="14"/>
    <n v="0"/>
    <n v="6"/>
    <n v="0"/>
    <n v="0"/>
    <n v="2"/>
    <n v="14"/>
    <n v="36"/>
  </r>
  <r>
    <x v="394"/>
    <x v="2"/>
    <x v="804"/>
    <n v="1993"/>
    <n v="24"/>
    <x v="9"/>
    <s v="Sweden"/>
    <n v="6600000"/>
    <n v="8800000"/>
    <x v="2"/>
    <n v="17"/>
    <n v="755"/>
    <x v="4"/>
    <n v="236"/>
    <x v="5"/>
    <x v="0"/>
    <x v="0"/>
    <n v="8"/>
    <n v="9"/>
    <n v="12"/>
    <n v="4"/>
    <n v="0"/>
    <n v="0"/>
    <n v="0"/>
    <n v="0"/>
    <n v="0"/>
    <n v="1"/>
    <n v="0"/>
    <n v="8"/>
    <n v="5"/>
    <n v="10"/>
    <n v="0"/>
    <n v="8"/>
    <n v="13"/>
    <n v="0"/>
    <n v="16"/>
    <n v="0"/>
    <n v="0"/>
    <n v="4"/>
    <n v="20"/>
    <n v="18"/>
  </r>
  <r>
    <x v="395"/>
    <x v="0"/>
    <x v="805"/>
    <n v="1996"/>
    <n v="19"/>
    <x v="1"/>
    <s v="Brazil"/>
    <n v="11000000"/>
    <n v="11000000"/>
    <x v="2"/>
    <n v="14"/>
    <n v="550"/>
    <x v="4"/>
    <n v="290"/>
    <x v="0"/>
    <x v="0"/>
    <x v="0"/>
    <n v="10"/>
    <n v="3"/>
    <n v="13"/>
    <n v="3"/>
    <n v="0"/>
    <n v="3"/>
    <n v="0"/>
    <n v="0"/>
    <n v="0"/>
    <n v="2"/>
    <n v="2"/>
    <n v="0"/>
    <n v="2"/>
    <n v="12"/>
    <n v="0"/>
    <n v="13"/>
    <n v="6"/>
    <n v="0"/>
    <n v="14"/>
    <n v="0"/>
    <n v="0"/>
    <n v="6"/>
    <n v="6"/>
    <n v="8"/>
  </r>
  <r>
    <x v="395"/>
    <x v="2"/>
    <x v="806"/>
    <n v="1996"/>
    <n v="22"/>
    <x v="20"/>
    <s v="Brazil"/>
    <n v="7700000"/>
    <n v="11000000"/>
    <x v="2"/>
    <n v="25"/>
    <n v="1343"/>
    <x v="4"/>
    <n v="462"/>
    <x v="3"/>
    <x v="3"/>
    <x v="0"/>
    <n v="11"/>
    <n v="7"/>
    <n v="31"/>
    <n v="6"/>
    <n v="2"/>
    <n v="7"/>
    <n v="0"/>
    <n v="0"/>
    <n v="0"/>
    <n v="5"/>
    <n v="1"/>
    <n v="25"/>
    <n v="5"/>
    <n v="28"/>
    <n v="0"/>
    <n v="32"/>
    <n v="19"/>
    <n v="0"/>
    <n v="30"/>
    <n v="0"/>
    <n v="0"/>
    <n v="19"/>
    <n v="7"/>
    <n v="15"/>
  </r>
  <r>
    <x v="395"/>
    <x v="1"/>
    <x v="807"/>
    <n v="1996"/>
    <n v="21"/>
    <x v="20"/>
    <s v="Brazil"/>
    <n v="49500000"/>
    <n v="66000000"/>
    <x v="2"/>
    <n v="13"/>
    <n v="1030"/>
    <x v="5"/>
    <n v="351"/>
    <x v="5"/>
    <x v="3"/>
    <x v="0"/>
    <n v="0"/>
    <n v="7"/>
    <n v="23"/>
    <n v="5"/>
    <n v="3"/>
    <n v="5"/>
    <n v="0"/>
    <n v="0"/>
    <n v="0"/>
    <n v="0"/>
    <n v="2"/>
    <n v="18"/>
    <n v="22"/>
    <n v="38"/>
    <n v="1"/>
    <n v="14"/>
    <n v="15"/>
    <n v="0"/>
    <n v="31"/>
    <n v="0"/>
    <n v="0"/>
    <n v="9"/>
    <n v="2"/>
    <n v="17"/>
  </r>
  <r>
    <x v="396"/>
    <x v="2"/>
    <x v="808"/>
    <n v="1994"/>
    <n v="24"/>
    <x v="24"/>
    <s v="Denmark"/>
    <n v="8800000"/>
    <n v="6300000"/>
    <x v="0"/>
    <n v="19"/>
    <n v="746"/>
    <x v="4"/>
    <n v="136"/>
    <x v="3"/>
    <x v="3"/>
    <x v="0"/>
    <n v="12"/>
    <n v="5"/>
    <n v="17"/>
    <n v="8"/>
    <n v="0"/>
    <n v="5"/>
    <n v="0"/>
    <n v="0"/>
    <n v="0"/>
    <n v="4"/>
    <n v="0"/>
    <n v="9"/>
    <n v="0"/>
    <n v="7"/>
    <n v="2"/>
    <n v="2"/>
    <n v="13"/>
    <n v="0"/>
    <n v="3"/>
    <n v="0"/>
    <n v="0"/>
    <n v="5"/>
    <n v="41"/>
    <n v="75"/>
  </r>
  <r>
    <x v="397"/>
    <x v="0"/>
    <x v="809"/>
    <n v="1991"/>
    <n v="24"/>
    <x v="19"/>
    <s v="Belgium"/>
    <n v="66000000"/>
    <n v="71500000"/>
    <x v="2"/>
    <n v="25"/>
    <n v="2003"/>
    <x v="8"/>
    <n v="1127"/>
    <x v="11"/>
    <x v="4"/>
    <x v="0"/>
    <n v="3"/>
    <n v="4"/>
    <n v="49"/>
    <n v="25"/>
    <n v="1"/>
    <n v="9"/>
    <n v="0"/>
    <n v="0"/>
    <n v="0"/>
    <n v="8"/>
    <n v="15"/>
    <n v="3"/>
    <n v="89"/>
    <n v="181"/>
    <n v="0"/>
    <n v="18"/>
    <n v="16"/>
    <n v="0"/>
    <n v="28"/>
    <n v="0"/>
    <n v="0"/>
    <n v="13"/>
    <n v="12"/>
    <n v="29"/>
  </r>
  <r>
    <x v="397"/>
    <x v="3"/>
    <x v="810"/>
    <n v="1991"/>
    <n v="25"/>
    <x v="19"/>
    <s v="Belgium"/>
    <n v="71500000"/>
    <n v="165000000"/>
    <x v="2"/>
    <n v="36"/>
    <n v="2883"/>
    <x v="14"/>
    <n v="1801"/>
    <x v="15"/>
    <x v="5"/>
    <x v="0"/>
    <n v="3"/>
    <n v="11"/>
    <n v="86"/>
    <n v="21"/>
    <n v="9"/>
    <n v="3"/>
    <n v="0"/>
    <n v="0"/>
    <n v="1"/>
    <n v="2"/>
    <n v="31"/>
    <n v="3"/>
    <n v="137"/>
    <n v="275"/>
    <n v="1"/>
    <n v="24"/>
    <n v="37"/>
    <n v="0"/>
    <n v="50"/>
    <n v="0"/>
    <n v="0"/>
    <n v="8"/>
    <n v="14"/>
    <n v="27"/>
  </r>
  <r>
    <x v="397"/>
    <x v="1"/>
    <x v="811"/>
    <n v="1991"/>
    <n v="26"/>
    <x v="19"/>
    <s v="Belgium"/>
    <n v="165000000"/>
    <n v="143000000"/>
    <x v="2"/>
    <n v="37"/>
    <n v="3083"/>
    <x v="9"/>
    <n v="2693"/>
    <x v="16"/>
    <x v="4"/>
    <x v="0"/>
    <n v="1"/>
    <n v="13"/>
    <n v="94"/>
    <n v="39"/>
    <n v="4"/>
    <n v="3"/>
    <n v="0"/>
    <n v="0"/>
    <n v="1"/>
    <n v="2"/>
    <n v="41"/>
    <n v="55"/>
    <n v="151"/>
    <n v="248"/>
    <n v="2"/>
    <n v="25"/>
    <n v="30"/>
    <n v="0"/>
    <n v="62"/>
    <n v="0"/>
    <n v="0"/>
    <n v="12"/>
    <n v="15"/>
    <n v="16"/>
  </r>
  <r>
    <x v="397"/>
    <x v="2"/>
    <x v="812"/>
    <n v="1991"/>
    <n v="27"/>
    <x v="19"/>
    <s v="Belgium"/>
    <n v="3600000"/>
    <n v="2700000"/>
    <x v="2"/>
    <n v="19"/>
    <n v="974"/>
    <x v="5"/>
    <n v="725"/>
    <x v="5"/>
    <x v="4"/>
    <x v="0"/>
    <n v="8"/>
    <n v="7"/>
    <n v="31"/>
    <n v="12"/>
    <n v="0"/>
    <n v="1"/>
    <n v="0"/>
    <n v="0"/>
    <n v="0"/>
    <n v="1"/>
    <n v="10"/>
    <n v="19"/>
    <n v="51"/>
    <n v="91"/>
    <n v="1"/>
    <n v="3"/>
    <n v="10"/>
    <n v="0"/>
    <n v="22"/>
    <n v="0"/>
    <n v="0"/>
    <n v="2"/>
    <n v="6"/>
    <n v="11"/>
  </r>
  <r>
    <x v="398"/>
    <x v="1"/>
    <x v="813"/>
    <n v="1990"/>
    <n v="27"/>
    <x v="5"/>
    <s v="Ireland"/>
    <n v="550000"/>
    <n v="2750000"/>
    <x v="1"/>
    <n v="16"/>
    <n v="1440"/>
    <x v="4"/>
    <n v="541"/>
    <x v="5"/>
    <x v="3"/>
    <x v="0"/>
    <n v="0"/>
    <n v="0"/>
    <n v="10"/>
    <n v="2"/>
    <n v="1"/>
    <n v="76"/>
    <n v="1"/>
    <n v="0"/>
    <n v="0"/>
    <n v="0"/>
    <n v="0"/>
    <n v="8"/>
    <n v="0"/>
    <n v="2"/>
    <n v="14"/>
    <n v="19"/>
    <n v="15"/>
    <n v="0"/>
    <n v="32"/>
    <n v="1"/>
    <n v="1"/>
    <n v="127"/>
    <n v="80"/>
    <n v="58"/>
  </r>
  <r>
    <x v="399"/>
    <x v="2"/>
    <x v="814"/>
    <n v="1988"/>
    <n v="29"/>
    <x v="11"/>
    <s v="Scotland"/>
    <n v="16500000"/>
    <n v="14300000"/>
    <x v="2"/>
    <n v="15"/>
    <n v="842"/>
    <x v="0"/>
    <n v="578"/>
    <x v="0"/>
    <x v="5"/>
    <x v="1"/>
    <n v="5"/>
    <n v="5"/>
    <n v="4"/>
    <n v="0"/>
    <n v="0"/>
    <n v="7"/>
    <n v="0"/>
    <n v="0"/>
    <n v="0"/>
    <n v="0"/>
    <n v="2"/>
    <n v="4"/>
    <n v="0"/>
    <n v="1"/>
    <n v="2"/>
    <n v="9"/>
    <n v="12"/>
    <n v="0"/>
    <n v="15"/>
    <n v="0"/>
    <n v="0"/>
    <n v="20"/>
    <n v="19"/>
    <n v="4"/>
  </r>
  <r>
    <x v="400"/>
    <x v="0"/>
    <x v="815"/>
    <n v="1987"/>
    <n v="27"/>
    <x v="4"/>
    <s v="Belgium"/>
    <n v="14300000"/>
    <n v="14300000"/>
    <x v="2"/>
    <n v="11"/>
    <n v="1003"/>
    <x v="6"/>
    <n v="329"/>
    <x v="5"/>
    <x v="0"/>
    <x v="2"/>
    <n v="13"/>
    <n v="4"/>
    <n v="41"/>
    <n v="16"/>
    <n v="0"/>
    <n v="1"/>
    <n v="0"/>
    <n v="0"/>
    <n v="0"/>
    <n v="7"/>
    <n v="2"/>
    <n v="3"/>
    <n v="24"/>
    <n v="45"/>
    <n v="1"/>
    <n v="9"/>
    <n v="14"/>
    <n v="0"/>
    <n v="14"/>
    <n v="0"/>
    <n v="0"/>
    <n v="6"/>
    <n v="6"/>
    <n v="15"/>
  </r>
  <r>
    <x v="400"/>
    <x v="3"/>
    <x v="816"/>
    <n v="1987"/>
    <n v="28"/>
    <x v="4"/>
    <s v="Belgium"/>
    <n v="11000000"/>
    <n v="8250000"/>
    <x v="2"/>
    <n v="35"/>
    <n v="2080"/>
    <x v="6"/>
    <n v="720"/>
    <x v="1"/>
    <x v="4"/>
    <x v="0"/>
    <n v="12"/>
    <n v="18"/>
    <n v="61"/>
    <n v="23"/>
    <n v="0"/>
    <n v="7"/>
    <n v="0"/>
    <n v="0"/>
    <n v="0"/>
    <n v="4"/>
    <n v="1"/>
    <n v="1"/>
    <n v="84"/>
    <n v="136"/>
    <n v="0"/>
    <n v="7"/>
    <n v="27"/>
    <n v="0"/>
    <n v="18"/>
    <n v="0"/>
    <n v="0"/>
    <n v="11"/>
    <n v="17"/>
    <n v="38"/>
  </r>
  <r>
    <x v="401"/>
    <x v="0"/>
    <x v="817"/>
    <n v="1992"/>
    <n v="22"/>
    <x v="26"/>
    <s v="Austria"/>
    <n v="6750000"/>
    <n v="6300000"/>
    <x v="1"/>
    <n v="10"/>
    <n v="812"/>
    <x v="0"/>
    <n v="541"/>
    <x v="0"/>
    <x v="4"/>
    <x v="0"/>
    <n v="0"/>
    <n v="0"/>
    <n v="0"/>
    <n v="0"/>
    <n v="0"/>
    <n v="30"/>
    <n v="0"/>
    <n v="0"/>
    <n v="0"/>
    <n v="0"/>
    <n v="0"/>
    <n v="0"/>
    <n v="0"/>
    <n v="0"/>
    <n v="9"/>
    <n v="20"/>
    <n v="12"/>
    <n v="0"/>
    <n v="5"/>
    <n v="0"/>
    <n v="0"/>
    <n v="49"/>
    <n v="9"/>
    <n v="8"/>
  </r>
  <r>
    <x v="401"/>
    <x v="1"/>
    <x v="818"/>
    <n v="1992"/>
    <n v="25"/>
    <x v="25"/>
    <s v="Austria"/>
    <n v="10800000"/>
    <n v="9000000"/>
    <x v="1"/>
    <n v="17"/>
    <n v="1321"/>
    <x v="0"/>
    <n v="504"/>
    <x v="0"/>
    <x v="2"/>
    <x v="0"/>
    <n v="3"/>
    <n v="1"/>
    <n v="0"/>
    <n v="0"/>
    <n v="0"/>
    <n v="40"/>
    <n v="0"/>
    <n v="0"/>
    <n v="0"/>
    <n v="0"/>
    <n v="0"/>
    <n v="0"/>
    <n v="0"/>
    <n v="2"/>
    <n v="12"/>
    <n v="30"/>
    <n v="20"/>
    <n v="1"/>
    <n v="24"/>
    <n v="0"/>
    <n v="0"/>
    <n v="78"/>
    <n v="19"/>
    <n v="24"/>
  </r>
  <r>
    <x v="402"/>
    <x v="0"/>
    <x v="819"/>
    <n v="1989"/>
    <n v="26"/>
    <x v="0"/>
    <s v="South Korea"/>
    <n v="8250000"/>
    <n v="7700000"/>
    <x v="2"/>
    <n v="28"/>
    <n v="1849"/>
    <x v="5"/>
    <n v="1170"/>
    <x v="3"/>
    <x v="5"/>
    <x v="0"/>
    <n v="7"/>
    <n v="8"/>
    <n v="24"/>
    <n v="7"/>
    <n v="1"/>
    <n v="8"/>
    <n v="0"/>
    <n v="0"/>
    <n v="0"/>
    <n v="1"/>
    <n v="5"/>
    <n v="0"/>
    <n v="5"/>
    <n v="11"/>
    <n v="4"/>
    <n v="28"/>
    <n v="19"/>
    <n v="0"/>
    <n v="32"/>
    <n v="0"/>
    <n v="0"/>
    <n v="18"/>
    <n v="17"/>
    <n v="17"/>
  </r>
  <r>
    <x v="402"/>
    <x v="3"/>
    <x v="820"/>
    <n v="1989"/>
    <n v="27"/>
    <x v="0"/>
    <s v="South Korea"/>
    <n v="7700000"/>
    <n v="7700000"/>
    <x v="2"/>
    <n v="23"/>
    <n v="1287"/>
    <x v="0"/>
    <n v="687"/>
    <x v="3"/>
    <x v="6"/>
    <x v="0"/>
    <n v="10"/>
    <n v="6"/>
    <n v="9"/>
    <n v="1"/>
    <n v="0"/>
    <n v="6"/>
    <n v="0"/>
    <n v="0"/>
    <n v="0"/>
    <n v="1"/>
    <n v="0"/>
    <n v="0"/>
    <n v="1"/>
    <n v="9"/>
    <n v="3"/>
    <n v="21"/>
    <n v="18"/>
    <n v="0"/>
    <n v="25"/>
    <n v="0"/>
    <n v="0"/>
    <n v="19"/>
    <n v="7"/>
    <n v="6"/>
  </r>
  <r>
    <x v="402"/>
    <x v="1"/>
    <x v="821"/>
    <n v="1989"/>
    <n v="28"/>
    <x v="0"/>
    <s v="South Korea"/>
    <n v="7700000"/>
    <n v="6600000"/>
    <x v="2"/>
    <n v="25"/>
    <n v="1869"/>
    <x v="5"/>
    <n v="836"/>
    <x v="5"/>
    <x v="4"/>
    <x v="0"/>
    <n v="4"/>
    <n v="5"/>
    <n v="20"/>
    <n v="6"/>
    <n v="0"/>
    <n v="5"/>
    <n v="0"/>
    <n v="0"/>
    <n v="0"/>
    <n v="0"/>
    <n v="1"/>
    <n v="14"/>
    <n v="42"/>
    <n v="62"/>
    <n v="1"/>
    <n v="32"/>
    <n v="10"/>
    <n v="0"/>
    <n v="25"/>
    <n v="0"/>
    <n v="0"/>
    <n v="20"/>
    <n v="5"/>
    <n v="21"/>
  </r>
  <r>
    <x v="402"/>
    <x v="2"/>
    <x v="822"/>
    <n v="1989"/>
    <n v="29"/>
    <x v="20"/>
    <s v="South Korea"/>
    <n v="4500000"/>
    <n v="4500000"/>
    <x v="2"/>
    <n v="18"/>
    <n v="1302"/>
    <x v="0"/>
    <n v="597"/>
    <x v="3"/>
    <x v="4"/>
    <x v="0"/>
    <n v="4"/>
    <n v="4"/>
    <n v="9"/>
    <n v="2"/>
    <n v="1"/>
    <n v="9"/>
    <n v="0"/>
    <n v="0"/>
    <n v="0"/>
    <n v="0"/>
    <n v="2"/>
    <n v="7"/>
    <n v="38"/>
    <n v="54"/>
    <n v="1"/>
    <n v="19"/>
    <n v="11"/>
    <n v="0"/>
    <n v="14"/>
    <n v="0"/>
    <n v="0"/>
    <n v="19"/>
    <n v="14"/>
    <n v="14"/>
  </r>
  <r>
    <x v="403"/>
    <x v="1"/>
    <x v="823"/>
    <n v="1989"/>
    <n v="28"/>
    <x v="18"/>
    <s v="England"/>
    <n v="9000000"/>
    <n v="7200000"/>
    <x v="1"/>
    <n v="33"/>
    <n v="2830"/>
    <x v="0"/>
    <n v="1014"/>
    <x v="3"/>
    <x v="6"/>
    <x v="0"/>
    <n v="1"/>
    <n v="5"/>
    <n v="9"/>
    <n v="1"/>
    <n v="0"/>
    <n v="41"/>
    <n v="0"/>
    <n v="0"/>
    <n v="0"/>
    <n v="0"/>
    <n v="0"/>
    <n v="8"/>
    <n v="4"/>
    <n v="74"/>
    <n v="12"/>
    <n v="48"/>
    <n v="22"/>
    <n v="0"/>
    <n v="41"/>
    <n v="0"/>
    <n v="0"/>
    <n v="82"/>
    <n v="42"/>
    <n v="39"/>
  </r>
  <r>
    <x v="403"/>
    <x v="3"/>
    <x v="824"/>
    <n v="1989"/>
    <n v="26"/>
    <x v="7"/>
    <s v="England"/>
    <n v="11700000"/>
    <n v="9000000"/>
    <x v="1"/>
    <n v="11"/>
    <n v="702"/>
    <x v="0"/>
    <n v="372"/>
    <x v="3"/>
    <x v="6"/>
    <x v="0"/>
    <n v="3"/>
    <n v="3"/>
    <n v="5"/>
    <n v="2"/>
    <n v="1"/>
    <n v="25"/>
    <n v="0"/>
    <n v="0"/>
    <n v="0"/>
    <n v="0"/>
    <n v="0"/>
    <n v="0"/>
    <n v="0"/>
    <n v="31"/>
    <n v="0"/>
    <n v="10"/>
    <n v="11"/>
    <n v="0"/>
    <n v="12"/>
    <n v="0"/>
    <n v="0"/>
    <n v="34"/>
    <n v="20"/>
    <n v="25"/>
  </r>
  <r>
    <x v="403"/>
    <x v="0"/>
    <x v="825"/>
    <n v="1989"/>
    <n v="25"/>
    <x v="7"/>
    <s v="England"/>
    <n v="11700000"/>
    <n v="11700000"/>
    <x v="1"/>
    <n v="15"/>
    <n v="381"/>
    <x v="4"/>
    <n v="198"/>
    <x v="0"/>
    <x v="0"/>
    <x v="0"/>
    <n v="12"/>
    <n v="2"/>
    <n v="5"/>
    <n v="1"/>
    <n v="0"/>
    <n v="5"/>
    <n v="0"/>
    <n v="0"/>
    <n v="0"/>
    <n v="2"/>
    <n v="2"/>
    <n v="0"/>
    <n v="1"/>
    <n v="9"/>
    <n v="0"/>
    <n v="11"/>
    <n v="3"/>
    <n v="0"/>
    <n v="12"/>
    <n v="0"/>
    <n v="0"/>
    <n v="10"/>
    <n v="8"/>
    <n v="13"/>
  </r>
  <r>
    <x v="404"/>
    <x v="0"/>
    <x v="826"/>
    <n v="1984"/>
    <n v="30"/>
    <x v="15"/>
    <s v="England"/>
    <n v="1350000"/>
    <n v="1100000"/>
    <x v="1"/>
    <n v="11"/>
    <n v="723"/>
    <x v="0"/>
    <n v="269"/>
    <x v="3"/>
    <x v="5"/>
    <x v="0"/>
    <n v="3"/>
    <n v="3"/>
    <n v="7"/>
    <n v="2"/>
    <n v="0"/>
    <n v="12"/>
    <n v="0"/>
    <n v="0"/>
    <n v="0"/>
    <n v="0"/>
    <n v="1"/>
    <n v="1"/>
    <n v="0"/>
    <n v="21"/>
    <n v="3"/>
    <n v="12"/>
    <n v="18"/>
    <n v="0"/>
    <n v="18"/>
    <n v="0"/>
    <n v="0"/>
    <n v="20"/>
    <n v="9"/>
    <n v="9"/>
  </r>
  <r>
    <x v="405"/>
    <x v="1"/>
    <x v="827"/>
    <n v="1990"/>
    <n v="27"/>
    <x v="26"/>
    <s v="England"/>
    <n v="9000000"/>
    <n v="18000000"/>
    <x v="1"/>
    <n v="24"/>
    <n v="1913"/>
    <x v="0"/>
    <n v="1266"/>
    <x v="8"/>
    <x v="3"/>
    <x v="0"/>
    <n v="3"/>
    <n v="3"/>
    <n v="1"/>
    <n v="1"/>
    <n v="0"/>
    <n v="23"/>
    <n v="0"/>
    <n v="0"/>
    <n v="0"/>
    <n v="3"/>
    <n v="5"/>
    <n v="0"/>
    <n v="28"/>
    <n v="122"/>
    <n v="6"/>
    <n v="20"/>
    <n v="18"/>
    <n v="0"/>
    <n v="52"/>
    <n v="0"/>
    <n v="0"/>
    <n v="45"/>
    <n v="36"/>
    <n v="29"/>
  </r>
  <r>
    <x v="405"/>
    <x v="2"/>
    <x v="828"/>
    <n v="1990"/>
    <n v="27"/>
    <x v="26"/>
    <s v="England"/>
    <n v="18000000"/>
    <n v="31500000"/>
    <x v="1"/>
    <n v="27"/>
    <n v="2278"/>
    <x v="0"/>
    <n v="1542"/>
    <x v="6"/>
    <x v="4"/>
    <x v="0"/>
    <n v="0"/>
    <n v="3"/>
    <n v="8"/>
    <n v="3"/>
    <n v="0"/>
    <n v="30"/>
    <n v="0"/>
    <n v="0"/>
    <n v="1"/>
    <n v="6"/>
    <n v="3"/>
    <n v="5"/>
    <n v="73"/>
    <n v="185"/>
    <n v="5"/>
    <n v="23"/>
    <n v="20"/>
    <n v="0"/>
    <n v="67"/>
    <n v="2"/>
    <n v="1"/>
    <n v="61"/>
    <n v="31"/>
    <n v="28"/>
  </r>
  <r>
    <x v="405"/>
    <x v="3"/>
    <x v="829"/>
    <n v="1990"/>
    <n v="25"/>
    <x v="26"/>
    <s v="England"/>
    <n v="5400000"/>
    <n v="9000000"/>
    <x v="1"/>
    <n v="12"/>
    <n v="566"/>
    <x v="0"/>
    <n v="346"/>
    <x v="8"/>
    <x v="3"/>
    <x v="0"/>
    <n v="6"/>
    <n v="2"/>
    <n v="3"/>
    <n v="0"/>
    <n v="0"/>
    <n v="4"/>
    <n v="0"/>
    <n v="0"/>
    <n v="0"/>
    <n v="1"/>
    <n v="0"/>
    <n v="0"/>
    <n v="1"/>
    <n v="29"/>
    <n v="3"/>
    <n v="7"/>
    <n v="8"/>
    <n v="0"/>
    <n v="17"/>
    <n v="0"/>
    <n v="0"/>
    <n v="13"/>
    <n v="4"/>
    <n v="5"/>
  </r>
  <r>
    <x v="406"/>
    <x v="2"/>
    <x v="830"/>
    <n v="1991"/>
    <n v="27"/>
    <x v="9"/>
    <s v="Spain"/>
    <n v="15400000"/>
    <n v="11000000"/>
    <x v="2"/>
    <n v="29"/>
    <n v="2046"/>
    <x v="4"/>
    <n v="925"/>
    <x v="3"/>
    <x v="0"/>
    <x v="0"/>
    <n v="7"/>
    <n v="3"/>
    <n v="6"/>
    <n v="2"/>
    <n v="0"/>
    <n v="29"/>
    <n v="0"/>
    <n v="0"/>
    <n v="0"/>
    <n v="3"/>
    <n v="0"/>
    <n v="4"/>
    <n v="7"/>
    <n v="64"/>
    <n v="6"/>
    <n v="36"/>
    <n v="12"/>
    <n v="0"/>
    <n v="48"/>
    <n v="0"/>
    <n v="0"/>
    <n v="63"/>
    <n v="13"/>
    <n v="12"/>
  </r>
  <r>
    <x v="406"/>
    <x v="1"/>
    <x v="831"/>
    <n v="1991"/>
    <n v="26"/>
    <x v="9"/>
    <s v="Spain"/>
    <n v="4400000"/>
    <n v="5500000"/>
    <x v="1"/>
    <n v="23"/>
    <n v="1714"/>
    <x v="4"/>
    <n v="794"/>
    <x v="3"/>
    <x v="4"/>
    <x v="0"/>
    <n v="4"/>
    <n v="6"/>
    <n v="9"/>
    <n v="3"/>
    <n v="0"/>
    <n v="14"/>
    <n v="0"/>
    <n v="0"/>
    <n v="0"/>
    <n v="2"/>
    <n v="1"/>
    <n v="6"/>
    <n v="1"/>
    <n v="60"/>
    <n v="2"/>
    <n v="34"/>
    <n v="7"/>
    <n v="0"/>
    <n v="36"/>
    <n v="0"/>
    <n v="0"/>
    <n v="30"/>
    <n v="10"/>
    <n v="16"/>
  </r>
  <r>
    <x v="407"/>
    <x v="0"/>
    <x v="832"/>
    <n v="1981"/>
    <n v="34"/>
    <x v="13"/>
    <s v="Cote D'Ivoire"/>
    <n v="1800000"/>
    <n v="1500000"/>
    <x v="1"/>
    <n v="14"/>
    <n v="859"/>
    <x v="4"/>
    <n v="465"/>
    <x v="0"/>
    <x v="3"/>
    <x v="0"/>
    <n v="5"/>
    <n v="3"/>
    <n v="4"/>
    <n v="2"/>
    <n v="0"/>
    <n v="13"/>
    <n v="0"/>
    <n v="0"/>
    <n v="0"/>
    <n v="0"/>
    <n v="0"/>
    <n v="0"/>
    <n v="0"/>
    <n v="0"/>
    <n v="3"/>
    <n v="25"/>
    <n v="2"/>
    <n v="1"/>
    <n v="22"/>
    <n v="0"/>
    <n v="0"/>
    <n v="45"/>
    <n v="9"/>
    <n v="14"/>
  </r>
  <r>
    <x v="408"/>
    <x v="1"/>
    <x v="833"/>
    <n v="1994"/>
    <n v="23"/>
    <x v="25"/>
    <s v="France"/>
    <n v="13500000"/>
    <n v="13500000"/>
    <x v="1"/>
    <n v="34"/>
    <n v="2888"/>
    <x v="4"/>
    <n v="1021"/>
    <x v="0"/>
    <x v="3"/>
    <x v="0"/>
    <n v="2"/>
    <n v="1"/>
    <n v="20"/>
    <n v="8"/>
    <n v="0"/>
    <n v="136"/>
    <n v="1"/>
    <n v="0"/>
    <n v="0"/>
    <n v="0"/>
    <n v="0"/>
    <n v="12"/>
    <n v="0"/>
    <n v="11"/>
    <n v="23"/>
    <n v="61"/>
    <n v="19"/>
    <n v="2"/>
    <n v="50"/>
    <n v="0"/>
    <n v="0"/>
    <n v="231"/>
    <n v="109"/>
    <n v="31"/>
  </r>
  <r>
    <x v="408"/>
    <x v="0"/>
    <x v="834"/>
    <n v="1994"/>
    <n v="20"/>
    <x v="1"/>
    <s v="France"/>
    <n v="10800000"/>
    <n v="15300000"/>
    <x v="1"/>
    <n v="23"/>
    <n v="1918"/>
    <x v="0"/>
    <n v="736"/>
    <x v="0"/>
    <x v="0"/>
    <x v="0"/>
    <n v="2"/>
    <n v="0"/>
    <n v="17"/>
    <n v="2"/>
    <n v="1"/>
    <n v="68"/>
    <n v="0"/>
    <n v="0"/>
    <n v="0"/>
    <n v="2"/>
    <n v="0"/>
    <n v="0"/>
    <n v="0"/>
    <n v="4"/>
    <n v="10"/>
    <n v="36"/>
    <n v="9"/>
    <n v="0"/>
    <n v="30"/>
    <n v="0"/>
    <n v="0"/>
    <n v="123"/>
    <n v="67"/>
    <n v="28"/>
  </r>
  <r>
    <x v="408"/>
    <x v="2"/>
    <x v="835"/>
    <n v="1994"/>
    <n v="23"/>
    <x v="4"/>
    <s v="France"/>
    <n v="13500000"/>
    <n v="22500000"/>
    <x v="1"/>
    <n v="32"/>
    <n v="2612"/>
    <x v="5"/>
    <n v="1442"/>
    <x v="5"/>
    <x v="6"/>
    <x v="0"/>
    <n v="3"/>
    <n v="0"/>
    <n v="19"/>
    <n v="3"/>
    <n v="0"/>
    <n v="63"/>
    <n v="2"/>
    <n v="0"/>
    <n v="0"/>
    <n v="2"/>
    <n v="0"/>
    <n v="16"/>
    <n v="0"/>
    <n v="2"/>
    <n v="12"/>
    <n v="54"/>
    <n v="20"/>
    <n v="0"/>
    <n v="32"/>
    <n v="0"/>
    <n v="0"/>
    <n v="120"/>
    <n v="98"/>
    <n v="52"/>
  </r>
  <r>
    <x v="409"/>
    <x v="3"/>
    <x v="836"/>
    <n v="1988"/>
    <n v="27"/>
    <x v="0"/>
    <s v="England"/>
    <n v="4500000"/>
    <n v="4500000"/>
    <x v="1"/>
    <n v="31"/>
    <n v="2718"/>
    <x v="0"/>
    <n v="1392"/>
    <x v="0"/>
    <x v="2"/>
    <x v="0"/>
    <n v="0"/>
    <n v="4"/>
    <n v="20"/>
    <n v="5"/>
    <n v="0"/>
    <n v="54"/>
    <n v="0"/>
    <n v="0"/>
    <n v="0"/>
    <n v="0"/>
    <n v="0"/>
    <n v="0"/>
    <n v="0"/>
    <n v="79"/>
    <n v="15"/>
    <n v="41"/>
    <n v="25"/>
    <n v="0"/>
    <n v="76"/>
    <n v="0"/>
    <n v="0"/>
    <n v="115"/>
    <n v="65"/>
    <n v="38"/>
  </r>
  <r>
    <x v="409"/>
    <x v="0"/>
    <x v="837"/>
    <n v="1988"/>
    <n v="26"/>
    <x v="0"/>
    <s v="England"/>
    <n v="4950000"/>
    <n v="4500000"/>
    <x v="1"/>
    <n v="27"/>
    <n v="1763"/>
    <x v="0"/>
    <n v="1081"/>
    <x v="6"/>
    <x v="4"/>
    <x v="0"/>
    <n v="8"/>
    <n v="1"/>
    <n v="8"/>
    <n v="2"/>
    <n v="0"/>
    <n v="27"/>
    <n v="0"/>
    <n v="0"/>
    <n v="0"/>
    <n v="0"/>
    <n v="0"/>
    <n v="0"/>
    <n v="1"/>
    <n v="64"/>
    <n v="0"/>
    <n v="48"/>
    <n v="23"/>
    <n v="0"/>
    <n v="40"/>
    <n v="0"/>
    <n v="0"/>
    <n v="65"/>
    <n v="31"/>
    <n v="28"/>
  </r>
  <r>
    <x v="409"/>
    <x v="1"/>
    <x v="838"/>
    <n v="1988"/>
    <n v="29"/>
    <x v="0"/>
    <s v="England"/>
    <n v="4500000"/>
    <n v="4500000"/>
    <x v="1"/>
    <n v="34"/>
    <n v="3033"/>
    <x v="0"/>
    <n v="1638"/>
    <x v="5"/>
    <x v="3"/>
    <x v="0"/>
    <n v="0"/>
    <n v="3"/>
    <n v="12"/>
    <n v="1"/>
    <n v="0"/>
    <n v="47"/>
    <n v="0"/>
    <n v="0"/>
    <n v="0"/>
    <n v="0"/>
    <n v="0"/>
    <n v="11"/>
    <n v="0"/>
    <n v="62"/>
    <n v="13"/>
    <n v="60"/>
    <n v="31"/>
    <n v="1"/>
    <n v="92"/>
    <n v="0"/>
    <n v="1"/>
    <n v="102"/>
    <n v="69"/>
    <n v="68"/>
  </r>
  <r>
    <x v="410"/>
    <x v="3"/>
    <x v="839"/>
    <n v="1990"/>
    <n v="26"/>
    <x v="26"/>
    <s v="England"/>
    <n v="13500000"/>
    <n v="27000000"/>
    <x v="1"/>
    <n v="33"/>
    <n v="2704"/>
    <x v="0"/>
    <n v="1464"/>
    <x v="8"/>
    <x v="9"/>
    <x v="0"/>
    <n v="2"/>
    <n v="5"/>
    <n v="19"/>
    <n v="5"/>
    <n v="0"/>
    <n v="46"/>
    <n v="0"/>
    <n v="0"/>
    <n v="0"/>
    <n v="3"/>
    <n v="1"/>
    <n v="0"/>
    <n v="1"/>
    <n v="96"/>
    <n v="7"/>
    <n v="38"/>
    <n v="36"/>
    <n v="0"/>
    <n v="72"/>
    <n v="0"/>
    <n v="0"/>
    <n v="94"/>
    <n v="60"/>
    <n v="28"/>
  </r>
  <r>
    <x v="410"/>
    <x v="1"/>
    <x v="840"/>
    <n v="1990"/>
    <n v="27"/>
    <x v="19"/>
    <s v="England"/>
    <n v="27000000"/>
    <n v="45000000"/>
    <x v="1"/>
    <n v="32"/>
    <n v="2787"/>
    <x v="0"/>
    <n v="2362"/>
    <x v="1"/>
    <x v="4"/>
    <x v="1"/>
    <n v="0"/>
    <n v="2"/>
    <n v="13"/>
    <n v="1"/>
    <n v="0"/>
    <n v="40"/>
    <n v="0"/>
    <n v="0"/>
    <n v="0"/>
    <n v="2"/>
    <n v="0"/>
    <n v="12"/>
    <n v="0"/>
    <n v="56"/>
    <n v="2"/>
    <n v="29"/>
    <n v="17"/>
    <n v="0"/>
    <n v="47"/>
    <n v="0"/>
    <n v="1"/>
    <n v="67"/>
    <n v="70"/>
    <n v="33"/>
  </r>
  <r>
    <x v="410"/>
    <x v="0"/>
    <x v="841"/>
    <n v="1990"/>
    <n v="25"/>
    <x v="26"/>
    <s v="England"/>
    <n v="11700000"/>
    <n v="13500000"/>
    <x v="1"/>
    <n v="33"/>
    <n v="2943"/>
    <x v="4"/>
    <n v="1250"/>
    <x v="6"/>
    <x v="1"/>
    <x v="0"/>
    <n v="0"/>
    <n v="2"/>
    <n v="21"/>
    <n v="7"/>
    <n v="0"/>
    <n v="62"/>
    <n v="0"/>
    <n v="0"/>
    <n v="0"/>
    <n v="3"/>
    <n v="0"/>
    <n v="0"/>
    <n v="0"/>
    <n v="78"/>
    <n v="5"/>
    <n v="92"/>
    <n v="29"/>
    <n v="0"/>
    <n v="87"/>
    <n v="1"/>
    <n v="0"/>
    <n v="106"/>
    <n v="52"/>
    <n v="25"/>
  </r>
  <r>
    <x v="410"/>
    <x v="2"/>
    <x v="842"/>
    <n v="1990"/>
    <n v="28"/>
    <x v="19"/>
    <s v="England"/>
    <n v="45000000"/>
    <n v="45000000"/>
    <x v="1"/>
    <n v="33"/>
    <n v="2777"/>
    <x v="0"/>
    <n v="2389"/>
    <x v="0"/>
    <x v="6"/>
    <x v="0"/>
    <n v="3"/>
    <n v="1"/>
    <n v="21"/>
    <n v="4"/>
    <n v="0"/>
    <n v="25"/>
    <n v="0"/>
    <n v="0"/>
    <n v="0"/>
    <n v="4"/>
    <n v="4"/>
    <n v="17"/>
    <n v="0"/>
    <n v="59"/>
    <n v="5"/>
    <n v="36"/>
    <n v="15"/>
    <n v="0"/>
    <n v="40"/>
    <n v="0"/>
    <n v="0"/>
    <n v="50"/>
    <n v="45"/>
    <n v="25"/>
  </r>
  <r>
    <x v="411"/>
    <x v="3"/>
    <x v="843"/>
    <n v="1989"/>
    <n v="27"/>
    <x v="12"/>
    <s v="Cote D'Ivoire"/>
    <n v="5400000"/>
    <n v="6300000"/>
    <x v="1"/>
    <n v="30"/>
    <n v="2545"/>
    <x v="4"/>
    <n v="787"/>
    <x v="0"/>
    <x v="5"/>
    <x v="0"/>
    <n v="1"/>
    <n v="1"/>
    <n v="17"/>
    <n v="4"/>
    <n v="0"/>
    <n v="112"/>
    <n v="0"/>
    <n v="0"/>
    <n v="0"/>
    <n v="2"/>
    <n v="1"/>
    <n v="0"/>
    <n v="0"/>
    <n v="3"/>
    <n v="22"/>
    <n v="44"/>
    <n v="14"/>
    <n v="0"/>
    <n v="30"/>
    <n v="0"/>
    <n v="0"/>
    <n v="199"/>
    <n v="77"/>
    <n v="44"/>
  </r>
  <r>
    <x v="411"/>
    <x v="0"/>
    <x v="844"/>
    <n v="1989"/>
    <n v="26"/>
    <x v="12"/>
    <s v="Cote D'Ivoire"/>
    <n v="2250000"/>
    <n v="5400000"/>
    <x v="1"/>
    <n v="15"/>
    <n v="1315"/>
    <x v="5"/>
    <n v="402"/>
    <x v="3"/>
    <x v="0"/>
    <x v="0"/>
    <n v="0"/>
    <n v="1"/>
    <n v="10"/>
    <n v="4"/>
    <n v="0"/>
    <n v="78"/>
    <n v="0"/>
    <n v="0"/>
    <n v="0"/>
    <n v="1"/>
    <n v="0"/>
    <n v="2"/>
    <n v="0"/>
    <n v="2"/>
    <n v="10"/>
    <n v="33"/>
    <n v="5"/>
    <n v="0"/>
    <n v="28"/>
    <n v="0"/>
    <n v="0"/>
    <n v="138"/>
    <n v="49"/>
    <n v="32"/>
  </r>
  <r>
    <x v="412"/>
    <x v="1"/>
    <x v="845"/>
    <n v="1988"/>
    <n v="29"/>
    <x v="6"/>
    <s v="Belgium"/>
    <n v="7150000"/>
    <n v="4050000"/>
    <x v="0"/>
    <n v="33"/>
    <n v="1808"/>
    <x v="14"/>
    <n v="482"/>
    <x v="3"/>
    <x v="3"/>
    <x v="0"/>
    <n v="15"/>
    <n v="3"/>
    <n v="25"/>
    <n v="12"/>
    <n v="1"/>
    <n v="24"/>
    <n v="2"/>
    <n v="0"/>
    <n v="0"/>
    <n v="6"/>
    <n v="1"/>
    <n v="13"/>
    <n v="0"/>
    <n v="3"/>
    <n v="3"/>
    <n v="11"/>
    <n v="28"/>
    <n v="0"/>
    <n v="14"/>
    <n v="0"/>
    <n v="0"/>
    <n v="35"/>
    <n v="127"/>
    <n v="144"/>
  </r>
  <r>
    <x v="412"/>
    <x v="2"/>
    <x v="846"/>
    <n v="1988"/>
    <n v="29"/>
    <x v="6"/>
    <s v="Belgium"/>
    <n v="4050000"/>
    <n v="3150000"/>
    <x v="0"/>
    <n v="23"/>
    <n v="1062"/>
    <x v="0"/>
    <n v="274"/>
    <x v="3"/>
    <x v="3"/>
    <x v="0"/>
    <n v="13"/>
    <n v="4"/>
    <n v="30"/>
    <n v="6"/>
    <n v="1"/>
    <n v="6"/>
    <n v="0"/>
    <n v="0"/>
    <n v="0"/>
    <n v="7"/>
    <n v="0"/>
    <n v="24"/>
    <n v="0"/>
    <n v="4"/>
    <n v="0"/>
    <n v="2"/>
    <n v="19"/>
    <n v="0"/>
    <n v="6"/>
    <n v="0"/>
    <n v="0"/>
    <n v="8"/>
    <n v="81"/>
    <n v="91"/>
  </r>
  <r>
    <x v="413"/>
    <x v="0"/>
    <x v="847"/>
    <n v="1985"/>
    <n v="29"/>
    <x v="7"/>
    <s v="France"/>
    <n v="18000000"/>
    <n v="19800000"/>
    <x v="1"/>
    <n v="33"/>
    <n v="2846"/>
    <x v="6"/>
    <n v="1691"/>
    <x v="0"/>
    <x v="6"/>
    <x v="0"/>
    <n v="0"/>
    <n v="2"/>
    <n v="19"/>
    <n v="8"/>
    <n v="0"/>
    <n v="110"/>
    <n v="1"/>
    <n v="0"/>
    <n v="0"/>
    <n v="1"/>
    <n v="2"/>
    <n v="0"/>
    <n v="0"/>
    <n v="3"/>
    <n v="27"/>
    <n v="126"/>
    <n v="31"/>
    <n v="0"/>
    <n v="47"/>
    <n v="0"/>
    <n v="0"/>
    <n v="186"/>
    <n v="104"/>
    <n v="57"/>
  </r>
  <r>
    <x v="413"/>
    <x v="3"/>
    <x v="848"/>
    <n v="1985"/>
    <n v="30"/>
    <x v="7"/>
    <s v="France"/>
    <n v="19800000"/>
    <n v="19800000"/>
    <x v="1"/>
    <n v="33"/>
    <n v="2823"/>
    <x v="5"/>
    <n v="1667"/>
    <x v="0"/>
    <x v="5"/>
    <x v="0"/>
    <n v="0"/>
    <n v="2"/>
    <n v="9"/>
    <n v="4"/>
    <n v="0"/>
    <n v="126"/>
    <n v="0"/>
    <n v="0"/>
    <n v="0"/>
    <n v="2"/>
    <n v="0"/>
    <n v="0"/>
    <n v="0"/>
    <n v="3"/>
    <n v="22"/>
    <n v="90"/>
    <n v="19"/>
    <n v="1"/>
    <n v="48"/>
    <n v="0"/>
    <n v="0"/>
    <n v="202"/>
    <n v="116"/>
    <n v="78"/>
  </r>
  <r>
    <x v="413"/>
    <x v="1"/>
    <x v="849"/>
    <n v="1985"/>
    <n v="32"/>
    <x v="7"/>
    <s v="France"/>
    <n v="19800000"/>
    <n v="13500000"/>
    <x v="1"/>
    <n v="25"/>
    <n v="2227"/>
    <x v="5"/>
    <n v="1745"/>
    <x v="0"/>
    <x v="5"/>
    <x v="0"/>
    <n v="0"/>
    <n v="2"/>
    <n v="9"/>
    <n v="2"/>
    <n v="1"/>
    <n v="79"/>
    <n v="1"/>
    <n v="0"/>
    <n v="0"/>
    <n v="2"/>
    <n v="2"/>
    <n v="7"/>
    <n v="0"/>
    <n v="5"/>
    <n v="15"/>
    <n v="54"/>
    <n v="14"/>
    <n v="0"/>
    <n v="43"/>
    <n v="1"/>
    <n v="0"/>
    <n v="134"/>
    <n v="80"/>
    <n v="61"/>
  </r>
  <r>
    <x v="413"/>
    <x v="2"/>
    <x v="850"/>
    <n v="1985"/>
    <n v="32"/>
    <x v="7"/>
    <s v="France"/>
    <n v="13500000"/>
    <n v="7200000"/>
    <x v="1"/>
    <n v="17"/>
    <n v="1330"/>
    <x v="7"/>
    <n v="891"/>
    <x v="0"/>
    <x v="3"/>
    <x v="0"/>
    <n v="4"/>
    <n v="1"/>
    <n v="5"/>
    <n v="4"/>
    <n v="0"/>
    <n v="45"/>
    <n v="1"/>
    <n v="0"/>
    <n v="0"/>
    <n v="0"/>
    <n v="0"/>
    <n v="1"/>
    <n v="0"/>
    <n v="0"/>
    <n v="15"/>
    <n v="30"/>
    <n v="9"/>
    <n v="0"/>
    <n v="19"/>
    <n v="0"/>
    <n v="0"/>
    <n v="70"/>
    <n v="25"/>
    <n v="28"/>
  </r>
  <r>
    <x v="414"/>
    <x v="3"/>
    <x v="851"/>
    <n v="1994"/>
    <n v="22"/>
    <x v="13"/>
    <s v="Serbia"/>
    <n v="18700000"/>
    <n v="19800000"/>
    <x v="2"/>
    <n v="12"/>
    <n v="1011"/>
    <x v="5"/>
    <n v="334"/>
    <x v="0"/>
    <x v="5"/>
    <x v="0"/>
    <n v="0"/>
    <n v="7"/>
    <n v="12"/>
    <n v="5"/>
    <n v="2"/>
    <n v="5"/>
    <n v="1"/>
    <n v="0"/>
    <n v="0"/>
    <n v="2"/>
    <n v="3"/>
    <n v="1"/>
    <n v="1"/>
    <n v="18"/>
    <n v="0"/>
    <n v="14"/>
    <n v="17"/>
    <n v="0"/>
    <n v="18"/>
    <n v="0"/>
    <n v="0"/>
    <n v="8"/>
    <n v="7"/>
    <n v="11"/>
  </r>
  <r>
    <x v="415"/>
    <x v="2"/>
    <x v="852"/>
    <n v="1995"/>
    <n v="23"/>
    <x v="16"/>
    <s v="Belgium"/>
    <n v="3300000"/>
    <n v="3300000"/>
    <x v="2"/>
    <n v="19"/>
    <n v="1469"/>
    <x v="5"/>
    <n v="607"/>
    <x v="0"/>
    <x v="3"/>
    <x v="0"/>
    <n v="2"/>
    <n v="4"/>
    <n v="17"/>
    <n v="10"/>
    <n v="2"/>
    <n v="18"/>
    <n v="0"/>
    <n v="0"/>
    <n v="0"/>
    <n v="1"/>
    <n v="0"/>
    <n v="7"/>
    <n v="0"/>
    <n v="7"/>
    <n v="6"/>
    <n v="22"/>
    <n v="11"/>
    <n v="0"/>
    <n v="53"/>
    <n v="0"/>
    <n v="0"/>
    <n v="29"/>
    <n v="56"/>
    <n v="53"/>
  </r>
  <r>
    <x v="416"/>
    <x v="0"/>
    <x v="853"/>
    <n v="1991"/>
    <n v="23"/>
    <x v="15"/>
    <s v="Curacao"/>
    <n v="2200000"/>
    <n v="3300000"/>
    <x v="2"/>
    <n v="27"/>
    <n v="2418"/>
    <x v="4"/>
    <n v="1133"/>
    <x v="0"/>
    <x v="9"/>
    <x v="0"/>
    <n v="4"/>
    <n v="5"/>
    <n v="32"/>
    <n v="9"/>
    <n v="1"/>
    <n v="24"/>
    <n v="0"/>
    <n v="0"/>
    <n v="0"/>
    <n v="2"/>
    <n v="2"/>
    <n v="1"/>
    <n v="18"/>
    <n v="92"/>
    <n v="3"/>
    <n v="56"/>
    <n v="36"/>
    <n v="1"/>
    <n v="48"/>
    <n v="2"/>
    <n v="0"/>
    <n v="53"/>
    <n v="26"/>
    <n v="24"/>
  </r>
  <r>
    <x v="416"/>
    <x v="2"/>
    <x v="854"/>
    <n v="1991"/>
    <n v="26"/>
    <x v="24"/>
    <s v="Curacao"/>
    <n v="3500000"/>
    <n v="3500000"/>
    <x v="2"/>
    <n v="11"/>
    <n v="554"/>
    <x v="0"/>
    <n v="145"/>
    <x v="0"/>
    <x v="4"/>
    <x v="0"/>
    <n v="7"/>
    <n v="0"/>
    <n v="5"/>
    <n v="1"/>
    <n v="0"/>
    <n v="3"/>
    <n v="0"/>
    <n v="0"/>
    <n v="0"/>
    <n v="0"/>
    <n v="1"/>
    <n v="4"/>
    <n v="1"/>
    <n v="7"/>
    <n v="2"/>
    <n v="15"/>
    <n v="13"/>
    <n v="0"/>
    <n v="15"/>
    <n v="0"/>
    <n v="0"/>
    <n v="9"/>
    <n v="7"/>
    <n v="10"/>
  </r>
  <r>
    <x v="417"/>
    <x v="0"/>
    <x v="855"/>
    <n v="1988"/>
    <n v="27"/>
    <x v="12"/>
    <s v="England"/>
    <n v="3500000"/>
    <n v="3500000"/>
    <x v="2"/>
    <n v="25"/>
    <n v="2216"/>
    <x v="0"/>
    <n v="929"/>
    <x v="0"/>
    <x v="9"/>
    <x v="0"/>
    <n v="4"/>
    <n v="11"/>
    <n v="11"/>
    <n v="1"/>
    <n v="0"/>
    <n v="22"/>
    <n v="0"/>
    <n v="0"/>
    <n v="0"/>
    <n v="0"/>
    <n v="8"/>
    <n v="1"/>
    <n v="0"/>
    <n v="7"/>
    <n v="18"/>
    <n v="52"/>
    <n v="40"/>
    <n v="0"/>
    <n v="57"/>
    <n v="0"/>
    <n v="0"/>
    <n v="31"/>
    <n v="26"/>
    <n v="25"/>
  </r>
  <r>
    <x v="418"/>
    <x v="2"/>
    <x v="856"/>
    <n v="1986"/>
    <n v="31"/>
    <x v="24"/>
    <s v="England"/>
    <n v="1650000"/>
    <n v="1650000"/>
    <x v="2"/>
    <n v="20"/>
    <n v="1543"/>
    <x v="0"/>
    <n v="342"/>
    <x v="0"/>
    <x v="5"/>
    <x v="0"/>
    <n v="3"/>
    <n v="1"/>
    <n v="0"/>
    <n v="0"/>
    <n v="0"/>
    <n v="29"/>
    <n v="0"/>
    <n v="0"/>
    <n v="0"/>
    <n v="0"/>
    <n v="0"/>
    <n v="0"/>
    <n v="0"/>
    <n v="6"/>
    <n v="12"/>
    <n v="18"/>
    <n v="15"/>
    <n v="0"/>
    <n v="39"/>
    <n v="0"/>
    <n v="0"/>
    <n v="53"/>
    <n v="30"/>
    <n v="26"/>
  </r>
  <r>
    <x v="419"/>
    <x v="3"/>
    <x v="857"/>
    <n v="1984"/>
    <n v="31"/>
    <x v="4"/>
    <s v="England"/>
    <n v="11200000"/>
    <n v="10800000"/>
    <x v="1"/>
    <n v="32"/>
    <n v="2821"/>
    <x v="5"/>
    <n v="1309"/>
    <x v="6"/>
    <x v="5"/>
    <x v="0"/>
    <n v="0"/>
    <n v="3"/>
    <n v="15"/>
    <n v="5"/>
    <n v="1"/>
    <n v="40"/>
    <n v="0"/>
    <n v="2"/>
    <n v="0"/>
    <n v="0"/>
    <n v="1"/>
    <n v="1"/>
    <n v="25"/>
    <n v="112"/>
    <n v="6"/>
    <n v="45"/>
    <n v="35"/>
    <n v="2"/>
    <n v="63"/>
    <n v="0"/>
    <n v="0"/>
    <n v="65"/>
    <n v="27"/>
    <n v="34"/>
  </r>
  <r>
    <x v="419"/>
    <x v="1"/>
    <x v="858"/>
    <n v="1984"/>
    <n v="32"/>
    <x v="4"/>
    <s v="England"/>
    <n v="10800000"/>
    <n v="7200000"/>
    <x v="1"/>
    <n v="22"/>
    <n v="1910"/>
    <x v="5"/>
    <n v="754"/>
    <x v="6"/>
    <x v="3"/>
    <x v="0"/>
    <n v="0"/>
    <n v="2"/>
    <n v="4"/>
    <n v="4"/>
    <n v="0"/>
    <n v="15"/>
    <n v="0"/>
    <n v="2"/>
    <n v="0"/>
    <n v="1"/>
    <n v="0"/>
    <n v="0"/>
    <n v="21"/>
    <n v="75"/>
    <n v="6"/>
    <n v="25"/>
    <n v="7"/>
    <n v="0"/>
    <n v="25"/>
    <n v="0"/>
    <n v="0"/>
    <n v="47"/>
    <n v="14"/>
    <n v="20"/>
  </r>
  <r>
    <x v="419"/>
    <x v="0"/>
    <x v="859"/>
    <n v="1984"/>
    <n v="30"/>
    <x v="4"/>
    <s v="England"/>
    <n v="16200000"/>
    <n v="11200000"/>
    <x v="1"/>
    <n v="18"/>
    <n v="1477"/>
    <x v="5"/>
    <n v="756"/>
    <x v="3"/>
    <x v="0"/>
    <x v="0"/>
    <n v="2"/>
    <n v="0"/>
    <n v="9"/>
    <n v="3"/>
    <n v="1"/>
    <n v="21"/>
    <n v="0"/>
    <n v="1"/>
    <n v="0"/>
    <n v="4"/>
    <n v="0"/>
    <n v="0"/>
    <n v="42"/>
    <n v="103"/>
    <n v="6"/>
    <n v="29"/>
    <n v="6"/>
    <n v="0"/>
    <n v="34"/>
    <n v="0"/>
    <n v="0"/>
    <n v="42"/>
    <n v="9"/>
    <n v="17"/>
  </r>
  <r>
    <x v="420"/>
    <x v="0"/>
    <x v="860"/>
    <n v="1982"/>
    <n v="32"/>
    <x v="0"/>
    <s v="England"/>
    <n v="1650000"/>
    <n v="1100000"/>
    <x v="2"/>
    <n v="25"/>
    <n v="1526"/>
    <x v="0"/>
    <n v="1000"/>
    <x v="0"/>
    <x v="5"/>
    <x v="0"/>
    <n v="6"/>
    <n v="12"/>
    <n v="5"/>
    <n v="0"/>
    <n v="0"/>
    <n v="11"/>
    <n v="0"/>
    <n v="0"/>
    <n v="0"/>
    <n v="0"/>
    <n v="1"/>
    <n v="0"/>
    <n v="0"/>
    <n v="2"/>
    <n v="6"/>
    <n v="62"/>
    <n v="14"/>
    <n v="0"/>
    <n v="41"/>
    <n v="0"/>
    <n v="0"/>
    <n v="17"/>
    <n v="9"/>
    <n v="12"/>
  </r>
  <r>
    <x v="420"/>
    <x v="3"/>
    <x v="861"/>
    <n v="1982"/>
    <n v="33"/>
    <x v="0"/>
    <s v="England"/>
    <n v="9350000"/>
    <n v="8800000"/>
    <x v="2"/>
    <n v="16"/>
    <n v="1176"/>
    <x v="0"/>
    <n v="727"/>
    <x v="0"/>
    <x v="6"/>
    <x v="0"/>
    <n v="0"/>
    <n v="13"/>
    <n v="0"/>
    <n v="0"/>
    <n v="0"/>
    <n v="6"/>
    <n v="0"/>
    <n v="0"/>
    <n v="0"/>
    <n v="0"/>
    <n v="0"/>
    <n v="0"/>
    <n v="0"/>
    <n v="0"/>
    <n v="5"/>
    <n v="19"/>
    <n v="6"/>
    <n v="0"/>
    <n v="23"/>
    <n v="0"/>
    <n v="0"/>
    <n v="18"/>
    <n v="7"/>
    <n v="2"/>
  </r>
  <r>
    <x v="421"/>
    <x v="0"/>
    <x v="862"/>
    <n v="1986"/>
    <n v="29"/>
    <x v="17"/>
    <s v="Argentina"/>
    <n v="9300000"/>
    <n v="7200000"/>
    <x v="0"/>
    <n v="29"/>
    <n v="968"/>
    <x v="14"/>
    <n v="399"/>
    <x v="5"/>
    <x v="0"/>
    <x v="0"/>
    <n v="22"/>
    <n v="5"/>
    <n v="33"/>
    <n v="10"/>
    <n v="0"/>
    <n v="15"/>
    <n v="2"/>
    <n v="1"/>
    <n v="0"/>
    <n v="6"/>
    <n v="2"/>
    <n v="5"/>
    <n v="0"/>
    <n v="9"/>
    <n v="0"/>
    <n v="7"/>
    <n v="20"/>
    <n v="0"/>
    <n v="27"/>
    <n v="0"/>
    <n v="0"/>
    <n v="21"/>
    <n v="53"/>
    <n v="103"/>
  </r>
  <r>
    <x v="421"/>
    <x v="3"/>
    <x v="863"/>
    <n v="1986"/>
    <n v="30"/>
    <x v="17"/>
    <s v="Argentina"/>
    <n v="7200000"/>
    <n v="5400000"/>
    <x v="0"/>
    <n v="16"/>
    <n v="435"/>
    <x v="4"/>
    <n v="233"/>
    <x v="0"/>
    <x v="0"/>
    <x v="0"/>
    <n v="13"/>
    <n v="0"/>
    <n v="11"/>
    <n v="5"/>
    <n v="0"/>
    <n v="5"/>
    <n v="1"/>
    <n v="0"/>
    <n v="0"/>
    <n v="4"/>
    <n v="0"/>
    <n v="2"/>
    <n v="0"/>
    <n v="0"/>
    <n v="0"/>
    <n v="3"/>
    <n v="20"/>
    <n v="0"/>
    <n v="11"/>
    <n v="0"/>
    <n v="0"/>
    <n v="8"/>
    <n v="48"/>
    <n v="65"/>
  </r>
  <r>
    <x v="421"/>
    <x v="1"/>
    <x v="864"/>
    <n v="1986"/>
    <n v="31"/>
    <x v="23"/>
    <s v="Argentina"/>
    <n v="5400000"/>
    <n v="4500000"/>
    <x v="0"/>
    <n v="14"/>
    <n v="281"/>
    <x v="4"/>
    <n v="134"/>
    <x v="0"/>
    <x v="0"/>
    <x v="0"/>
    <n v="12"/>
    <n v="2"/>
    <n v="2"/>
    <n v="2"/>
    <n v="0"/>
    <n v="3"/>
    <n v="1"/>
    <n v="0"/>
    <n v="0"/>
    <n v="4"/>
    <n v="1"/>
    <n v="0"/>
    <n v="0"/>
    <n v="0"/>
    <n v="0"/>
    <n v="0"/>
    <n v="7"/>
    <n v="0"/>
    <n v="4"/>
    <n v="0"/>
    <n v="0"/>
    <n v="4"/>
    <n v="26"/>
    <n v="46"/>
  </r>
  <r>
    <x v="422"/>
    <x v="0"/>
    <x v="865"/>
    <n v="1990"/>
    <n v="25"/>
    <x v="0"/>
    <s v="Netherlands"/>
    <n v="8800000"/>
    <n v="8800000"/>
    <x v="2"/>
    <n v="11"/>
    <n v="757"/>
    <x v="0"/>
    <n v="441"/>
    <x v="0"/>
    <x v="4"/>
    <x v="0"/>
    <n v="2"/>
    <n v="4"/>
    <n v="5"/>
    <n v="1"/>
    <n v="0"/>
    <n v="10"/>
    <n v="0"/>
    <n v="0"/>
    <n v="0"/>
    <n v="0"/>
    <n v="0"/>
    <n v="0"/>
    <n v="0"/>
    <n v="0"/>
    <n v="2"/>
    <n v="13"/>
    <n v="14"/>
    <n v="0"/>
    <n v="21"/>
    <n v="0"/>
    <n v="0"/>
    <n v="15"/>
    <n v="22"/>
    <n v="8"/>
  </r>
  <r>
    <x v="422"/>
    <x v="3"/>
    <x v="866"/>
    <n v="1990"/>
    <n v="26"/>
    <x v="0"/>
    <s v="Netherlands"/>
    <n v="8800000"/>
    <n v="8800000"/>
    <x v="2"/>
    <n v="34"/>
    <n v="2403"/>
    <x v="14"/>
    <n v="1230"/>
    <x v="5"/>
    <x v="10"/>
    <x v="0"/>
    <n v="7"/>
    <n v="7"/>
    <n v="36"/>
    <n v="11"/>
    <n v="0"/>
    <n v="34"/>
    <n v="1"/>
    <n v="0"/>
    <n v="0"/>
    <n v="1"/>
    <n v="5"/>
    <n v="1"/>
    <n v="0"/>
    <n v="13"/>
    <n v="8"/>
    <n v="23"/>
    <n v="48"/>
    <n v="0"/>
    <n v="55"/>
    <n v="0"/>
    <n v="0"/>
    <n v="48"/>
    <n v="77"/>
    <n v="42"/>
  </r>
  <r>
    <x v="422"/>
    <x v="1"/>
    <x v="867"/>
    <n v="1990"/>
    <n v="27"/>
    <x v="0"/>
    <s v="Netherlands"/>
    <n v="16500000"/>
    <n v="22000000"/>
    <x v="2"/>
    <n v="20"/>
    <n v="1399"/>
    <x v="4"/>
    <n v="632"/>
    <x v="3"/>
    <x v="2"/>
    <x v="0"/>
    <n v="5"/>
    <n v="5"/>
    <n v="12"/>
    <n v="3"/>
    <n v="0"/>
    <n v="16"/>
    <n v="0"/>
    <n v="0"/>
    <n v="0"/>
    <n v="1"/>
    <n v="3"/>
    <n v="9"/>
    <n v="0"/>
    <n v="8"/>
    <n v="4"/>
    <n v="12"/>
    <n v="28"/>
    <n v="0"/>
    <n v="44"/>
    <n v="2"/>
    <n v="0"/>
    <n v="23"/>
    <n v="42"/>
    <n v="22"/>
  </r>
  <r>
    <x v="423"/>
    <x v="3"/>
    <x v="868"/>
    <n v="1996"/>
    <n v="20"/>
    <x v="19"/>
    <s v="Germany"/>
    <n v="19500000"/>
    <n v="31500000"/>
    <x v="0"/>
    <n v="26"/>
    <n v="1786"/>
    <x v="2"/>
    <n v="691"/>
    <x v="6"/>
    <x v="5"/>
    <x v="0"/>
    <n v="6"/>
    <n v="12"/>
    <n v="33"/>
    <n v="14"/>
    <n v="2"/>
    <n v="3"/>
    <n v="0"/>
    <n v="0"/>
    <n v="0"/>
    <n v="12"/>
    <n v="0"/>
    <n v="6"/>
    <n v="26"/>
    <n v="52"/>
    <n v="1"/>
    <n v="17"/>
    <n v="14"/>
    <n v="0"/>
    <n v="35"/>
    <n v="0"/>
    <n v="0"/>
    <n v="5"/>
    <n v="19"/>
    <n v="20"/>
  </r>
  <r>
    <x v="423"/>
    <x v="1"/>
    <x v="869"/>
    <n v="1996"/>
    <n v="21"/>
    <x v="19"/>
    <s v="Germany"/>
    <n v="31500000"/>
    <n v="81000000"/>
    <x v="0"/>
    <n v="32"/>
    <n v="2422"/>
    <x v="15"/>
    <n v="1091"/>
    <x v="14"/>
    <x v="5"/>
    <x v="0"/>
    <n v="5"/>
    <n v="9"/>
    <n v="57"/>
    <n v="20"/>
    <n v="2"/>
    <n v="1"/>
    <n v="0"/>
    <n v="0"/>
    <n v="0"/>
    <n v="7"/>
    <n v="2"/>
    <n v="37"/>
    <n v="55"/>
    <n v="93"/>
    <n v="1"/>
    <n v="13"/>
    <n v="24"/>
    <n v="0"/>
    <n v="27"/>
    <n v="0"/>
    <n v="0"/>
    <n v="6"/>
    <n v="16"/>
    <n v="14"/>
  </r>
  <r>
    <x v="423"/>
    <x v="2"/>
    <x v="870"/>
    <n v="1996"/>
    <n v="22"/>
    <x v="19"/>
    <s v="Germany"/>
    <n v="81000000"/>
    <n v="90000000"/>
    <x v="0"/>
    <n v="31"/>
    <n v="1867"/>
    <x v="15"/>
    <n v="847"/>
    <x v="9"/>
    <x v="0"/>
    <x v="0"/>
    <n v="10"/>
    <n v="10"/>
    <n v="56"/>
    <n v="24"/>
    <n v="3"/>
    <n v="1"/>
    <n v="0"/>
    <n v="0"/>
    <n v="0"/>
    <n v="18"/>
    <n v="7"/>
    <n v="32"/>
    <n v="50"/>
    <n v="98"/>
    <n v="2"/>
    <n v="8"/>
    <n v="9"/>
    <n v="0"/>
    <n v="24"/>
    <n v="0"/>
    <n v="0"/>
    <n v="2"/>
    <n v="10"/>
    <n v="23"/>
  </r>
  <r>
    <x v="424"/>
    <x v="2"/>
    <x v="871"/>
    <n v="1997"/>
    <n v="21"/>
    <x v="14"/>
    <s v="England"/>
    <n v="6600000"/>
    <n v="16500000"/>
    <x v="2"/>
    <n v="13"/>
    <n v="722"/>
    <x v="0"/>
    <n v="391"/>
    <x v="0"/>
    <x v="4"/>
    <x v="0"/>
    <n v="5"/>
    <n v="3"/>
    <n v="4"/>
    <n v="0"/>
    <n v="0"/>
    <n v="1"/>
    <n v="0"/>
    <n v="0"/>
    <n v="0"/>
    <n v="0"/>
    <n v="1"/>
    <n v="4"/>
    <n v="0"/>
    <n v="10"/>
    <n v="2"/>
    <n v="8"/>
    <n v="12"/>
    <n v="0"/>
    <n v="13"/>
    <n v="0"/>
    <n v="0"/>
    <n v="7"/>
    <n v="5"/>
    <n v="10"/>
  </r>
  <r>
    <x v="424"/>
    <x v="1"/>
    <x v="872"/>
    <n v="1997"/>
    <n v="20"/>
    <x v="14"/>
    <s v="England"/>
    <n v="2700000"/>
    <n v="2700000"/>
    <x v="2"/>
    <n v="29"/>
    <n v="2239"/>
    <x v="0"/>
    <n v="1228"/>
    <x v="5"/>
    <x v="2"/>
    <x v="0"/>
    <n v="4"/>
    <n v="5"/>
    <n v="18"/>
    <n v="2"/>
    <n v="0"/>
    <n v="8"/>
    <n v="0"/>
    <n v="0"/>
    <n v="0"/>
    <n v="1"/>
    <n v="5"/>
    <n v="16"/>
    <n v="15"/>
    <n v="29"/>
    <n v="12"/>
    <n v="35"/>
    <n v="33"/>
    <n v="0"/>
    <n v="67"/>
    <n v="1"/>
    <n v="0"/>
    <n v="21"/>
    <n v="14"/>
    <n v="27"/>
  </r>
  <r>
    <x v="425"/>
    <x v="2"/>
    <x v="873"/>
    <n v="1991"/>
    <n v="26"/>
    <x v="23"/>
    <s v="England"/>
    <n v="9000000"/>
    <n v="10800000"/>
    <x v="1"/>
    <n v="36"/>
    <n v="3153"/>
    <x v="5"/>
    <n v="1490"/>
    <x v="3"/>
    <x v="2"/>
    <x v="1"/>
    <n v="0"/>
    <n v="1"/>
    <n v="20"/>
    <n v="4"/>
    <n v="0"/>
    <n v="118"/>
    <n v="2"/>
    <n v="0"/>
    <n v="0"/>
    <n v="0"/>
    <n v="2"/>
    <n v="16"/>
    <n v="0"/>
    <n v="2"/>
    <n v="38"/>
    <n v="46"/>
    <n v="22"/>
    <n v="2"/>
    <n v="42"/>
    <n v="2"/>
    <n v="0"/>
    <n v="193"/>
    <n v="120"/>
    <n v="63"/>
  </r>
  <r>
    <x v="425"/>
    <x v="1"/>
    <x v="874"/>
    <n v="1991"/>
    <n v="26"/>
    <x v="23"/>
    <s v="England"/>
    <n v="4500000"/>
    <n v="9000000"/>
    <x v="1"/>
    <n v="38"/>
    <n v="3420"/>
    <x v="4"/>
    <n v="1496"/>
    <x v="3"/>
    <x v="1"/>
    <x v="0"/>
    <n v="0"/>
    <n v="0"/>
    <n v="27"/>
    <n v="9"/>
    <n v="0"/>
    <n v="128"/>
    <n v="0"/>
    <n v="0"/>
    <n v="0"/>
    <n v="0"/>
    <n v="3"/>
    <n v="18"/>
    <n v="0"/>
    <n v="7"/>
    <n v="58"/>
    <n v="71"/>
    <n v="36"/>
    <n v="1"/>
    <n v="67"/>
    <n v="0"/>
    <n v="4"/>
    <n v="223"/>
    <n v="122"/>
    <n v="73"/>
  </r>
  <r>
    <x v="426"/>
    <x v="0"/>
    <x v="875"/>
    <n v="1988"/>
    <n v="27"/>
    <x v="14"/>
    <s v="Jamaica"/>
    <n v="13200000"/>
    <n v="11000000"/>
    <x v="2"/>
    <n v="21"/>
    <n v="820"/>
    <x v="4"/>
    <n v="309"/>
    <x v="0"/>
    <x v="4"/>
    <x v="0"/>
    <n v="14"/>
    <n v="5"/>
    <n v="19"/>
    <n v="9"/>
    <n v="0"/>
    <n v="1"/>
    <n v="0"/>
    <n v="0"/>
    <n v="0"/>
    <n v="6"/>
    <n v="1"/>
    <n v="2"/>
    <n v="3"/>
    <n v="13"/>
    <n v="1"/>
    <n v="2"/>
    <n v="9"/>
    <n v="0"/>
    <n v="11"/>
    <n v="0"/>
    <n v="0"/>
    <n v="1"/>
    <n v="4"/>
    <n v="8"/>
  </r>
  <r>
    <x v="427"/>
    <x v="0"/>
    <x v="876"/>
    <n v="1987"/>
    <n v="28"/>
    <x v="1"/>
    <s v="France"/>
    <n v="11300000"/>
    <n v="8100000"/>
    <x v="0"/>
    <n v="13"/>
    <n v="285"/>
    <x v="4"/>
    <n v="101"/>
    <x v="0"/>
    <x v="0"/>
    <x v="0"/>
    <n v="10"/>
    <n v="3"/>
    <n v="13"/>
    <n v="5"/>
    <n v="0"/>
    <n v="4"/>
    <n v="0"/>
    <n v="0"/>
    <n v="0"/>
    <n v="5"/>
    <n v="0"/>
    <n v="1"/>
    <n v="0"/>
    <n v="4"/>
    <n v="0"/>
    <n v="0"/>
    <n v="1"/>
    <n v="0"/>
    <n v="0"/>
    <n v="0"/>
    <n v="0"/>
    <n v="4"/>
    <n v="6"/>
    <n v="14"/>
  </r>
  <r>
    <x v="428"/>
    <x v="2"/>
    <x v="877"/>
    <n v="1993"/>
    <n v="25"/>
    <x v="4"/>
    <s v="France"/>
    <n v="13500000"/>
    <n v="27000000"/>
    <x v="1"/>
    <n v="35"/>
    <n v="2966"/>
    <x v="6"/>
    <n v="1457"/>
    <x v="2"/>
    <x v="2"/>
    <x v="1"/>
    <n v="2"/>
    <n v="2"/>
    <n v="34"/>
    <n v="10"/>
    <n v="3"/>
    <n v="51"/>
    <n v="0"/>
    <n v="0"/>
    <n v="2"/>
    <n v="2"/>
    <n v="0"/>
    <n v="24"/>
    <n v="89"/>
    <n v="280"/>
    <n v="9"/>
    <n v="60"/>
    <n v="39"/>
    <n v="1"/>
    <n v="72"/>
    <n v="0"/>
    <n v="1"/>
    <n v="94"/>
    <n v="90"/>
    <n v="45"/>
  </r>
  <r>
    <x v="429"/>
    <x v="0"/>
    <x v="878"/>
    <n v="1987"/>
    <n v="28"/>
    <x v="13"/>
    <s v="Brazil"/>
    <n v="11000000"/>
    <n v="7700000"/>
    <x v="2"/>
    <n v="27"/>
    <n v="1953"/>
    <x v="0"/>
    <n v="1485"/>
    <x v="3"/>
    <x v="9"/>
    <x v="0"/>
    <n v="6"/>
    <n v="4"/>
    <n v="9"/>
    <n v="3"/>
    <n v="0"/>
    <n v="15"/>
    <n v="0"/>
    <n v="0"/>
    <n v="0"/>
    <n v="1"/>
    <n v="5"/>
    <n v="0"/>
    <n v="0"/>
    <n v="8"/>
    <n v="8"/>
    <n v="52"/>
    <n v="49"/>
    <n v="0"/>
    <n v="108"/>
    <n v="0"/>
    <n v="0"/>
    <n v="26"/>
    <n v="62"/>
    <n v="43"/>
  </r>
  <r>
    <x v="429"/>
    <x v="3"/>
    <x v="879"/>
    <n v="1987"/>
    <n v="29"/>
    <x v="13"/>
    <s v="Brazil"/>
    <n v="27000000"/>
    <n v="49500000"/>
    <x v="2"/>
    <n v="24"/>
    <n v="1105"/>
    <x v="0"/>
    <n v="887"/>
    <x v="6"/>
    <x v="5"/>
    <x v="0"/>
    <n v="12"/>
    <n v="3"/>
    <n v="8"/>
    <n v="1"/>
    <n v="0"/>
    <n v="33"/>
    <n v="0"/>
    <n v="0"/>
    <n v="0"/>
    <n v="0"/>
    <n v="3"/>
    <n v="1"/>
    <n v="0"/>
    <n v="5"/>
    <n v="4"/>
    <n v="36"/>
    <n v="18"/>
    <n v="0"/>
    <n v="37"/>
    <n v="1"/>
    <n v="0"/>
    <n v="56"/>
    <n v="52"/>
    <n v="38"/>
  </r>
  <r>
    <x v="430"/>
    <x v="2"/>
    <x v="880"/>
    <n v="1992"/>
    <n v="25"/>
    <x v="26"/>
    <s v="Brazil"/>
    <n v="25200000"/>
    <n v="36000000"/>
    <x v="0"/>
    <n v="32"/>
    <n v="2128"/>
    <x v="15"/>
    <n v="723"/>
    <x v="0"/>
    <x v="6"/>
    <x v="0"/>
    <n v="7"/>
    <n v="13"/>
    <n v="45"/>
    <n v="20"/>
    <n v="1"/>
    <n v="20"/>
    <n v="0"/>
    <n v="0"/>
    <n v="0"/>
    <n v="14"/>
    <n v="5"/>
    <n v="25"/>
    <n v="0"/>
    <n v="19"/>
    <n v="1"/>
    <n v="24"/>
    <n v="25"/>
    <n v="0"/>
    <n v="34"/>
    <n v="0"/>
    <n v="0"/>
    <n v="24"/>
    <n v="34"/>
    <n v="58"/>
  </r>
  <r>
    <x v="431"/>
    <x v="2"/>
    <x v="881"/>
    <n v="1988"/>
    <n v="29"/>
    <x v="3"/>
    <s v="Spain"/>
    <n v="13500000"/>
    <n v="3600000"/>
    <x v="0"/>
    <n v="15"/>
    <n v="466"/>
    <x v="7"/>
    <n v="143"/>
    <x v="0"/>
    <x v="0"/>
    <x v="0"/>
    <n v="11"/>
    <n v="4"/>
    <n v="9"/>
    <n v="3"/>
    <n v="0"/>
    <n v="2"/>
    <n v="0"/>
    <n v="0"/>
    <n v="0"/>
    <n v="3"/>
    <n v="1"/>
    <n v="6"/>
    <n v="0"/>
    <n v="2"/>
    <n v="0"/>
    <n v="2"/>
    <n v="5"/>
    <n v="0"/>
    <n v="6"/>
    <n v="0"/>
    <n v="0"/>
    <n v="3"/>
    <n v="3"/>
    <n v="14"/>
  </r>
  <r>
    <x v="431"/>
    <x v="3"/>
    <x v="882"/>
    <n v="1988"/>
    <n v="28"/>
    <x v="7"/>
    <s v="Spain"/>
    <n v="13500000"/>
    <n v="16700000"/>
    <x v="0"/>
    <n v="11"/>
    <n v="265"/>
    <x v="4"/>
    <n v="116"/>
    <x v="0"/>
    <x v="0"/>
    <x v="0"/>
    <n v="9"/>
    <n v="2"/>
    <n v="9"/>
    <n v="4"/>
    <n v="1"/>
    <n v="0"/>
    <n v="0"/>
    <n v="0"/>
    <n v="0"/>
    <n v="0"/>
    <n v="0"/>
    <n v="1"/>
    <n v="1"/>
    <n v="9"/>
    <n v="0"/>
    <n v="2"/>
    <n v="2"/>
    <n v="0"/>
    <n v="3"/>
    <n v="0"/>
    <n v="0"/>
    <n v="1"/>
    <n v="2"/>
    <n v="2"/>
  </r>
  <r>
    <x v="432"/>
    <x v="2"/>
    <x v="883"/>
    <n v="1996"/>
    <n v="22"/>
    <x v="7"/>
    <s v="Uruguay"/>
    <n v="4500000"/>
    <n v="4500000"/>
    <x v="2"/>
    <n v="34"/>
    <n v="2379"/>
    <x v="5"/>
    <n v="1590"/>
    <x v="5"/>
    <x v="1"/>
    <x v="1"/>
    <n v="10"/>
    <n v="4"/>
    <n v="25"/>
    <n v="6"/>
    <n v="0"/>
    <n v="12"/>
    <n v="0"/>
    <n v="0"/>
    <n v="0"/>
    <n v="0"/>
    <n v="2"/>
    <n v="19"/>
    <n v="23"/>
    <n v="28"/>
    <n v="7"/>
    <n v="41"/>
    <n v="38"/>
    <n v="0"/>
    <n v="65"/>
    <n v="0"/>
    <n v="0"/>
    <n v="31"/>
    <n v="21"/>
    <n v="26"/>
  </r>
  <r>
    <x v="433"/>
    <x v="1"/>
    <x v="884"/>
    <n v="1990"/>
    <n v="27"/>
    <x v="0"/>
    <s v="Netherlands"/>
    <n v="4500000"/>
    <n v="4500000"/>
    <x v="0"/>
    <n v="18"/>
    <n v="617"/>
    <x v="4"/>
    <n v="194"/>
    <x v="0"/>
    <x v="0"/>
    <x v="0"/>
    <n v="13"/>
    <n v="4"/>
    <n v="5"/>
    <n v="5"/>
    <n v="1"/>
    <n v="0"/>
    <n v="0"/>
    <n v="0"/>
    <n v="0"/>
    <n v="4"/>
    <n v="0"/>
    <n v="0"/>
    <n v="0"/>
    <n v="23"/>
    <n v="0"/>
    <n v="3"/>
    <n v="3"/>
    <n v="0"/>
    <n v="7"/>
    <n v="0"/>
    <n v="0"/>
    <n v="3"/>
    <n v="2"/>
    <n v="15"/>
  </r>
  <r>
    <x v="433"/>
    <x v="3"/>
    <x v="885"/>
    <n v="1990"/>
    <n v="25"/>
    <x v="0"/>
    <s v="Netherlands"/>
    <n v="7700000"/>
    <n v="11000000"/>
    <x v="2"/>
    <n v="13"/>
    <n v="410"/>
    <x v="0"/>
    <n v="123"/>
    <x v="6"/>
    <x v="0"/>
    <x v="0"/>
    <n v="10"/>
    <n v="2"/>
    <n v="2"/>
    <n v="0"/>
    <n v="0"/>
    <n v="0"/>
    <n v="0"/>
    <n v="0"/>
    <n v="0"/>
    <n v="1"/>
    <n v="0"/>
    <n v="0"/>
    <n v="0"/>
    <n v="27"/>
    <n v="0"/>
    <n v="3"/>
    <n v="3"/>
    <n v="0"/>
    <n v="3"/>
    <n v="0"/>
    <n v="0"/>
    <n v="1"/>
    <n v="3"/>
    <n v="14"/>
  </r>
  <r>
    <x v="434"/>
    <x v="2"/>
    <x v="886"/>
    <n v="1993"/>
    <n v="24"/>
    <x v="11"/>
    <s v="Argentina"/>
    <n v="6300000"/>
    <n v="6300000"/>
    <x v="0"/>
    <n v="20"/>
    <n v="985"/>
    <x v="0"/>
    <n v="386"/>
    <x v="2"/>
    <x v="0"/>
    <x v="0"/>
    <n v="10"/>
    <n v="7"/>
    <n v="24"/>
    <n v="8"/>
    <n v="0"/>
    <n v="0"/>
    <n v="1"/>
    <n v="0"/>
    <n v="0"/>
    <n v="0"/>
    <n v="0"/>
    <n v="16"/>
    <n v="0"/>
    <n v="19"/>
    <n v="0"/>
    <n v="6"/>
    <n v="13"/>
    <n v="0"/>
    <n v="14"/>
    <n v="0"/>
    <n v="0"/>
    <n v="5"/>
    <n v="5"/>
    <n v="7"/>
  </r>
  <r>
    <x v="435"/>
    <x v="3"/>
    <x v="887"/>
    <n v="1991"/>
    <n v="25"/>
    <x v="8"/>
    <s v="Serbia"/>
    <n v="11000000"/>
    <n v="16500000"/>
    <x v="2"/>
    <n v="14"/>
    <n v="1227"/>
    <x v="5"/>
    <n v="490"/>
    <x v="0"/>
    <x v="5"/>
    <x v="0"/>
    <n v="0"/>
    <n v="3"/>
    <n v="14"/>
    <n v="4"/>
    <n v="0"/>
    <n v="14"/>
    <n v="0"/>
    <n v="2"/>
    <n v="0"/>
    <n v="0"/>
    <n v="1"/>
    <n v="0"/>
    <n v="2"/>
    <n v="6"/>
    <n v="5"/>
    <n v="39"/>
    <n v="27"/>
    <n v="0"/>
    <n v="29"/>
    <n v="1"/>
    <n v="0"/>
    <n v="24"/>
    <n v="27"/>
    <n v="24"/>
  </r>
  <r>
    <x v="435"/>
    <x v="1"/>
    <x v="888"/>
    <n v="1991"/>
    <n v="26"/>
    <x v="8"/>
    <s v="Serbia"/>
    <n v="16500000"/>
    <n v="22000000"/>
    <x v="2"/>
    <n v="36"/>
    <n v="3081"/>
    <x v="15"/>
    <n v="1652"/>
    <x v="3"/>
    <x v="9"/>
    <x v="0"/>
    <n v="1"/>
    <n v="3"/>
    <n v="42"/>
    <n v="17"/>
    <n v="1"/>
    <n v="27"/>
    <n v="0"/>
    <n v="7"/>
    <n v="1"/>
    <n v="0"/>
    <n v="3"/>
    <n v="25"/>
    <n v="24"/>
    <n v="39"/>
    <n v="12"/>
    <n v="71"/>
    <n v="69"/>
    <n v="0"/>
    <n v="85"/>
    <n v="2"/>
    <n v="0"/>
    <n v="74"/>
    <n v="49"/>
    <n v="45"/>
  </r>
  <r>
    <x v="435"/>
    <x v="2"/>
    <x v="889"/>
    <n v="1991"/>
    <n v="27"/>
    <x v="8"/>
    <s v="Serbia"/>
    <n v="450000"/>
    <n v="675000"/>
    <x v="2"/>
    <n v="38"/>
    <n v="3420"/>
    <x v="13"/>
    <n v="1986"/>
    <x v="5"/>
    <x v="7"/>
    <x v="0"/>
    <n v="0"/>
    <n v="0"/>
    <n v="57"/>
    <n v="25"/>
    <n v="4"/>
    <n v="35"/>
    <n v="0"/>
    <n v="10"/>
    <n v="1"/>
    <n v="0"/>
    <n v="2"/>
    <n v="32"/>
    <n v="143"/>
    <n v="185"/>
    <n v="15"/>
    <n v="73"/>
    <n v="60"/>
    <n v="0"/>
    <n v="89"/>
    <n v="1"/>
    <n v="0"/>
    <n v="66"/>
    <n v="54"/>
    <n v="39"/>
  </r>
  <r>
    <x v="436"/>
    <x v="3"/>
    <x v="890"/>
    <n v="1995"/>
    <n v="21"/>
    <x v="22"/>
    <s v="England"/>
    <n v="18900000"/>
    <n v="18000000"/>
    <x v="1"/>
    <n v="11"/>
    <n v="692"/>
    <x v="0"/>
    <n v="382"/>
    <x v="3"/>
    <x v="3"/>
    <x v="0"/>
    <n v="2"/>
    <n v="5"/>
    <n v="6"/>
    <n v="1"/>
    <n v="0"/>
    <n v="13"/>
    <n v="0"/>
    <n v="0"/>
    <n v="0"/>
    <n v="0"/>
    <n v="0"/>
    <n v="0"/>
    <n v="3"/>
    <n v="21"/>
    <n v="1"/>
    <n v="13"/>
    <n v="7"/>
    <n v="0"/>
    <n v="12"/>
    <n v="0"/>
    <n v="0"/>
    <n v="27"/>
    <n v="11"/>
    <n v="6"/>
  </r>
  <r>
    <x v="436"/>
    <x v="2"/>
    <x v="891"/>
    <n v="1995"/>
    <n v="23"/>
    <x v="22"/>
    <s v="England"/>
    <n v="13500000"/>
    <n v="27000000"/>
    <x v="1"/>
    <n v="29"/>
    <n v="2592"/>
    <x v="0"/>
    <n v="1658"/>
    <x v="2"/>
    <x v="12"/>
    <x v="0"/>
    <n v="0"/>
    <n v="1"/>
    <n v="21"/>
    <n v="7"/>
    <n v="0"/>
    <n v="39"/>
    <n v="0"/>
    <n v="0"/>
    <n v="0"/>
    <n v="1"/>
    <n v="2"/>
    <n v="14"/>
    <n v="15"/>
    <n v="52"/>
    <n v="12"/>
    <n v="21"/>
    <n v="42"/>
    <n v="0"/>
    <n v="55"/>
    <n v="0"/>
    <n v="0"/>
    <n v="80"/>
    <n v="49"/>
    <n v="28"/>
  </r>
  <r>
    <x v="436"/>
    <x v="1"/>
    <x v="892"/>
    <n v="1995"/>
    <n v="22"/>
    <x v="22"/>
    <s v="England"/>
    <n v="18000000"/>
    <n v="13500000"/>
    <x v="1"/>
    <n v="11"/>
    <n v="788"/>
    <x v="0"/>
    <n v="477"/>
    <x v="0"/>
    <x v="4"/>
    <x v="0"/>
    <n v="3"/>
    <n v="1"/>
    <n v="12"/>
    <n v="5"/>
    <n v="1"/>
    <n v="11"/>
    <n v="0"/>
    <n v="0"/>
    <n v="0"/>
    <n v="0"/>
    <n v="0"/>
    <n v="7"/>
    <n v="7"/>
    <n v="30"/>
    <n v="2"/>
    <n v="4"/>
    <n v="4"/>
    <n v="0"/>
    <n v="18"/>
    <n v="0"/>
    <n v="0"/>
    <n v="19"/>
    <n v="17"/>
    <n v="19"/>
  </r>
  <r>
    <x v="437"/>
    <x v="3"/>
    <x v="893"/>
    <n v="1995"/>
    <n v="20"/>
    <x v="12"/>
    <s v="United States"/>
    <n v="5500000"/>
    <n v="4400000"/>
    <x v="2"/>
    <n v="11"/>
    <n v="364"/>
    <x v="0"/>
    <n v="99"/>
    <x v="0"/>
    <x v="6"/>
    <x v="0"/>
    <n v="7"/>
    <n v="3"/>
    <n v="3"/>
    <n v="0"/>
    <n v="0"/>
    <n v="1"/>
    <n v="0"/>
    <n v="0"/>
    <n v="0"/>
    <n v="0"/>
    <n v="0"/>
    <n v="0"/>
    <n v="4"/>
    <n v="13"/>
    <n v="0"/>
    <n v="5"/>
    <n v="9"/>
    <n v="0"/>
    <n v="12"/>
    <n v="0"/>
    <n v="0"/>
    <n v="2"/>
    <n v="1"/>
    <n v="7"/>
  </r>
  <r>
    <x v="438"/>
    <x v="3"/>
    <x v="894"/>
    <n v="1996"/>
    <n v="20"/>
    <x v="14"/>
    <s v="France"/>
    <n v="4400000"/>
    <n v="4400000"/>
    <x v="2"/>
    <n v="11"/>
    <n v="265"/>
    <x v="0"/>
    <n v="63"/>
    <x v="0"/>
    <x v="0"/>
    <x v="0"/>
    <n v="8"/>
    <n v="3"/>
    <n v="10"/>
    <n v="3"/>
    <n v="0"/>
    <n v="4"/>
    <n v="0"/>
    <n v="0"/>
    <n v="0"/>
    <n v="1"/>
    <n v="0"/>
    <n v="2"/>
    <n v="0"/>
    <n v="3"/>
    <n v="1"/>
    <n v="0"/>
    <n v="6"/>
    <n v="0"/>
    <n v="4"/>
    <n v="0"/>
    <n v="0"/>
    <n v="5"/>
    <n v="7"/>
    <n v="7"/>
  </r>
  <r>
    <x v="438"/>
    <x v="1"/>
    <x v="895"/>
    <n v="1996"/>
    <n v="21"/>
    <x v="14"/>
    <s v="France"/>
    <n v="4400000"/>
    <n v="3850000"/>
    <x v="2"/>
    <n v="23"/>
    <n v="585"/>
    <x v="5"/>
    <n v="161"/>
    <x v="0"/>
    <x v="3"/>
    <x v="0"/>
    <n v="19"/>
    <n v="4"/>
    <n v="22"/>
    <n v="5"/>
    <n v="0"/>
    <n v="4"/>
    <n v="1"/>
    <n v="0"/>
    <n v="0"/>
    <n v="0"/>
    <n v="0"/>
    <n v="17"/>
    <n v="0"/>
    <n v="9"/>
    <n v="2"/>
    <n v="3"/>
    <n v="11"/>
    <n v="0"/>
    <n v="9"/>
    <n v="0"/>
    <n v="0"/>
    <n v="8"/>
    <n v="8"/>
    <n v="22"/>
  </r>
  <r>
    <x v="438"/>
    <x v="2"/>
    <x v="896"/>
    <n v="1996"/>
    <n v="22"/>
    <x v="14"/>
    <s v="France"/>
    <n v="8800000"/>
    <n v="11000000"/>
    <x v="2"/>
    <n v="24"/>
    <n v="350"/>
    <x v="4"/>
    <n v="121"/>
    <x v="0"/>
    <x v="3"/>
    <x v="0"/>
    <n v="23"/>
    <n v="0"/>
    <n v="12"/>
    <n v="7"/>
    <n v="0"/>
    <n v="0"/>
    <n v="0"/>
    <n v="0"/>
    <n v="0"/>
    <n v="4"/>
    <n v="2"/>
    <n v="5"/>
    <n v="0"/>
    <n v="3"/>
    <n v="0"/>
    <n v="1"/>
    <n v="7"/>
    <n v="0"/>
    <n v="3"/>
    <n v="0"/>
    <n v="0"/>
    <n v="2"/>
    <n v="9"/>
    <n v="13"/>
  </r>
  <r>
    <x v="439"/>
    <x v="3"/>
    <x v="897"/>
    <n v="1994"/>
    <n v="21"/>
    <x v="9"/>
    <s v="Senegal"/>
    <n v="13500000"/>
    <n v="16500000"/>
    <x v="0"/>
    <n v="16"/>
    <n v="1254"/>
    <x v="5"/>
    <n v="405"/>
    <x v="5"/>
    <x v="4"/>
    <x v="0"/>
    <n v="1"/>
    <n v="9"/>
    <n v="32"/>
    <n v="13"/>
    <n v="0"/>
    <n v="4"/>
    <n v="1"/>
    <n v="0"/>
    <n v="0"/>
    <n v="5"/>
    <n v="2"/>
    <n v="0"/>
    <n v="2"/>
    <n v="37"/>
    <n v="1"/>
    <n v="11"/>
    <n v="24"/>
    <n v="0"/>
    <n v="11"/>
    <n v="0"/>
    <n v="0"/>
    <n v="9"/>
    <n v="15"/>
    <n v="49"/>
  </r>
  <r>
    <x v="440"/>
    <x v="0"/>
    <x v="898"/>
    <n v="1990"/>
    <n v="25"/>
    <x v="13"/>
    <s v="France"/>
    <n v="16200000"/>
    <n v="16200000"/>
    <x v="1"/>
    <n v="22"/>
    <n v="1855"/>
    <x v="4"/>
    <n v="1243"/>
    <x v="0"/>
    <x v="3"/>
    <x v="0"/>
    <n v="1"/>
    <n v="2"/>
    <n v="6"/>
    <n v="1"/>
    <n v="0"/>
    <n v="90"/>
    <n v="0"/>
    <n v="0"/>
    <n v="0"/>
    <n v="0"/>
    <n v="0"/>
    <n v="1"/>
    <n v="0"/>
    <n v="0"/>
    <n v="22"/>
    <n v="37"/>
    <n v="9"/>
    <n v="0"/>
    <n v="30"/>
    <n v="0"/>
    <n v="0"/>
    <n v="137"/>
    <n v="75"/>
    <n v="45"/>
  </r>
  <r>
    <x v="440"/>
    <x v="2"/>
    <x v="899"/>
    <n v="1990"/>
    <n v="28"/>
    <x v="8"/>
    <s v="France"/>
    <n v="13500000"/>
    <n v="13500000"/>
    <x v="1"/>
    <n v="27"/>
    <n v="2417"/>
    <x v="0"/>
    <n v="1321"/>
    <x v="0"/>
    <x v="4"/>
    <x v="0"/>
    <n v="0"/>
    <n v="1"/>
    <n v="4"/>
    <n v="0"/>
    <n v="0"/>
    <n v="82"/>
    <n v="0"/>
    <n v="0"/>
    <n v="0"/>
    <n v="0"/>
    <n v="0"/>
    <n v="4"/>
    <n v="0"/>
    <n v="0"/>
    <n v="16"/>
    <n v="41"/>
    <n v="5"/>
    <n v="0"/>
    <n v="25"/>
    <n v="0"/>
    <n v="0"/>
    <n v="132"/>
    <n v="51"/>
    <n v="37"/>
  </r>
  <r>
    <x v="440"/>
    <x v="1"/>
    <x v="900"/>
    <n v="1990"/>
    <n v="27"/>
    <x v="8"/>
    <s v="France"/>
    <n v="13500000"/>
    <n v="13500000"/>
    <x v="1"/>
    <n v="19"/>
    <n v="1600"/>
    <x v="4"/>
    <n v="739"/>
    <x v="5"/>
    <x v="3"/>
    <x v="0"/>
    <n v="1"/>
    <n v="1"/>
    <n v="1"/>
    <n v="1"/>
    <n v="1"/>
    <n v="61"/>
    <n v="0"/>
    <n v="0"/>
    <n v="0"/>
    <n v="0"/>
    <n v="1"/>
    <n v="0"/>
    <n v="0"/>
    <n v="0"/>
    <n v="11"/>
    <n v="30"/>
    <n v="3"/>
    <n v="1"/>
    <n v="21"/>
    <n v="1"/>
    <n v="0"/>
    <n v="99"/>
    <n v="41"/>
    <n v="35"/>
  </r>
  <r>
    <x v="441"/>
    <x v="0"/>
    <x v="901"/>
    <n v="1987"/>
    <n v="27"/>
    <x v="25"/>
    <s v="Senegal"/>
    <n v="10000000"/>
    <n v="7200000"/>
    <x v="0"/>
    <n v="26"/>
    <n v="1269"/>
    <x v="2"/>
    <n v="264"/>
    <x v="0"/>
    <x v="6"/>
    <x v="0"/>
    <n v="14"/>
    <n v="5"/>
    <n v="31"/>
    <n v="16"/>
    <n v="0"/>
    <n v="7"/>
    <n v="5"/>
    <n v="0"/>
    <n v="0"/>
    <n v="8"/>
    <n v="1"/>
    <n v="7"/>
    <n v="0"/>
    <n v="8"/>
    <n v="1"/>
    <n v="5"/>
    <n v="21"/>
    <n v="0"/>
    <n v="18"/>
    <n v="0"/>
    <n v="0"/>
    <n v="18"/>
    <n v="34"/>
    <n v="53"/>
  </r>
  <r>
    <x v="441"/>
    <x v="3"/>
    <x v="902"/>
    <n v="1987"/>
    <n v="28"/>
    <x v="25"/>
    <s v="Senegal"/>
    <n v="7200000"/>
    <n v="6300000"/>
    <x v="0"/>
    <n v="27"/>
    <n v="1382"/>
    <x v="4"/>
    <n v="363"/>
    <x v="5"/>
    <x v="6"/>
    <x v="0"/>
    <n v="12"/>
    <n v="9"/>
    <n v="20"/>
    <n v="4"/>
    <n v="0"/>
    <n v="19"/>
    <n v="0"/>
    <n v="0"/>
    <n v="0"/>
    <n v="10"/>
    <n v="0"/>
    <n v="4"/>
    <n v="0"/>
    <n v="26"/>
    <n v="3"/>
    <n v="18"/>
    <n v="28"/>
    <n v="0"/>
    <n v="35"/>
    <n v="0"/>
    <n v="0"/>
    <n v="37"/>
    <n v="81"/>
    <n v="70"/>
  </r>
  <r>
    <x v="441"/>
    <x v="1"/>
    <x v="903"/>
    <n v="1987"/>
    <n v="30"/>
    <x v="25"/>
    <s v="Senegal"/>
    <n v="6300000"/>
    <n v="6300000"/>
    <x v="0"/>
    <n v="35"/>
    <n v="2601"/>
    <x v="14"/>
    <n v="558"/>
    <x v="5"/>
    <x v="8"/>
    <x v="0"/>
    <n v="5"/>
    <n v="11"/>
    <n v="59"/>
    <n v="20"/>
    <n v="0"/>
    <n v="43"/>
    <n v="1"/>
    <n v="0"/>
    <n v="0"/>
    <n v="23"/>
    <n v="0"/>
    <n v="39"/>
    <n v="0"/>
    <n v="34"/>
    <n v="0"/>
    <n v="14"/>
    <n v="38"/>
    <n v="0"/>
    <n v="48"/>
    <n v="0"/>
    <n v="0"/>
    <n v="70"/>
    <n v="145"/>
    <n v="160"/>
  </r>
  <r>
    <x v="442"/>
    <x v="3"/>
    <x v="904"/>
    <n v="1991"/>
    <n v="24"/>
    <x v="27"/>
    <s v="Italy"/>
    <n v="18700000"/>
    <n v="13500000"/>
    <x v="0"/>
    <n v="11"/>
    <n v="731"/>
    <x v="6"/>
    <n v="117"/>
    <x v="0"/>
    <x v="3"/>
    <x v="0"/>
    <n v="1"/>
    <n v="8"/>
    <n v="29"/>
    <n v="11"/>
    <n v="0"/>
    <n v="8"/>
    <n v="0"/>
    <n v="0"/>
    <n v="0"/>
    <n v="10"/>
    <n v="0"/>
    <n v="3"/>
    <n v="0"/>
    <n v="3"/>
    <n v="0"/>
    <n v="3"/>
    <n v="8"/>
    <n v="0"/>
    <n v="2"/>
    <n v="0"/>
    <n v="0"/>
    <n v="10"/>
    <n v="9"/>
    <n v="22"/>
  </r>
  <r>
    <x v="442"/>
    <x v="1"/>
    <x v="905"/>
    <n v="1991"/>
    <n v="26"/>
    <x v="27"/>
    <s v="Italy"/>
    <n v="13500000"/>
    <n v="10800000"/>
    <x v="0"/>
    <n v="28"/>
    <n v="1074"/>
    <x v="2"/>
    <n v="223"/>
    <x v="0"/>
    <x v="4"/>
    <x v="0"/>
    <n v="17"/>
    <n v="8"/>
    <n v="22"/>
    <n v="10"/>
    <n v="2"/>
    <n v="3"/>
    <n v="0"/>
    <n v="1"/>
    <n v="0"/>
    <n v="10"/>
    <n v="1"/>
    <n v="12"/>
    <n v="0"/>
    <n v="5"/>
    <n v="0"/>
    <n v="4"/>
    <n v="14"/>
    <n v="0"/>
    <n v="3"/>
    <n v="0"/>
    <n v="0"/>
    <n v="6"/>
    <n v="14"/>
    <n v="36"/>
  </r>
  <r>
    <x v="442"/>
    <x v="2"/>
    <x v="906"/>
    <n v="1991"/>
    <n v="26"/>
    <x v="27"/>
    <s v="Italy"/>
    <n v="10800000"/>
    <n v="10800000"/>
    <x v="0"/>
    <n v="12"/>
    <n v="470"/>
    <x v="4"/>
    <n v="121"/>
    <x v="0"/>
    <x v="0"/>
    <x v="0"/>
    <n v="8"/>
    <n v="2"/>
    <n v="20"/>
    <n v="8"/>
    <n v="0"/>
    <n v="3"/>
    <n v="0"/>
    <n v="0"/>
    <n v="0"/>
    <n v="1"/>
    <n v="1"/>
    <n v="12"/>
    <n v="0"/>
    <n v="4"/>
    <n v="0"/>
    <n v="3"/>
    <n v="9"/>
    <n v="0"/>
    <n v="6"/>
    <n v="0"/>
    <n v="0"/>
    <n v="5"/>
    <n v="8"/>
    <n v="29"/>
  </r>
  <r>
    <x v="443"/>
    <x v="0"/>
    <x v="907"/>
    <n v="1993"/>
    <n v="22"/>
    <x v="3"/>
    <s v="Argentina"/>
    <n v="11000000"/>
    <n v="16500000"/>
    <x v="2"/>
    <n v="26"/>
    <n v="1920"/>
    <x v="14"/>
    <n v="1093"/>
    <x v="5"/>
    <x v="6"/>
    <x v="0"/>
    <n v="3"/>
    <n v="13"/>
    <n v="48"/>
    <n v="11"/>
    <n v="1"/>
    <n v="2"/>
    <n v="0"/>
    <n v="0"/>
    <n v="0"/>
    <n v="6"/>
    <n v="2"/>
    <n v="4"/>
    <n v="19"/>
    <n v="44"/>
    <n v="3"/>
    <n v="24"/>
    <n v="9"/>
    <n v="0"/>
    <n v="33"/>
    <n v="0"/>
    <n v="0"/>
    <n v="5"/>
    <n v="4"/>
    <n v="11"/>
  </r>
  <r>
    <x v="443"/>
    <x v="3"/>
    <x v="908"/>
    <n v="1993"/>
    <n v="23"/>
    <x v="3"/>
    <s v="Argentina"/>
    <n v="16500000"/>
    <n v="22000000"/>
    <x v="2"/>
    <n v="35"/>
    <n v="2711"/>
    <x v="9"/>
    <n v="1581"/>
    <x v="5"/>
    <x v="10"/>
    <x v="0"/>
    <n v="4"/>
    <n v="13"/>
    <n v="69"/>
    <n v="21"/>
    <n v="0"/>
    <n v="2"/>
    <n v="0"/>
    <n v="2"/>
    <n v="1"/>
    <n v="7"/>
    <n v="7"/>
    <n v="1"/>
    <n v="44"/>
    <n v="72"/>
    <n v="1"/>
    <n v="45"/>
    <n v="21"/>
    <n v="0"/>
    <n v="44"/>
    <n v="0"/>
    <n v="0"/>
    <n v="10"/>
    <n v="4"/>
    <n v="14"/>
  </r>
  <r>
    <x v="443"/>
    <x v="1"/>
    <x v="909"/>
    <n v="1993"/>
    <n v="24"/>
    <x v="3"/>
    <s v="Argentina"/>
    <n v="22000000"/>
    <n v="22000000"/>
    <x v="2"/>
    <n v="27"/>
    <n v="2048"/>
    <x v="2"/>
    <n v="1214"/>
    <x v="1"/>
    <x v="5"/>
    <x v="0"/>
    <n v="4"/>
    <n v="9"/>
    <n v="44"/>
    <n v="18"/>
    <n v="0"/>
    <n v="1"/>
    <n v="0"/>
    <n v="0"/>
    <n v="0"/>
    <n v="3"/>
    <n v="6"/>
    <n v="26"/>
    <n v="51"/>
    <n v="82"/>
    <n v="1"/>
    <n v="30"/>
    <n v="9"/>
    <n v="0"/>
    <n v="20"/>
    <n v="1"/>
    <n v="0"/>
    <n v="5"/>
    <n v="3"/>
    <n v="10"/>
  </r>
  <r>
    <x v="443"/>
    <x v="2"/>
    <x v="910"/>
    <n v="1993"/>
    <n v="25"/>
    <x v="3"/>
    <s v="Argentina"/>
    <n v="1650000"/>
    <n v="6600000"/>
    <x v="2"/>
    <n v="10"/>
    <n v="689"/>
    <x v="4"/>
    <n v="452"/>
    <x v="3"/>
    <x v="4"/>
    <x v="0"/>
    <n v="2"/>
    <n v="4"/>
    <n v="11"/>
    <n v="4"/>
    <n v="0"/>
    <n v="0"/>
    <n v="1"/>
    <n v="0"/>
    <n v="0"/>
    <n v="0"/>
    <n v="4"/>
    <n v="7"/>
    <n v="6"/>
    <n v="16"/>
    <n v="1"/>
    <n v="9"/>
    <n v="5"/>
    <n v="0"/>
    <n v="12"/>
    <n v="0"/>
    <n v="0"/>
    <n v="7"/>
    <n v="3"/>
    <n v="11"/>
  </r>
  <r>
    <x v="444"/>
    <x v="0"/>
    <x v="911"/>
    <n v="1989"/>
    <n v="25"/>
    <x v="17"/>
    <s v="England"/>
    <n v="6600000"/>
    <n v="6600000"/>
    <x v="2"/>
    <n v="38"/>
    <n v="2765"/>
    <x v="5"/>
    <n v="912"/>
    <x v="1"/>
    <x v="5"/>
    <x v="0"/>
    <n v="4"/>
    <n v="22"/>
    <n v="42"/>
    <n v="11"/>
    <n v="1"/>
    <n v="5"/>
    <n v="0"/>
    <n v="0"/>
    <n v="0"/>
    <n v="3"/>
    <n v="4"/>
    <n v="2"/>
    <n v="80"/>
    <n v="272"/>
    <n v="0"/>
    <n v="49"/>
    <n v="21"/>
    <n v="0"/>
    <n v="65"/>
    <n v="0"/>
    <n v="0"/>
    <n v="19"/>
    <n v="11"/>
    <n v="38"/>
  </r>
  <r>
    <x v="444"/>
    <x v="3"/>
    <x v="912"/>
    <n v="1989"/>
    <n v="26"/>
    <x v="17"/>
    <s v="England"/>
    <n v="11000000"/>
    <n v="11000000"/>
    <x v="2"/>
    <n v="33"/>
    <n v="2423"/>
    <x v="5"/>
    <n v="874"/>
    <x v="1"/>
    <x v="2"/>
    <x v="0"/>
    <n v="4"/>
    <n v="17"/>
    <n v="21"/>
    <n v="7"/>
    <n v="0"/>
    <n v="6"/>
    <n v="0"/>
    <n v="0"/>
    <n v="1"/>
    <n v="2"/>
    <n v="3"/>
    <n v="1"/>
    <n v="82"/>
    <n v="212"/>
    <n v="2"/>
    <n v="35"/>
    <n v="21"/>
    <n v="0"/>
    <n v="50"/>
    <n v="0"/>
    <n v="0"/>
    <n v="30"/>
    <n v="7"/>
    <n v="30"/>
  </r>
  <r>
    <x v="444"/>
    <x v="2"/>
    <x v="913"/>
    <n v="1989"/>
    <n v="28"/>
    <x v="17"/>
    <s v="England"/>
    <n v="6600000"/>
    <n v="11000000"/>
    <x v="2"/>
    <n v="27"/>
    <n v="1626"/>
    <x v="5"/>
    <n v="621"/>
    <x v="5"/>
    <x v="6"/>
    <x v="0"/>
    <n v="9"/>
    <n v="10"/>
    <n v="19"/>
    <n v="7"/>
    <n v="0"/>
    <n v="12"/>
    <n v="2"/>
    <n v="0"/>
    <n v="0"/>
    <n v="2"/>
    <n v="9"/>
    <n v="12"/>
    <n v="8"/>
    <n v="125"/>
    <n v="3"/>
    <n v="23"/>
    <n v="10"/>
    <n v="0"/>
    <n v="36"/>
    <n v="0"/>
    <n v="0"/>
    <n v="24"/>
    <n v="15"/>
    <n v="18"/>
  </r>
  <r>
    <x v="444"/>
    <x v="1"/>
    <x v="914"/>
    <n v="1989"/>
    <n v="28"/>
    <x v="17"/>
    <s v="England"/>
    <n v="2200000"/>
    <n v="2200000"/>
    <x v="2"/>
    <n v="34"/>
    <n v="2543"/>
    <x v="5"/>
    <n v="1005"/>
    <x v="4"/>
    <x v="2"/>
    <x v="1"/>
    <n v="4"/>
    <n v="10"/>
    <n v="20"/>
    <n v="6"/>
    <n v="0"/>
    <n v="11"/>
    <n v="0"/>
    <n v="0"/>
    <n v="0"/>
    <n v="2"/>
    <n v="11"/>
    <n v="14"/>
    <n v="65"/>
    <n v="217"/>
    <n v="4"/>
    <n v="27"/>
    <n v="20"/>
    <n v="0"/>
    <n v="52"/>
    <n v="0"/>
    <n v="0"/>
    <n v="25"/>
    <n v="11"/>
    <n v="15"/>
  </r>
  <r>
    <x v="445"/>
    <x v="3"/>
    <x v="915"/>
    <n v="1992"/>
    <n v="24"/>
    <x v="25"/>
    <s v="Spain"/>
    <n v="3500000"/>
    <n v="3000000"/>
    <x v="1"/>
    <n v="10"/>
    <n v="648"/>
    <x v="0"/>
    <n v="308"/>
    <x v="0"/>
    <x v="4"/>
    <x v="0"/>
    <n v="3"/>
    <n v="0"/>
    <n v="6"/>
    <n v="3"/>
    <n v="1"/>
    <n v="17"/>
    <n v="0"/>
    <n v="0"/>
    <n v="0"/>
    <n v="0"/>
    <n v="0"/>
    <n v="0"/>
    <n v="0"/>
    <n v="8"/>
    <n v="5"/>
    <n v="23"/>
    <n v="9"/>
    <n v="0"/>
    <n v="21"/>
    <n v="0"/>
    <n v="0"/>
    <n v="31"/>
    <n v="11"/>
    <n v="9"/>
  </r>
  <r>
    <x v="445"/>
    <x v="0"/>
    <x v="916"/>
    <n v="1992"/>
    <n v="23"/>
    <x v="25"/>
    <s v="Spain"/>
    <n v="3000000"/>
    <n v="3500000"/>
    <x v="1"/>
    <n v="15"/>
    <n v="1111"/>
    <x v="0"/>
    <n v="530"/>
    <x v="0"/>
    <x v="4"/>
    <x v="0"/>
    <n v="3"/>
    <n v="1"/>
    <n v="3"/>
    <n v="0"/>
    <n v="0"/>
    <n v="23"/>
    <n v="0"/>
    <n v="0"/>
    <n v="0"/>
    <n v="0"/>
    <n v="1"/>
    <n v="0"/>
    <n v="0"/>
    <n v="11"/>
    <n v="11"/>
    <n v="35"/>
    <n v="10"/>
    <n v="2"/>
    <n v="28"/>
    <n v="0"/>
    <n v="0"/>
    <n v="44"/>
    <n v="11"/>
    <n v="15"/>
  </r>
  <r>
    <x v="446"/>
    <x v="0"/>
    <x v="917"/>
    <n v="1987"/>
    <n v="28"/>
    <x v="14"/>
    <s v="England"/>
    <n v="1350000"/>
    <n v="1800000"/>
    <x v="0"/>
    <n v="26"/>
    <n v="1334"/>
    <x v="7"/>
    <n v="501"/>
    <x v="5"/>
    <x v="3"/>
    <x v="0"/>
    <n v="11"/>
    <n v="10"/>
    <n v="22"/>
    <n v="11"/>
    <n v="1"/>
    <n v="8"/>
    <n v="0"/>
    <n v="0"/>
    <n v="0"/>
    <n v="0"/>
    <n v="1"/>
    <n v="2"/>
    <n v="18"/>
    <n v="45"/>
    <n v="0"/>
    <n v="16"/>
    <n v="10"/>
    <n v="0"/>
    <n v="32"/>
    <n v="0"/>
    <n v="0"/>
    <n v="13"/>
    <n v="14"/>
    <n v="31"/>
  </r>
  <r>
    <x v="446"/>
    <x v="3"/>
    <x v="918"/>
    <n v="1987"/>
    <n v="29"/>
    <x v="14"/>
    <s v="England"/>
    <n v="2200000"/>
    <n v="1650000"/>
    <x v="2"/>
    <n v="21"/>
    <n v="1331"/>
    <x v="5"/>
    <n v="497"/>
    <x v="5"/>
    <x v="3"/>
    <x v="0"/>
    <n v="5"/>
    <n v="10"/>
    <n v="18"/>
    <n v="6"/>
    <n v="0"/>
    <n v="10"/>
    <n v="0"/>
    <n v="0"/>
    <n v="0"/>
    <n v="1"/>
    <n v="2"/>
    <n v="2"/>
    <n v="6"/>
    <n v="40"/>
    <n v="2"/>
    <n v="12"/>
    <n v="7"/>
    <n v="0"/>
    <n v="22"/>
    <n v="0"/>
    <n v="0"/>
    <n v="21"/>
    <n v="21"/>
    <n v="17"/>
  </r>
  <r>
    <x v="446"/>
    <x v="1"/>
    <x v="919"/>
    <n v="1987"/>
    <n v="30"/>
    <x v="14"/>
    <s v="England"/>
    <n v="6750000"/>
    <n v="6300000"/>
    <x v="2"/>
    <n v="20"/>
    <n v="982"/>
    <x v="0"/>
    <n v="469"/>
    <x v="0"/>
    <x v="4"/>
    <x v="0"/>
    <n v="9"/>
    <n v="7"/>
    <n v="19"/>
    <n v="5"/>
    <n v="1"/>
    <n v="7"/>
    <n v="0"/>
    <n v="0"/>
    <n v="0"/>
    <n v="2"/>
    <n v="3"/>
    <n v="14"/>
    <n v="5"/>
    <n v="32"/>
    <n v="1"/>
    <n v="13"/>
    <n v="7"/>
    <n v="0"/>
    <n v="7"/>
    <n v="0"/>
    <n v="0"/>
    <n v="13"/>
    <n v="8"/>
    <n v="16"/>
  </r>
  <r>
    <x v="447"/>
    <x v="0"/>
    <x v="920"/>
    <n v="1992"/>
    <n v="22"/>
    <x v="25"/>
    <s v="Netherlands"/>
    <n v="7500000"/>
    <n v="15000000"/>
    <x v="2"/>
    <n v="17"/>
    <n v="752"/>
    <x v="0"/>
    <n v="372"/>
    <x v="0"/>
    <x v="0"/>
    <x v="0"/>
    <n v="9"/>
    <n v="5"/>
    <n v="12"/>
    <n v="2"/>
    <n v="0"/>
    <n v="6"/>
    <n v="0"/>
    <n v="0"/>
    <n v="0"/>
    <n v="0"/>
    <n v="0"/>
    <n v="0"/>
    <n v="0"/>
    <n v="10"/>
    <n v="0"/>
    <n v="22"/>
    <n v="14"/>
    <n v="0"/>
    <n v="28"/>
    <n v="0"/>
    <n v="0"/>
    <n v="16"/>
    <n v="13"/>
    <n v="13"/>
  </r>
  <r>
    <x v="448"/>
    <x v="3"/>
    <x v="921"/>
    <n v="1990"/>
    <n v="25"/>
    <x v="1"/>
    <s v="Spain"/>
    <n v="9000000"/>
    <n v="25000000"/>
    <x v="1"/>
    <n v="31"/>
    <n v="2694"/>
    <x v="14"/>
    <n v="1250"/>
    <x v="6"/>
    <x v="4"/>
    <x v="0"/>
    <n v="1"/>
    <n v="2"/>
    <n v="46"/>
    <n v="16"/>
    <n v="4"/>
    <n v="40"/>
    <n v="1"/>
    <n v="0"/>
    <n v="1"/>
    <n v="3"/>
    <n v="2"/>
    <n v="2"/>
    <n v="0"/>
    <n v="102"/>
    <n v="5"/>
    <n v="44"/>
    <n v="25"/>
    <n v="0"/>
    <n v="56"/>
    <n v="0"/>
    <n v="0"/>
    <n v="76"/>
    <n v="73"/>
    <n v="41"/>
  </r>
  <r>
    <x v="448"/>
    <x v="2"/>
    <x v="922"/>
    <n v="1990"/>
    <n v="27"/>
    <x v="1"/>
    <s v="Spain"/>
    <n v="40000000"/>
    <n v="40000000"/>
    <x v="1"/>
    <n v="31"/>
    <n v="2761"/>
    <x v="5"/>
    <n v="1881"/>
    <x v="2"/>
    <x v="8"/>
    <x v="0"/>
    <n v="0"/>
    <n v="2"/>
    <n v="45"/>
    <n v="7"/>
    <n v="6"/>
    <n v="46"/>
    <n v="0"/>
    <n v="0"/>
    <n v="0"/>
    <n v="2"/>
    <n v="2"/>
    <n v="38"/>
    <n v="0"/>
    <n v="98"/>
    <n v="2"/>
    <n v="39"/>
    <n v="28"/>
    <n v="0"/>
    <n v="74"/>
    <n v="0"/>
    <n v="0"/>
    <n v="86"/>
    <n v="66"/>
    <n v="54"/>
  </r>
  <r>
    <x v="448"/>
    <x v="1"/>
    <x v="923"/>
    <n v="1990"/>
    <n v="27"/>
    <x v="1"/>
    <s v="Spain"/>
    <n v="25000000"/>
    <n v="40000000"/>
    <x v="1"/>
    <n v="33"/>
    <n v="2860"/>
    <x v="8"/>
    <n v="1347"/>
    <x v="5"/>
    <x v="8"/>
    <x v="0"/>
    <n v="0"/>
    <n v="5"/>
    <n v="65"/>
    <n v="23"/>
    <n v="0"/>
    <n v="28"/>
    <n v="2"/>
    <n v="0"/>
    <n v="2"/>
    <n v="8"/>
    <n v="0"/>
    <n v="42"/>
    <n v="0"/>
    <n v="96"/>
    <n v="5"/>
    <n v="47"/>
    <n v="26"/>
    <n v="0"/>
    <n v="51"/>
    <n v="1"/>
    <n v="0"/>
    <n v="60"/>
    <n v="61"/>
    <n v="54"/>
  </r>
  <r>
    <x v="449"/>
    <x v="3"/>
    <x v="924"/>
    <n v="1990"/>
    <n v="26"/>
    <x v="22"/>
    <s v="Argentina"/>
    <n v="17100000"/>
    <n v="16200000"/>
    <x v="1"/>
    <n v="21"/>
    <n v="1660"/>
    <x v="4"/>
    <n v="951"/>
    <x v="0"/>
    <x v="2"/>
    <x v="0"/>
    <n v="3"/>
    <n v="1"/>
    <n v="14"/>
    <n v="4"/>
    <n v="0"/>
    <n v="83"/>
    <n v="0"/>
    <n v="0"/>
    <n v="0"/>
    <n v="0"/>
    <n v="0"/>
    <n v="0"/>
    <n v="0"/>
    <n v="10"/>
    <n v="6"/>
    <n v="33"/>
    <n v="24"/>
    <n v="0"/>
    <n v="29"/>
    <n v="0"/>
    <n v="0"/>
    <n v="143"/>
    <n v="46"/>
    <n v="28"/>
  </r>
  <r>
    <x v="449"/>
    <x v="0"/>
    <x v="925"/>
    <n v="1990"/>
    <n v="25"/>
    <x v="22"/>
    <s v="Argentina"/>
    <n v="16200000"/>
    <n v="17100000"/>
    <x v="1"/>
    <n v="16"/>
    <n v="1253"/>
    <x v="0"/>
    <n v="700"/>
    <x v="3"/>
    <x v="6"/>
    <x v="0"/>
    <n v="1"/>
    <n v="6"/>
    <n v="8"/>
    <n v="1"/>
    <n v="0"/>
    <n v="18"/>
    <n v="0"/>
    <n v="0"/>
    <n v="0"/>
    <n v="0"/>
    <n v="0"/>
    <n v="0"/>
    <n v="0"/>
    <n v="53"/>
    <n v="5"/>
    <n v="28"/>
    <n v="20"/>
    <n v="0"/>
    <n v="43"/>
    <n v="0"/>
    <n v="0"/>
    <n v="32"/>
    <n v="30"/>
    <n v="24"/>
  </r>
  <r>
    <x v="450"/>
    <x v="0"/>
    <x v="926"/>
    <n v="1997"/>
    <n v="17"/>
    <x v="22"/>
    <s v="England"/>
    <n v="3300000"/>
    <n v="5400000"/>
    <x v="0"/>
    <n v="11"/>
    <n v="861"/>
    <x v="2"/>
    <n v="199"/>
    <x v="5"/>
    <x v="0"/>
    <x v="0"/>
    <n v="0"/>
    <n v="7"/>
    <n v="16"/>
    <n v="8"/>
    <n v="0"/>
    <n v="4"/>
    <n v="0"/>
    <n v="0"/>
    <n v="0"/>
    <n v="4"/>
    <n v="0"/>
    <n v="3"/>
    <n v="0"/>
    <n v="6"/>
    <n v="4"/>
    <n v="2"/>
    <n v="5"/>
    <n v="0"/>
    <n v="7"/>
    <n v="0"/>
    <n v="0"/>
    <n v="9"/>
    <n v="3"/>
    <n v="18"/>
  </r>
  <r>
    <x v="450"/>
    <x v="3"/>
    <x v="927"/>
    <n v="1997"/>
    <n v="18"/>
    <x v="22"/>
    <s v="England"/>
    <n v="5400000"/>
    <n v="16200000"/>
    <x v="0"/>
    <n v="32"/>
    <n v="1701"/>
    <x v="2"/>
    <n v="544"/>
    <x v="3"/>
    <x v="6"/>
    <x v="0"/>
    <n v="16"/>
    <n v="8"/>
    <n v="44"/>
    <n v="17"/>
    <n v="1"/>
    <n v="0"/>
    <n v="0"/>
    <n v="0"/>
    <n v="0"/>
    <n v="11"/>
    <n v="0"/>
    <n v="4"/>
    <n v="19"/>
    <n v="83"/>
    <n v="0"/>
    <n v="12"/>
    <n v="16"/>
    <n v="0"/>
    <n v="16"/>
    <n v="0"/>
    <n v="0"/>
    <n v="6"/>
    <n v="4"/>
    <n v="24"/>
  </r>
  <r>
    <x v="450"/>
    <x v="1"/>
    <x v="928"/>
    <n v="1997"/>
    <n v="20"/>
    <x v="22"/>
    <s v="England"/>
    <n v="16200000"/>
    <n v="58500000"/>
    <x v="0"/>
    <n v="35"/>
    <n v="1807"/>
    <x v="8"/>
    <n v="576"/>
    <x v="8"/>
    <x v="6"/>
    <x v="0"/>
    <n v="18"/>
    <n v="10"/>
    <n v="61"/>
    <n v="21"/>
    <n v="2"/>
    <n v="8"/>
    <n v="2"/>
    <n v="0"/>
    <n v="0"/>
    <n v="9"/>
    <n v="8"/>
    <n v="40"/>
    <n v="41"/>
    <n v="81"/>
    <n v="0"/>
    <n v="8"/>
    <n v="21"/>
    <n v="0"/>
    <n v="14"/>
    <n v="0"/>
    <n v="0"/>
    <n v="14"/>
    <n v="18"/>
    <n v="25"/>
  </r>
  <r>
    <x v="450"/>
    <x v="2"/>
    <x v="929"/>
    <n v="1997"/>
    <n v="20"/>
    <x v="22"/>
    <s v="England"/>
    <n v="58500000"/>
    <n v="72000000"/>
    <x v="0"/>
    <n v="33"/>
    <n v="2342"/>
    <x v="15"/>
    <n v="666"/>
    <x v="1"/>
    <x v="6"/>
    <x v="1"/>
    <n v="7"/>
    <n v="15"/>
    <n v="84"/>
    <n v="40"/>
    <n v="0"/>
    <n v="13"/>
    <n v="0"/>
    <n v="0"/>
    <n v="1"/>
    <n v="15"/>
    <n v="3"/>
    <n v="44"/>
    <n v="23"/>
    <n v="55"/>
    <n v="0"/>
    <n v="3"/>
    <n v="26"/>
    <n v="0"/>
    <n v="24"/>
    <n v="0"/>
    <n v="0"/>
    <n v="24"/>
    <n v="29"/>
    <n v="44"/>
  </r>
  <r>
    <x v="451"/>
    <x v="1"/>
    <x v="930"/>
    <n v="1993"/>
    <n v="24"/>
    <x v="27"/>
    <s v="Gabon"/>
    <n v="15000000"/>
    <n v="15000000"/>
    <x v="2"/>
    <n v="25"/>
    <n v="1721"/>
    <x v="4"/>
    <n v="971"/>
    <x v="3"/>
    <x v="4"/>
    <x v="0"/>
    <n v="5"/>
    <n v="8"/>
    <n v="23"/>
    <n v="5"/>
    <n v="1"/>
    <n v="21"/>
    <n v="0"/>
    <n v="0"/>
    <n v="0"/>
    <n v="2"/>
    <n v="6"/>
    <n v="18"/>
    <n v="0"/>
    <n v="10"/>
    <n v="6"/>
    <n v="36"/>
    <n v="28"/>
    <n v="0"/>
    <n v="55"/>
    <n v="1"/>
    <n v="0"/>
    <n v="33"/>
    <n v="25"/>
    <n v="13"/>
  </r>
  <r>
    <x v="451"/>
    <x v="2"/>
    <x v="931"/>
    <n v="1993"/>
    <n v="24"/>
    <x v="27"/>
    <s v="Gabon"/>
    <n v="9000000"/>
    <n v="7650000"/>
    <x v="2"/>
    <n v="21"/>
    <n v="1614"/>
    <x v="4"/>
    <n v="809"/>
    <x v="3"/>
    <x v="2"/>
    <x v="0"/>
    <n v="3"/>
    <n v="5"/>
    <n v="25"/>
    <n v="5"/>
    <n v="1"/>
    <n v="14"/>
    <n v="0"/>
    <n v="0"/>
    <n v="0"/>
    <n v="1"/>
    <n v="3"/>
    <n v="20"/>
    <n v="0"/>
    <n v="9"/>
    <n v="3"/>
    <n v="43"/>
    <n v="31"/>
    <n v="0"/>
    <n v="49"/>
    <n v="0"/>
    <n v="0"/>
    <n v="30"/>
    <n v="29"/>
    <n v="16"/>
  </r>
  <r>
    <x v="452"/>
    <x v="0"/>
    <x v="932"/>
    <n v="1987"/>
    <n v="28"/>
    <x v="9"/>
    <s v="Spain"/>
    <n v="7700000"/>
    <n v="7700000"/>
    <x v="2"/>
    <n v="15"/>
    <n v="744"/>
    <x v="0"/>
    <n v="422"/>
    <x v="0"/>
    <x v="4"/>
    <x v="0"/>
    <n v="7"/>
    <n v="3"/>
    <n v="8"/>
    <n v="1"/>
    <n v="0"/>
    <n v="6"/>
    <n v="0"/>
    <n v="0"/>
    <n v="0"/>
    <n v="0"/>
    <n v="1"/>
    <n v="0"/>
    <n v="0"/>
    <n v="2"/>
    <n v="0"/>
    <n v="18"/>
    <n v="14"/>
    <n v="0"/>
    <n v="21"/>
    <n v="0"/>
    <n v="0"/>
    <n v="11"/>
    <n v="9"/>
    <n v="12"/>
  </r>
  <r>
    <x v="453"/>
    <x v="1"/>
    <x v="933"/>
    <n v="1987"/>
    <n v="30"/>
    <x v="3"/>
    <s v="England"/>
    <n v="7700000"/>
    <n v="7700000"/>
    <x v="2"/>
    <n v="29"/>
    <n v="2405"/>
    <x v="6"/>
    <n v="1324"/>
    <x v="0"/>
    <x v="8"/>
    <x v="0"/>
    <n v="1"/>
    <n v="5"/>
    <n v="15"/>
    <n v="6"/>
    <n v="0"/>
    <n v="8"/>
    <n v="0"/>
    <n v="2"/>
    <n v="0"/>
    <n v="2"/>
    <n v="8"/>
    <n v="9"/>
    <n v="7"/>
    <n v="23"/>
    <n v="10"/>
    <n v="47"/>
    <n v="28"/>
    <n v="0"/>
    <n v="61"/>
    <n v="0"/>
    <n v="0"/>
    <n v="22"/>
    <n v="10"/>
    <n v="14"/>
  </r>
  <r>
    <x v="453"/>
    <x v="0"/>
    <x v="934"/>
    <n v="1987"/>
    <n v="28"/>
    <x v="3"/>
    <s v="England"/>
    <n v="7700000"/>
    <n v="7700000"/>
    <x v="2"/>
    <n v="37"/>
    <n v="3204"/>
    <x v="8"/>
    <n v="1923"/>
    <x v="2"/>
    <x v="9"/>
    <x v="0"/>
    <n v="0"/>
    <n v="9"/>
    <n v="34"/>
    <n v="12"/>
    <n v="1"/>
    <n v="7"/>
    <n v="0"/>
    <n v="3"/>
    <n v="0"/>
    <n v="6"/>
    <n v="2"/>
    <n v="0"/>
    <n v="6"/>
    <n v="29"/>
    <n v="12"/>
    <n v="83"/>
    <n v="36"/>
    <n v="0"/>
    <n v="103"/>
    <n v="1"/>
    <n v="0"/>
    <n v="19"/>
    <n v="17"/>
    <n v="17"/>
  </r>
  <r>
    <x v="453"/>
    <x v="3"/>
    <x v="935"/>
    <n v="1987"/>
    <n v="29"/>
    <x v="3"/>
    <s v="England"/>
    <n v="7700000"/>
    <n v="7700000"/>
    <x v="2"/>
    <n v="30"/>
    <n v="2398"/>
    <x v="7"/>
    <n v="1435"/>
    <x v="0"/>
    <x v="7"/>
    <x v="0"/>
    <n v="1"/>
    <n v="11"/>
    <n v="25"/>
    <n v="7"/>
    <n v="3"/>
    <n v="8"/>
    <n v="0"/>
    <n v="1"/>
    <n v="1"/>
    <n v="0"/>
    <n v="3"/>
    <n v="1"/>
    <n v="1"/>
    <n v="20"/>
    <n v="6"/>
    <n v="37"/>
    <n v="27"/>
    <n v="0"/>
    <n v="49"/>
    <n v="0"/>
    <n v="0"/>
    <n v="11"/>
    <n v="3"/>
    <n v="8"/>
  </r>
  <r>
    <x v="453"/>
    <x v="2"/>
    <x v="936"/>
    <n v="1987"/>
    <n v="31"/>
    <x v="3"/>
    <s v="England"/>
    <n v="4500000"/>
    <n v="4500000"/>
    <x v="2"/>
    <n v="31"/>
    <n v="2308"/>
    <x v="2"/>
    <n v="1507"/>
    <x v="8"/>
    <x v="8"/>
    <x v="1"/>
    <n v="2"/>
    <n v="18"/>
    <n v="17"/>
    <n v="8"/>
    <n v="0"/>
    <n v="2"/>
    <n v="0"/>
    <n v="4"/>
    <n v="0"/>
    <n v="1"/>
    <n v="10"/>
    <n v="9"/>
    <n v="1"/>
    <n v="23"/>
    <n v="2"/>
    <n v="21"/>
    <n v="23"/>
    <n v="0"/>
    <n v="47"/>
    <n v="0"/>
    <n v="0"/>
    <n v="12"/>
    <n v="8"/>
    <n v="8"/>
  </r>
  <r>
    <x v="454"/>
    <x v="0"/>
    <x v="937"/>
    <n v="1989"/>
    <n v="26"/>
    <x v="3"/>
    <s v="Austria"/>
    <n v="5500000"/>
    <n v="9000000"/>
    <x v="0"/>
    <n v="34"/>
    <n v="2818"/>
    <x v="1"/>
    <n v="1081"/>
    <x v="1"/>
    <x v="4"/>
    <x v="0"/>
    <n v="1"/>
    <n v="14"/>
    <n v="70"/>
    <n v="22"/>
    <n v="4"/>
    <n v="2"/>
    <n v="0"/>
    <n v="3"/>
    <n v="0"/>
    <n v="32"/>
    <n v="9"/>
    <n v="10"/>
    <n v="1"/>
    <n v="56"/>
    <n v="0"/>
    <n v="28"/>
    <n v="49"/>
    <n v="0"/>
    <n v="53"/>
    <n v="0"/>
    <n v="0"/>
    <n v="14"/>
    <n v="7"/>
    <n v="17"/>
  </r>
  <r>
    <x v="454"/>
    <x v="3"/>
    <x v="938"/>
    <n v="1989"/>
    <n v="27"/>
    <x v="3"/>
    <s v="Austria"/>
    <n v="9000000"/>
    <n v="13500000"/>
    <x v="0"/>
    <n v="32"/>
    <n v="2724"/>
    <x v="14"/>
    <n v="861"/>
    <x v="8"/>
    <x v="10"/>
    <x v="1"/>
    <n v="0"/>
    <n v="11"/>
    <n v="60"/>
    <n v="19"/>
    <n v="2"/>
    <n v="4"/>
    <n v="0"/>
    <n v="0"/>
    <n v="0"/>
    <n v="32"/>
    <n v="8"/>
    <n v="12"/>
    <n v="20"/>
    <n v="110"/>
    <n v="2"/>
    <n v="25"/>
    <n v="41"/>
    <n v="0"/>
    <n v="32"/>
    <n v="0"/>
    <n v="0"/>
    <n v="20"/>
    <n v="13"/>
    <n v="32"/>
  </r>
  <r>
    <x v="454"/>
    <x v="1"/>
    <x v="939"/>
    <n v="1989"/>
    <n v="28"/>
    <x v="3"/>
    <s v="Austria"/>
    <n v="13500000"/>
    <n v="22500000"/>
    <x v="0"/>
    <n v="31"/>
    <n v="2322"/>
    <x v="1"/>
    <n v="684"/>
    <x v="1"/>
    <x v="2"/>
    <x v="1"/>
    <n v="3"/>
    <n v="13"/>
    <n v="71"/>
    <n v="33"/>
    <n v="5"/>
    <n v="19"/>
    <n v="0"/>
    <n v="0"/>
    <n v="0"/>
    <n v="43"/>
    <n v="9"/>
    <n v="38"/>
    <n v="3"/>
    <n v="61"/>
    <n v="3"/>
    <n v="13"/>
    <n v="35"/>
    <n v="0"/>
    <n v="21"/>
    <n v="0"/>
    <n v="0"/>
    <n v="32"/>
    <n v="22"/>
    <n v="40"/>
  </r>
  <r>
    <x v="454"/>
    <x v="2"/>
    <x v="940"/>
    <n v="1989"/>
    <n v="29"/>
    <x v="3"/>
    <s v="Austria"/>
    <n v="22500000"/>
    <n v="31500000"/>
    <x v="0"/>
    <n v="28"/>
    <n v="1999"/>
    <x v="15"/>
    <n v="640"/>
    <x v="2"/>
    <x v="6"/>
    <x v="0"/>
    <n v="4"/>
    <n v="14"/>
    <n v="62"/>
    <n v="32"/>
    <n v="1"/>
    <n v="3"/>
    <n v="1"/>
    <n v="1"/>
    <n v="0"/>
    <n v="21"/>
    <n v="6"/>
    <n v="30"/>
    <n v="0"/>
    <n v="18"/>
    <n v="2"/>
    <n v="3"/>
    <n v="30"/>
    <n v="0"/>
    <n v="9"/>
    <n v="0"/>
    <n v="0"/>
    <n v="5"/>
    <n v="24"/>
    <n v="26"/>
  </r>
  <r>
    <x v="455"/>
    <x v="3"/>
    <x v="941"/>
    <n v="1992"/>
    <n v="24"/>
    <x v="10"/>
    <s v="Norway"/>
    <n v="22000000"/>
    <n v="16500000"/>
    <x v="2"/>
    <n v="15"/>
    <n v="633"/>
    <x v="0"/>
    <n v="182"/>
    <x v="0"/>
    <x v="3"/>
    <x v="0"/>
    <n v="9"/>
    <n v="4"/>
    <n v="3"/>
    <n v="0"/>
    <n v="0"/>
    <n v="5"/>
    <n v="0"/>
    <n v="0"/>
    <n v="0"/>
    <n v="1"/>
    <n v="1"/>
    <n v="0"/>
    <n v="0"/>
    <n v="12"/>
    <n v="3"/>
    <n v="5"/>
    <n v="15"/>
    <n v="0"/>
    <n v="14"/>
    <n v="0"/>
    <n v="0"/>
    <n v="13"/>
    <n v="7"/>
    <n v="14"/>
  </r>
  <r>
    <x v="456"/>
    <x v="1"/>
    <x v="942"/>
    <n v="1987"/>
    <n v="30"/>
    <x v="23"/>
    <s v="Austria"/>
    <n v="2200000"/>
    <n v="2750000"/>
    <x v="1"/>
    <n v="14"/>
    <n v="1178"/>
    <x v="0"/>
    <n v="438"/>
    <x v="0"/>
    <x v="0"/>
    <x v="0"/>
    <n v="1"/>
    <n v="0"/>
    <n v="0"/>
    <n v="0"/>
    <n v="0"/>
    <n v="20"/>
    <n v="0"/>
    <n v="0"/>
    <n v="0"/>
    <n v="0"/>
    <n v="1"/>
    <n v="0"/>
    <n v="4"/>
    <n v="45"/>
    <n v="2"/>
    <n v="12"/>
    <n v="5"/>
    <n v="0"/>
    <n v="25"/>
    <n v="0"/>
    <n v="0"/>
    <n v="37"/>
    <n v="14"/>
    <n v="13"/>
  </r>
  <r>
    <x v="457"/>
    <x v="0"/>
    <x v="943"/>
    <n v="1984"/>
    <n v="31"/>
    <x v="8"/>
    <s v="Morocco"/>
    <n v="2200000"/>
    <n v="1800000"/>
    <x v="0"/>
    <n v="10"/>
    <n v="250"/>
    <x v="0"/>
    <n v="93"/>
    <x v="0"/>
    <x v="3"/>
    <x v="0"/>
    <n v="9"/>
    <n v="1"/>
    <n v="2"/>
    <n v="1"/>
    <n v="0"/>
    <n v="3"/>
    <n v="0"/>
    <n v="0"/>
    <n v="0"/>
    <n v="4"/>
    <n v="0"/>
    <n v="1"/>
    <n v="0"/>
    <n v="1"/>
    <n v="2"/>
    <n v="1"/>
    <n v="7"/>
    <n v="0"/>
    <n v="7"/>
    <n v="0"/>
    <n v="0"/>
    <n v="3"/>
    <n v="8"/>
    <n v="14"/>
  </r>
  <r>
    <x v="458"/>
    <x v="0"/>
    <x v="944"/>
    <n v="1987"/>
    <n v="27"/>
    <x v="22"/>
    <s v="Belgium"/>
    <n v="16500000"/>
    <n v="13200000"/>
    <x v="2"/>
    <n v="18"/>
    <n v="1068"/>
    <x v="4"/>
    <n v="590"/>
    <x v="0"/>
    <x v="4"/>
    <x v="0"/>
    <n v="6"/>
    <n v="6"/>
    <n v="23"/>
    <n v="8"/>
    <n v="1"/>
    <n v="18"/>
    <n v="0"/>
    <n v="0"/>
    <n v="0"/>
    <n v="4"/>
    <n v="0"/>
    <n v="5"/>
    <n v="0"/>
    <n v="2"/>
    <n v="2"/>
    <n v="10"/>
    <n v="33"/>
    <n v="0"/>
    <n v="25"/>
    <n v="0"/>
    <n v="0"/>
    <n v="22"/>
    <n v="49"/>
    <n v="45"/>
  </r>
  <r>
    <x v="458"/>
    <x v="3"/>
    <x v="945"/>
    <n v="1987"/>
    <n v="28"/>
    <x v="22"/>
    <s v="Belgium"/>
    <n v="13200000"/>
    <n v="13200000"/>
    <x v="2"/>
    <n v="28"/>
    <n v="1599"/>
    <x v="4"/>
    <n v="1057"/>
    <x v="0"/>
    <x v="10"/>
    <x v="1"/>
    <n v="10"/>
    <n v="4"/>
    <n v="23"/>
    <n v="7"/>
    <n v="1"/>
    <n v="39"/>
    <n v="1"/>
    <n v="0"/>
    <n v="0"/>
    <n v="3"/>
    <n v="1"/>
    <n v="0"/>
    <n v="0"/>
    <n v="4"/>
    <n v="5"/>
    <n v="30"/>
    <n v="41"/>
    <n v="0"/>
    <n v="55"/>
    <n v="0"/>
    <n v="0"/>
    <n v="52"/>
    <n v="94"/>
    <n v="29"/>
  </r>
  <r>
    <x v="458"/>
    <x v="1"/>
    <x v="946"/>
    <n v="1987"/>
    <n v="30"/>
    <x v="22"/>
    <s v="Belgium"/>
    <n v="13200000"/>
    <n v="11300000"/>
    <x v="2"/>
    <n v="16"/>
    <n v="612"/>
    <x v="6"/>
    <n v="393"/>
    <x v="0"/>
    <x v="3"/>
    <x v="0"/>
    <n v="11"/>
    <n v="2"/>
    <n v="10"/>
    <n v="7"/>
    <n v="1"/>
    <n v="13"/>
    <n v="2"/>
    <n v="0"/>
    <n v="0"/>
    <n v="3"/>
    <n v="0"/>
    <n v="3"/>
    <n v="0"/>
    <n v="3"/>
    <n v="3"/>
    <n v="14"/>
    <n v="13"/>
    <n v="0"/>
    <n v="15"/>
    <n v="0"/>
    <n v="0"/>
    <n v="18"/>
    <n v="38"/>
    <n v="26"/>
  </r>
  <r>
    <x v="458"/>
    <x v="2"/>
    <x v="947"/>
    <n v="1987"/>
    <n v="30"/>
    <x v="22"/>
    <s v="Belgium"/>
    <n v="9000000"/>
    <n v="9000000"/>
    <x v="2"/>
    <n v="14"/>
    <n v="746"/>
    <x v="0"/>
    <n v="425"/>
    <x v="3"/>
    <x v="3"/>
    <x v="0"/>
    <n v="8"/>
    <n v="0"/>
    <n v="7"/>
    <n v="3"/>
    <n v="0"/>
    <n v="21"/>
    <n v="0"/>
    <n v="0"/>
    <n v="0"/>
    <n v="2"/>
    <n v="0"/>
    <n v="4"/>
    <n v="0"/>
    <n v="6"/>
    <n v="5"/>
    <n v="4"/>
    <n v="15"/>
    <n v="0"/>
    <n v="21"/>
    <n v="0"/>
    <n v="0"/>
    <n v="33"/>
    <n v="48"/>
    <n v="23"/>
  </r>
  <r>
    <x v="459"/>
    <x v="0"/>
    <x v="948"/>
    <n v="1980"/>
    <n v="34"/>
    <x v="19"/>
    <s v="Argentina"/>
    <n v="5500000"/>
    <n v="3850000"/>
    <x v="2"/>
    <n v="20"/>
    <n v="1015"/>
    <x v="0"/>
    <n v="551"/>
    <x v="0"/>
    <x v="6"/>
    <x v="0"/>
    <n v="10"/>
    <n v="1"/>
    <n v="5"/>
    <n v="0"/>
    <n v="0"/>
    <n v="44"/>
    <n v="0"/>
    <n v="0"/>
    <n v="0"/>
    <n v="0"/>
    <n v="0"/>
    <n v="0"/>
    <n v="0"/>
    <n v="0"/>
    <n v="4"/>
    <n v="35"/>
    <n v="12"/>
    <n v="0"/>
    <n v="20"/>
    <n v="0"/>
    <n v="0"/>
    <n v="76"/>
    <n v="35"/>
    <n v="13"/>
  </r>
  <r>
    <x v="460"/>
    <x v="2"/>
    <x v="949"/>
    <n v="1991"/>
    <n v="27"/>
    <x v="23"/>
    <s v="Spain"/>
    <n v="9000000"/>
    <n v="7200000"/>
    <x v="1"/>
    <n v="25"/>
    <n v="2166"/>
    <x v="0"/>
    <n v="858"/>
    <x v="3"/>
    <x v="0"/>
    <x v="0"/>
    <n v="1"/>
    <n v="0"/>
    <n v="8"/>
    <n v="1"/>
    <n v="1"/>
    <n v="24"/>
    <n v="0"/>
    <n v="0"/>
    <n v="0"/>
    <n v="0"/>
    <n v="1"/>
    <n v="7"/>
    <n v="0"/>
    <n v="36"/>
    <n v="10"/>
    <n v="48"/>
    <n v="29"/>
    <n v="0"/>
    <n v="58"/>
    <n v="0"/>
    <n v="0"/>
    <n v="63"/>
    <n v="24"/>
    <n v="27"/>
  </r>
  <r>
    <x v="461"/>
    <x v="3"/>
    <x v="950"/>
    <n v="1991"/>
    <n v="25"/>
    <x v="2"/>
    <s v="Netherlands"/>
    <n v="2200000"/>
    <n v="1100000"/>
    <x v="2"/>
    <n v="33"/>
    <n v="2777"/>
    <x v="6"/>
    <n v="1322"/>
    <x v="0"/>
    <x v="9"/>
    <x v="0"/>
    <n v="1"/>
    <n v="5"/>
    <n v="29"/>
    <n v="7"/>
    <n v="0"/>
    <n v="34"/>
    <n v="2"/>
    <n v="0"/>
    <n v="0"/>
    <n v="3"/>
    <n v="1"/>
    <n v="1"/>
    <n v="0"/>
    <n v="23"/>
    <n v="9"/>
    <n v="43"/>
    <n v="66"/>
    <n v="0"/>
    <n v="73"/>
    <n v="0"/>
    <n v="0"/>
    <n v="64"/>
    <n v="67"/>
    <n v="60"/>
  </r>
  <r>
    <x v="462"/>
    <x v="0"/>
    <x v="951"/>
    <n v="1990"/>
    <n v="25"/>
    <x v="8"/>
    <s v="England"/>
    <n v="3850000"/>
    <n v="3300000"/>
    <x v="2"/>
    <n v="13"/>
    <n v="1043"/>
    <x v="0"/>
    <n v="379"/>
    <x v="0"/>
    <x v="6"/>
    <x v="0"/>
    <n v="2"/>
    <n v="0"/>
    <n v="1"/>
    <n v="0"/>
    <n v="0"/>
    <n v="15"/>
    <n v="0"/>
    <n v="0"/>
    <n v="0"/>
    <n v="0"/>
    <n v="0"/>
    <n v="0"/>
    <n v="0"/>
    <n v="17"/>
    <n v="5"/>
    <n v="18"/>
    <n v="11"/>
    <n v="0"/>
    <n v="32"/>
    <n v="0"/>
    <n v="0"/>
    <n v="38"/>
    <n v="10"/>
    <n v="9"/>
  </r>
  <r>
    <x v="462"/>
    <x v="3"/>
    <x v="952"/>
    <n v="1990"/>
    <n v="26"/>
    <x v="8"/>
    <s v="England"/>
    <n v="3300000"/>
    <n v="3300000"/>
    <x v="2"/>
    <n v="29"/>
    <n v="2128"/>
    <x v="0"/>
    <n v="626"/>
    <x v="5"/>
    <x v="5"/>
    <x v="0"/>
    <n v="4"/>
    <n v="10"/>
    <n v="3"/>
    <n v="0"/>
    <n v="0"/>
    <n v="71"/>
    <n v="0"/>
    <n v="0"/>
    <n v="0"/>
    <n v="0"/>
    <n v="0"/>
    <n v="0"/>
    <n v="0"/>
    <n v="36"/>
    <n v="17"/>
    <n v="25"/>
    <n v="19"/>
    <n v="0"/>
    <n v="46"/>
    <n v="2"/>
    <n v="0"/>
    <n v="131"/>
    <n v="56"/>
    <n v="39"/>
  </r>
  <r>
    <x v="462"/>
    <x v="2"/>
    <x v="953"/>
    <n v="1990"/>
    <n v="28"/>
    <x v="8"/>
    <s v="England"/>
    <n v="33000000"/>
    <n v="38500000"/>
    <x v="2"/>
    <n v="13"/>
    <n v="1110"/>
    <x v="0"/>
    <n v="357"/>
    <x v="0"/>
    <x v="4"/>
    <x v="0"/>
    <n v="1"/>
    <n v="0"/>
    <n v="3"/>
    <n v="1"/>
    <n v="0"/>
    <n v="41"/>
    <n v="0"/>
    <n v="0"/>
    <n v="0"/>
    <n v="0"/>
    <n v="0"/>
    <n v="2"/>
    <n v="0"/>
    <n v="2"/>
    <n v="12"/>
    <n v="11"/>
    <n v="6"/>
    <n v="0"/>
    <n v="21"/>
    <n v="0"/>
    <n v="1"/>
    <n v="85"/>
    <n v="35"/>
    <n v="26"/>
  </r>
  <r>
    <x v="462"/>
    <x v="1"/>
    <x v="954"/>
    <n v="1990"/>
    <n v="27"/>
    <x v="8"/>
    <s v="England"/>
    <n v="3300000"/>
    <n v="3300000"/>
    <x v="1"/>
    <n v="15"/>
    <n v="1194"/>
    <x v="0"/>
    <n v="343"/>
    <x v="0"/>
    <x v="3"/>
    <x v="0"/>
    <n v="3"/>
    <n v="2"/>
    <n v="2"/>
    <n v="2"/>
    <n v="0"/>
    <n v="34"/>
    <n v="0"/>
    <n v="0"/>
    <n v="0"/>
    <n v="0"/>
    <n v="0"/>
    <n v="0"/>
    <n v="0"/>
    <n v="6"/>
    <n v="11"/>
    <n v="9"/>
    <n v="8"/>
    <n v="1"/>
    <n v="19"/>
    <n v="1"/>
    <n v="1"/>
    <n v="63"/>
    <n v="27"/>
    <n v="36"/>
  </r>
  <r>
    <x v="463"/>
    <x v="1"/>
    <x v="955"/>
    <n v="1988"/>
    <n v="29"/>
    <x v="0"/>
    <s v="Sweden"/>
    <n v="5500000"/>
    <n v="5500000"/>
    <x v="1"/>
    <n v="36"/>
    <n v="3154"/>
    <x v="0"/>
    <n v="1144"/>
    <x v="3"/>
    <x v="1"/>
    <x v="0"/>
    <n v="0"/>
    <n v="5"/>
    <n v="18"/>
    <n v="1"/>
    <n v="0"/>
    <n v="27"/>
    <n v="0"/>
    <n v="0"/>
    <n v="0"/>
    <n v="2"/>
    <n v="0"/>
    <n v="17"/>
    <n v="0"/>
    <n v="163"/>
    <n v="4"/>
    <n v="31"/>
    <n v="27"/>
    <n v="0"/>
    <n v="34"/>
    <n v="0"/>
    <n v="0"/>
    <n v="67"/>
    <n v="47"/>
    <n v="34"/>
  </r>
  <r>
    <x v="463"/>
    <x v="0"/>
    <x v="956"/>
    <n v="1988"/>
    <n v="27"/>
    <x v="21"/>
    <s v="Sweden"/>
    <n v="4400000"/>
    <n v="3850000"/>
    <x v="1"/>
    <n v="20"/>
    <n v="1773"/>
    <x v="4"/>
    <n v="479"/>
    <x v="5"/>
    <x v="4"/>
    <x v="0"/>
    <n v="4"/>
    <n v="2"/>
    <n v="7"/>
    <n v="6"/>
    <n v="0"/>
    <n v="41"/>
    <n v="0"/>
    <n v="0"/>
    <n v="0"/>
    <n v="0"/>
    <n v="0"/>
    <n v="0"/>
    <n v="1"/>
    <n v="72"/>
    <n v="5"/>
    <n v="25"/>
    <n v="18"/>
    <n v="0"/>
    <n v="26"/>
    <n v="1"/>
    <n v="0"/>
    <n v="66"/>
    <n v="27"/>
    <n v="21"/>
  </r>
  <r>
    <x v="463"/>
    <x v="3"/>
    <x v="957"/>
    <n v="1988"/>
    <n v="28"/>
    <x v="0"/>
    <s v="Sweden"/>
    <n v="3850000"/>
    <n v="5500000"/>
    <x v="1"/>
    <n v="15"/>
    <n v="1253"/>
    <x v="5"/>
    <n v="496"/>
    <x v="0"/>
    <x v="4"/>
    <x v="0"/>
    <n v="1"/>
    <n v="2"/>
    <n v="9"/>
    <n v="4"/>
    <n v="0"/>
    <n v="30"/>
    <n v="0"/>
    <n v="0"/>
    <n v="0"/>
    <n v="0"/>
    <n v="0"/>
    <n v="0"/>
    <n v="0"/>
    <n v="59"/>
    <n v="4"/>
    <n v="10"/>
    <n v="12"/>
    <n v="0"/>
    <n v="10"/>
    <n v="0"/>
    <n v="0"/>
    <n v="49"/>
    <n v="21"/>
    <n v="21"/>
  </r>
  <r>
    <x v="464"/>
    <x v="0"/>
    <x v="958"/>
    <n v="1984"/>
    <n v="31"/>
    <x v="13"/>
    <s v="Slovakia"/>
    <n v="11700000"/>
    <n v="9000000"/>
    <x v="1"/>
    <n v="22"/>
    <n v="1886"/>
    <x v="4"/>
    <n v="1173"/>
    <x v="0"/>
    <x v="2"/>
    <x v="0"/>
    <n v="1"/>
    <n v="1"/>
    <n v="10"/>
    <n v="3"/>
    <n v="0"/>
    <n v="71"/>
    <n v="0"/>
    <n v="0"/>
    <n v="0"/>
    <n v="0"/>
    <n v="0"/>
    <n v="0"/>
    <n v="0"/>
    <n v="0"/>
    <n v="20"/>
    <n v="41"/>
    <n v="21"/>
    <n v="0"/>
    <n v="23"/>
    <n v="0"/>
    <n v="0"/>
    <n v="147"/>
    <n v="58"/>
    <n v="29"/>
  </r>
  <r>
    <x v="465"/>
    <x v="1"/>
    <x v="959"/>
    <n v="1990"/>
    <n v="27"/>
    <x v="9"/>
    <s v="Netherlands"/>
    <n v="3300000"/>
    <n v="2750000"/>
    <x v="1"/>
    <n v="12"/>
    <n v="995"/>
    <x v="0"/>
    <n v="422"/>
    <x v="3"/>
    <x v="5"/>
    <x v="1"/>
    <n v="0"/>
    <n v="1"/>
    <n v="0"/>
    <n v="0"/>
    <n v="0"/>
    <n v="13"/>
    <n v="0"/>
    <n v="0"/>
    <n v="0"/>
    <n v="0"/>
    <n v="1"/>
    <n v="0"/>
    <n v="1"/>
    <n v="38"/>
    <n v="1"/>
    <n v="20"/>
    <n v="17"/>
    <n v="0"/>
    <n v="23"/>
    <n v="0"/>
    <n v="0"/>
    <n v="25"/>
    <n v="13"/>
    <n v="8"/>
  </r>
  <r>
    <x v="466"/>
    <x v="3"/>
    <x v="960"/>
    <n v="1996"/>
    <n v="19"/>
    <x v="4"/>
    <s v="England"/>
    <n v="900000"/>
    <n v="4500000"/>
    <x v="1"/>
    <n v="18"/>
    <n v="1371"/>
    <x v="0"/>
    <n v="643"/>
    <x v="3"/>
    <x v="4"/>
    <x v="0"/>
    <n v="2"/>
    <n v="3"/>
    <n v="6"/>
    <n v="3"/>
    <n v="0"/>
    <n v="44"/>
    <n v="0"/>
    <n v="0"/>
    <n v="0"/>
    <n v="0"/>
    <n v="0"/>
    <n v="0"/>
    <n v="0"/>
    <n v="48"/>
    <n v="5"/>
    <n v="21"/>
    <n v="12"/>
    <n v="0"/>
    <n v="41"/>
    <n v="0"/>
    <n v="0"/>
    <n v="67"/>
    <n v="33"/>
    <n v="26"/>
  </r>
  <r>
    <x v="466"/>
    <x v="1"/>
    <x v="961"/>
    <n v="1996"/>
    <n v="21"/>
    <x v="4"/>
    <s v="England"/>
    <n v="4500000"/>
    <n v="6300000"/>
    <x v="1"/>
    <n v="15"/>
    <n v="1183"/>
    <x v="0"/>
    <n v="475"/>
    <x v="0"/>
    <x v="6"/>
    <x v="0"/>
    <n v="2"/>
    <n v="0"/>
    <n v="2"/>
    <n v="2"/>
    <n v="1"/>
    <n v="44"/>
    <n v="0"/>
    <n v="0"/>
    <n v="0"/>
    <n v="0"/>
    <n v="0"/>
    <n v="0"/>
    <n v="0"/>
    <n v="12"/>
    <n v="9"/>
    <n v="23"/>
    <n v="12"/>
    <n v="0"/>
    <n v="23"/>
    <n v="1"/>
    <n v="0"/>
    <n v="82"/>
    <n v="0"/>
    <n v="41"/>
  </r>
  <r>
    <x v="467"/>
    <x v="2"/>
    <x v="962"/>
    <n v="1992"/>
    <n v="26"/>
    <x v="5"/>
    <s v="Czech Republic"/>
    <n v="11000000"/>
    <n v="7200000"/>
    <x v="0"/>
    <n v="13"/>
    <n v="313"/>
    <x v="0"/>
    <n v="73"/>
    <x v="0"/>
    <x v="0"/>
    <x v="0"/>
    <n v="10"/>
    <n v="3"/>
    <n v="6"/>
    <n v="3"/>
    <n v="0"/>
    <n v="3"/>
    <n v="0"/>
    <n v="0"/>
    <n v="0"/>
    <n v="2"/>
    <n v="0"/>
    <n v="3"/>
    <n v="0"/>
    <n v="0"/>
    <n v="1"/>
    <n v="0"/>
    <n v="7"/>
    <n v="0"/>
    <n v="2"/>
    <n v="0"/>
    <n v="0"/>
    <n v="6"/>
    <n v="5"/>
    <n v="12"/>
  </r>
  <r>
    <x v="468"/>
    <x v="2"/>
    <x v="963"/>
    <n v="1994"/>
    <n v="24"/>
    <x v="1"/>
    <s v="Croatia"/>
    <n v="3600000"/>
    <n v="2700000"/>
    <x v="2"/>
    <n v="32"/>
    <n v="1744"/>
    <x v="0"/>
    <n v="1468"/>
    <x v="5"/>
    <x v="6"/>
    <x v="0"/>
    <n v="11"/>
    <n v="19"/>
    <n v="28"/>
    <n v="4"/>
    <n v="1"/>
    <n v="10"/>
    <n v="0"/>
    <n v="0"/>
    <n v="0"/>
    <n v="0"/>
    <n v="8"/>
    <n v="24"/>
    <n v="1"/>
    <n v="8"/>
    <n v="2"/>
    <n v="8"/>
    <n v="19"/>
    <n v="0"/>
    <n v="45"/>
    <n v="0"/>
    <n v="0"/>
    <n v="18"/>
    <n v="10"/>
    <n v="9"/>
  </r>
  <r>
    <x v="469"/>
    <x v="0"/>
    <x v="964"/>
    <n v="1984"/>
    <n v="31"/>
    <x v="7"/>
    <s v="France"/>
    <n v="5400000"/>
    <n v="8100000"/>
    <x v="2"/>
    <n v="16"/>
    <n v="1089"/>
    <x v="0"/>
    <n v="627"/>
    <x v="0"/>
    <x v="6"/>
    <x v="0"/>
    <n v="4"/>
    <n v="3"/>
    <n v="7"/>
    <n v="0"/>
    <n v="0"/>
    <n v="8"/>
    <n v="0"/>
    <n v="0"/>
    <n v="0"/>
    <n v="0"/>
    <n v="2"/>
    <n v="2"/>
    <n v="0"/>
    <n v="5"/>
    <n v="13"/>
    <n v="35"/>
    <n v="18"/>
    <n v="0"/>
    <n v="31"/>
    <n v="0"/>
    <n v="0"/>
    <n v="25"/>
    <n v="12"/>
    <n v="5"/>
  </r>
  <r>
    <x v="470"/>
    <x v="2"/>
    <x v="965"/>
    <n v="1992"/>
    <n v="26"/>
    <x v="16"/>
    <s v="Ireland"/>
    <n v="2250000"/>
    <n v="13500000"/>
    <x v="1"/>
    <n v="38"/>
    <n v="3147"/>
    <x v="6"/>
    <n v="1399"/>
    <x v="8"/>
    <x v="2"/>
    <x v="0"/>
    <n v="3"/>
    <n v="6"/>
    <n v="46"/>
    <n v="18"/>
    <n v="1"/>
    <n v="63"/>
    <n v="2"/>
    <n v="0"/>
    <n v="0"/>
    <n v="3"/>
    <n v="3"/>
    <n v="28"/>
    <n v="0"/>
    <n v="62"/>
    <n v="7"/>
    <n v="60"/>
    <n v="30"/>
    <n v="0"/>
    <n v="67"/>
    <n v="0"/>
    <n v="1"/>
    <n v="84"/>
    <n v="145"/>
    <n v="103"/>
  </r>
  <r>
    <x v="471"/>
    <x v="3"/>
    <x v="966"/>
    <n v="1991"/>
    <n v="25"/>
    <x v="18"/>
    <s v="Scotland"/>
    <n v="8100000"/>
    <n v="8100000"/>
    <x v="2"/>
    <n v="27"/>
    <n v="2193"/>
    <x v="6"/>
    <n v="486"/>
    <x v="7"/>
    <x v="4"/>
    <x v="0"/>
    <n v="1"/>
    <n v="13"/>
    <n v="47"/>
    <n v="10"/>
    <n v="2"/>
    <n v="13"/>
    <n v="0"/>
    <n v="0"/>
    <n v="0"/>
    <n v="3"/>
    <n v="2"/>
    <n v="2"/>
    <n v="34"/>
    <n v="144"/>
    <n v="3"/>
    <n v="19"/>
    <n v="12"/>
    <n v="0"/>
    <n v="22"/>
    <n v="0"/>
    <n v="0"/>
    <n v="25"/>
    <n v="37"/>
    <n v="51"/>
  </r>
  <r>
    <x v="471"/>
    <x v="1"/>
    <x v="967"/>
    <n v="1991"/>
    <n v="26"/>
    <x v="18"/>
    <s v="Scotland"/>
    <n v="2700000"/>
    <n v="6600000"/>
    <x v="2"/>
    <n v="30"/>
    <n v="2097"/>
    <x v="5"/>
    <n v="497"/>
    <x v="5"/>
    <x v="6"/>
    <x v="0"/>
    <n v="7"/>
    <n v="10"/>
    <n v="28"/>
    <n v="8"/>
    <n v="0"/>
    <n v="8"/>
    <n v="0"/>
    <n v="0"/>
    <n v="0"/>
    <n v="11"/>
    <n v="0"/>
    <n v="20"/>
    <n v="43"/>
    <n v="164"/>
    <n v="1"/>
    <n v="24"/>
    <n v="14"/>
    <n v="0"/>
    <n v="27"/>
    <n v="0"/>
    <n v="0"/>
    <n v="26"/>
    <n v="0"/>
    <n v="37"/>
  </r>
  <r>
    <x v="472"/>
    <x v="0"/>
    <x v="968"/>
    <n v="1989"/>
    <n v="25"/>
    <x v="14"/>
    <s v="Scotland"/>
    <n v="8100000"/>
    <n v="10800000"/>
    <x v="2"/>
    <n v="37"/>
    <n v="2976"/>
    <x v="6"/>
    <n v="1429"/>
    <x v="1"/>
    <x v="2"/>
    <x v="0"/>
    <n v="4"/>
    <n v="9"/>
    <n v="77"/>
    <n v="17"/>
    <n v="0"/>
    <n v="7"/>
    <n v="0"/>
    <n v="0"/>
    <n v="0"/>
    <n v="4"/>
    <n v="4"/>
    <n v="2"/>
    <n v="100"/>
    <n v="204"/>
    <n v="1"/>
    <n v="48"/>
    <n v="41"/>
    <n v="0"/>
    <n v="54"/>
    <n v="0"/>
    <n v="0"/>
    <n v="32"/>
    <n v="23"/>
    <n v="46"/>
  </r>
  <r>
    <x v="472"/>
    <x v="1"/>
    <x v="969"/>
    <n v="1989"/>
    <n v="28"/>
    <x v="20"/>
    <s v="Scotland"/>
    <n v="10800000"/>
    <n v="10800000"/>
    <x v="2"/>
    <n v="35"/>
    <n v="2812"/>
    <x v="7"/>
    <n v="1046"/>
    <x v="8"/>
    <x v="8"/>
    <x v="0"/>
    <n v="3"/>
    <n v="11"/>
    <n v="59"/>
    <n v="16"/>
    <n v="3"/>
    <n v="27"/>
    <n v="0"/>
    <n v="0"/>
    <n v="0"/>
    <n v="3"/>
    <n v="7"/>
    <n v="43"/>
    <n v="89"/>
    <n v="190"/>
    <n v="5"/>
    <n v="35"/>
    <n v="37"/>
    <n v="0"/>
    <n v="46"/>
    <n v="1"/>
    <n v="0"/>
    <n v="53"/>
    <n v="0"/>
    <n v="81"/>
  </r>
  <r>
    <x v="472"/>
    <x v="2"/>
    <x v="970"/>
    <n v="1989"/>
    <n v="28"/>
    <x v="20"/>
    <s v="Scotland"/>
    <n v="6300000"/>
    <n v="31500000"/>
    <x v="2"/>
    <n v="36"/>
    <n v="2939"/>
    <x v="5"/>
    <n v="1100"/>
    <x v="7"/>
    <x v="10"/>
    <x v="0"/>
    <n v="0"/>
    <n v="14"/>
    <n v="41"/>
    <n v="10"/>
    <n v="0"/>
    <n v="32"/>
    <n v="0"/>
    <n v="0"/>
    <n v="0"/>
    <n v="1"/>
    <n v="5"/>
    <n v="31"/>
    <n v="102"/>
    <n v="259"/>
    <n v="11"/>
    <n v="51"/>
    <n v="55"/>
    <n v="0"/>
    <n v="70"/>
    <n v="0"/>
    <n v="0"/>
    <n v="61"/>
    <n v="35"/>
    <n v="65"/>
  </r>
  <r>
    <x v="473"/>
    <x v="0"/>
    <x v="971"/>
    <n v="1995"/>
    <n v="19"/>
    <x v="27"/>
    <s v="England"/>
    <n v="1800000"/>
    <n v="2700000"/>
    <x v="1"/>
    <n v="14"/>
    <n v="1069"/>
    <x v="0"/>
    <n v="404"/>
    <x v="0"/>
    <x v="3"/>
    <x v="0"/>
    <n v="1"/>
    <n v="5"/>
    <n v="3"/>
    <n v="2"/>
    <n v="0"/>
    <n v="16"/>
    <n v="0"/>
    <n v="0"/>
    <n v="0"/>
    <n v="0"/>
    <n v="1"/>
    <n v="0"/>
    <n v="0"/>
    <n v="44"/>
    <n v="0"/>
    <n v="26"/>
    <n v="4"/>
    <n v="0"/>
    <n v="20"/>
    <n v="0"/>
    <n v="0"/>
    <n v="33"/>
    <n v="16"/>
    <n v="13"/>
  </r>
  <r>
    <x v="473"/>
    <x v="2"/>
    <x v="972"/>
    <n v="1995"/>
    <n v="22"/>
    <x v="27"/>
    <s v="England"/>
    <n v="6300000"/>
    <n v="6300000"/>
    <x v="1"/>
    <n v="16"/>
    <n v="1187"/>
    <x v="0"/>
    <n v="443"/>
    <x v="6"/>
    <x v="4"/>
    <x v="0"/>
    <n v="3"/>
    <n v="2"/>
    <n v="11"/>
    <n v="3"/>
    <n v="0"/>
    <n v="10"/>
    <n v="0"/>
    <n v="0"/>
    <n v="0"/>
    <n v="1"/>
    <n v="2"/>
    <n v="8"/>
    <n v="20"/>
    <n v="77"/>
    <n v="3"/>
    <n v="27"/>
    <n v="6"/>
    <n v="0"/>
    <n v="27"/>
    <n v="0"/>
    <n v="0"/>
    <n v="31"/>
    <n v="17"/>
    <n v="22"/>
  </r>
  <r>
    <x v="474"/>
    <x v="3"/>
    <x v="973"/>
    <n v="1989"/>
    <n v="26"/>
    <x v="22"/>
    <s v="Italy"/>
    <n v="13500000"/>
    <n v="10800000"/>
    <x v="1"/>
    <n v="18"/>
    <n v="1333"/>
    <x v="0"/>
    <n v="595"/>
    <x v="0"/>
    <x v="6"/>
    <x v="0"/>
    <n v="3"/>
    <n v="3"/>
    <n v="2"/>
    <n v="0"/>
    <n v="0"/>
    <n v="26"/>
    <n v="0"/>
    <n v="0"/>
    <n v="0"/>
    <n v="1"/>
    <n v="0"/>
    <n v="0"/>
    <n v="1"/>
    <n v="19"/>
    <n v="2"/>
    <n v="39"/>
    <n v="19"/>
    <n v="0"/>
    <n v="42"/>
    <n v="0"/>
    <n v="0"/>
    <n v="71"/>
    <n v="25"/>
    <n v="14"/>
  </r>
  <r>
    <x v="474"/>
    <x v="0"/>
    <x v="974"/>
    <n v="1989"/>
    <n v="25"/>
    <x v="22"/>
    <s v="Italy"/>
    <n v="10800000"/>
    <n v="13500000"/>
    <x v="1"/>
    <n v="28"/>
    <n v="1930"/>
    <x v="4"/>
    <n v="934"/>
    <x v="0"/>
    <x v="9"/>
    <x v="0"/>
    <n v="4"/>
    <n v="11"/>
    <n v="6"/>
    <n v="1"/>
    <n v="0"/>
    <n v="17"/>
    <n v="0"/>
    <n v="0"/>
    <n v="0"/>
    <n v="4"/>
    <n v="0"/>
    <n v="0"/>
    <n v="0"/>
    <n v="53"/>
    <n v="2"/>
    <n v="42"/>
    <n v="27"/>
    <n v="0"/>
    <n v="84"/>
    <n v="0"/>
    <n v="0"/>
    <n v="53"/>
    <n v="20"/>
    <n v="13"/>
  </r>
  <r>
    <x v="475"/>
    <x v="2"/>
    <x v="975"/>
    <n v="1999"/>
    <n v="19"/>
    <x v="7"/>
    <s v="France"/>
    <n v="1500000"/>
    <n v="1500000"/>
    <x v="2"/>
    <n v="33"/>
    <n v="2142"/>
    <x v="0"/>
    <n v="1598"/>
    <x v="0"/>
    <x v="10"/>
    <x v="0"/>
    <n v="10"/>
    <n v="4"/>
    <n v="16"/>
    <n v="4"/>
    <n v="0"/>
    <n v="13"/>
    <n v="0"/>
    <n v="0"/>
    <n v="0"/>
    <n v="0"/>
    <n v="9"/>
    <n v="12"/>
    <n v="2"/>
    <n v="15"/>
    <n v="5"/>
    <n v="30"/>
    <n v="24"/>
    <n v="0"/>
    <n v="44"/>
    <n v="1"/>
    <n v="0"/>
    <n v="24"/>
    <n v="18"/>
    <n v="24"/>
  </r>
  <r>
    <x v="476"/>
    <x v="0"/>
    <x v="976"/>
    <n v="1986"/>
    <n v="29"/>
    <x v="21"/>
    <s v="England"/>
    <n v="2700000"/>
    <n v="2700000"/>
    <x v="0"/>
    <n v="22"/>
    <n v="1093"/>
    <x v="4"/>
    <n v="268"/>
    <x v="3"/>
    <x v="0"/>
    <x v="0"/>
    <n v="9"/>
    <n v="10"/>
    <n v="10"/>
    <n v="4"/>
    <n v="0"/>
    <n v="3"/>
    <n v="0"/>
    <n v="0"/>
    <n v="0"/>
    <n v="2"/>
    <n v="0"/>
    <n v="0"/>
    <n v="14"/>
    <n v="86"/>
    <n v="2"/>
    <n v="6"/>
    <n v="4"/>
    <n v="0"/>
    <n v="13"/>
    <n v="0"/>
    <n v="0"/>
    <n v="4"/>
    <n v="6"/>
    <n v="19"/>
  </r>
  <r>
    <x v="477"/>
    <x v="2"/>
    <x v="977"/>
    <n v="1989"/>
    <n v="29"/>
    <x v="5"/>
    <s v="England"/>
    <n v="4500000"/>
    <n v="4500000"/>
    <x v="1"/>
    <n v="21"/>
    <n v="1748"/>
    <x v="0"/>
    <n v="638"/>
    <x v="0"/>
    <x v="1"/>
    <x v="0"/>
    <n v="2"/>
    <n v="0"/>
    <n v="4"/>
    <n v="1"/>
    <n v="0"/>
    <n v="34"/>
    <n v="0"/>
    <n v="0"/>
    <n v="0"/>
    <n v="0"/>
    <n v="3"/>
    <n v="3"/>
    <n v="0"/>
    <n v="58"/>
    <n v="7"/>
    <n v="29"/>
    <n v="22"/>
    <n v="0"/>
    <n v="56"/>
    <n v="1"/>
    <n v="0"/>
    <n v="71"/>
    <n v="26"/>
    <n v="13"/>
  </r>
  <r>
    <x v="477"/>
    <x v="3"/>
    <x v="978"/>
    <n v="1989"/>
    <n v="27"/>
    <x v="5"/>
    <s v="England"/>
    <n v="1350000"/>
    <n v="2250000"/>
    <x v="1"/>
    <n v="36"/>
    <n v="3240"/>
    <x v="0"/>
    <n v="1084"/>
    <x v="5"/>
    <x v="10"/>
    <x v="0"/>
    <n v="0"/>
    <n v="0"/>
    <n v="6"/>
    <n v="2"/>
    <n v="0"/>
    <n v="96"/>
    <n v="0"/>
    <n v="0"/>
    <n v="0"/>
    <n v="0"/>
    <n v="4"/>
    <n v="1"/>
    <n v="0"/>
    <n v="115"/>
    <n v="28"/>
    <n v="65"/>
    <n v="34"/>
    <n v="0"/>
    <n v="101"/>
    <n v="0"/>
    <n v="0"/>
    <n v="176"/>
    <n v="53"/>
    <n v="37"/>
  </r>
  <r>
    <x v="477"/>
    <x v="1"/>
    <x v="979"/>
    <n v="1989"/>
    <n v="28"/>
    <x v="5"/>
    <s v="England"/>
    <n v="2250000"/>
    <n v="4500000"/>
    <x v="1"/>
    <n v="26"/>
    <n v="2295"/>
    <x v="0"/>
    <n v="823"/>
    <x v="6"/>
    <x v="3"/>
    <x v="0"/>
    <n v="1"/>
    <n v="0"/>
    <n v="1"/>
    <n v="1"/>
    <n v="0"/>
    <n v="55"/>
    <n v="0"/>
    <n v="0"/>
    <n v="0"/>
    <n v="0"/>
    <n v="1"/>
    <n v="0"/>
    <n v="0"/>
    <n v="71"/>
    <n v="15"/>
    <n v="39"/>
    <n v="19"/>
    <n v="0"/>
    <n v="55"/>
    <n v="0"/>
    <n v="0"/>
    <n v="112"/>
    <n v="0"/>
    <n v="29"/>
  </r>
  <r>
    <x v="478"/>
    <x v="1"/>
    <x v="980"/>
    <n v="1991"/>
    <n v="26"/>
    <x v="17"/>
    <s v="England"/>
    <n v="16200000"/>
    <n v="13500000"/>
    <x v="2"/>
    <n v="13"/>
    <n v="994"/>
    <x v="0"/>
    <n v="446"/>
    <x v="0"/>
    <x v="4"/>
    <x v="0"/>
    <n v="2"/>
    <n v="4"/>
    <n v="11"/>
    <n v="2"/>
    <n v="1"/>
    <n v="9"/>
    <n v="0"/>
    <n v="0"/>
    <n v="0"/>
    <n v="0"/>
    <n v="1"/>
    <n v="9"/>
    <n v="0"/>
    <n v="2"/>
    <n v="2"/>
    <n v="17"/>
    <n v="21"/>
    <n v="0"/>
    <n v="19"/>
    <n v="0"/>
    <n v="0"/>
    <n v="24"/>
    <n v="20"/>
    <n v="15"/>
  </r>
  <r>
    <x v="479"/>
    <x v="0"/>
    <x v="981"/>
    <n v="1987"/>
    <n v="28"/>
    <x v="3"/>
    <s v="Argentina"/>
    <n v="3300000"/>
    <n v="2700000"/>
    <x v="0"/>
    <n v="15"/>
    <n v="790"/>
    <x v="7"/>
    <n v="263"/>
    <x v="0"/>
    <x v="3"/>
    <x v="0"/>
    <n v="6"/>
    <n v="8"/>
    <n v="29"/>
    <n v="11"/>
    <n v="2"/>
    <n v="0"/>
    <n v="0"/>
    <n v="0"/>
    <n v="1"/>
    <n v="0"/>
    <n v="0"/>
    <n v="0"/>
    <n v="27"/>
    <n v="61"/>
    <n v="0"/>
    <n v="7"/>
    <n v="12"/>
    <n v="0"/>
    <n v="25"/>
    <n v="0"/>
    <n v="0"/>
    <n v="8"/>
    <n v="3"/>
    <n v="7"/>
  </r>
  <r>
    <x v="480"/>
    <x v="2"/>
    <x v="982"/>
    <n v="1995"/>
    <n v="22"/>
    <x v="8"/>
    <s v="Germany"/>
    <n v="55000000"/>
    <n v="55000000"/>
    <x v="2"/>
    <n v="29"/>
    <n v="1410"/>
    <x v="4"/>
    <n v="663"/>
    <x v="5"/>
    <x v="6"/>
    <x v="0"/>
    <n v="14"/>
    <n v="12"/>
    <n v="38"/>
    <n v="8"/>
    <n v="1"/>
    <n v="4"/>
    <n v="0"/>
    <n v="0"/>
    <n v="0"/>
    <n v="1"/>
    <n v="0"/>
    <n v="30"/>
    <n v="19"/>
    <n v="24"/>
    <n v="0"/>
    <n v="15"/>
    <n v="10"/>
    <n v="0"/>
    <n v="33"/>
    <n v="0"/>
    <n v="0"/>
    <n v="18"/>
    <n v="4"/>
    <n v="16"/>
  </r>
  <r>
    <x v="481"/>
    <x v="0"/>
    <x v="983"/>
    <n v="1987"/>
    <n v="28"/>
    <x v="14"/>
    <s v="Cote D'Ivoire"/>
    <n v="5850000"/>
    <n v="8100000"/>
    <x v="0"/>
    <n v="14"/>
    <n v="899"/>
    <x v="4"/>
    <n v="286"/>
    <x v="0"/>
    <x v="3"/>
    <x v="0"/>
    <n v="3"/>
    <n v="11"/>
    <n v="18"/>
    <n v="6"/>
    <n v="0"/>
    <n v="2"/>
    <n v="0"/>
    <n v="0"/>
    <n v="0"/>
    <n v="3"/>
    <n v="0"/>
    <n v="2"/>
    <n v="14"/>
    <n v="46"/>
    <n v="1"/>
    <n v="13"/>
    <n v="11"/>
    <n v="0"/>
    <n v="23"/>
    <n v="0"/>
    <n v="0"/>
    <n v="5"/>
    <n v="5"/>
    <n v="7"/>
  </r>
  <r>
    <x v="481"/>
    <x v="3"/>
    <x v="984"/>
    <n v="1987"/>
    <n v="29"/>
    <x v="14"/>
    <s v="Cote D'Ivoire"/>
    <n v="8100000"/>
    <n v="6300000"/>
    <x v="0"/>
    <n v="11"/>
    <n v="125"/>
    <x v="0"/>
    <n v="54"/>
    <x v="0"/>
    <x v="6"/>
    <x v="0"/>
    <n v="11"/>
    <n v="0"/>
    <n v="5"/>
    <n v="2"/>
    <n v="0"/>
    <n v="2"/>
    <n v="0"/>
    <n v="0"/>
    <n v="0"/>
    <n v="2"/>
    <n v="0"/>
    <n v="0"/>
    <n v="5"/>
    <n v="8"/>
    <n v="0"/>
    <n v="3"/>
    <n v="4"/>
    <n v="0"/>
    <n v="4"/>
    <n v="0"/>
    <n v="0"/>
    <n v="4"/>
    <n v="2"/>
    <n v="4"/>
  </r>
  <r>
    <x v="482"/>
    <x v="2"/>
    <x v="985"/>
    <n v="1989"/>
    <n v="28"/>
    <x v="11"/>
    <s v="France"/>
    <n v="3600000"/>
    <n v="4500000"/>
    <x v="1"/>
    <n v="26"/>
    <n v="2252"/>
    <x v="0"/>
    <n v="1386"/>
    <x v="3"/>
    <x v="2"/>
    <x v="0"/>
    <n v="1"/>
    <n v="2"/>
    <n v="5"/>
    <n v="0"/>
    <n v="0"/>
    <n v="48"/>
    <n v="0"/>
    <n v="0"/>
    <n v="0"/>
    <n v="3"/>
    <n v="1"/>
    <n v="5"/>
    <n v="0"/>
    <n v="17"/>
    <n v="16"/>
    <n v="54"/>
    <n v="28"/>
    <n v="0"/>
    <n v="56"/>
    <n v="1"/>
    <n v="0"/>
    <n v="122"/>
    <n v="56"/>
    <n v="45"/>
  </r>
  <r>
    <x v="483"/>
    <x v="0"/>
    <x v="986"/>
    <n v="1988"/>
    <n v="26"/>
    <x v="27"/>
    <s v="Japan"/>
    <n v="4500000"/>
    <n v="3600000"/>
    <x v="1"/>
    <n v="20"/>
    <n v="1014"/>
    <x v="0"/>
    <n v="485"/>
    <x v="0"/>
    <x v="0"/>
    <x v="0"/>
    <n v="10"/>
    <n v="2"/>
    <n v="2"/>
    <n v="2"/>
    <n v="0"/>
    <n v="27"/>
    <n v="0"/>
    <n v="0"/>
    <n v="0"/>
    <n v="0"/>
    <n v="0"/>
    <n v="0"/>
    <n v="0"/>
    <n v="7"/>
    <n v="9"/>
    <n v="33"/>
    <n v="7"/>
    <n v="2"/>
    <n v="13"/>
    <n v="3"/>
    <n v="0"/>
    <n v="67"/>
    <n v="22"/>
    <n v="10"/>
  </r>
  <r>
    <x v="483"/>
    <x v="1"/>
    <x v="987"/>
    <n v="1988"/>
    <n v="28"/>
    <x v="27"/>
    <s v="Japan"/>
    <n v="4500000"/>
    <n v="6300000"/>
    <x v="1"/>
    <n v="24"/>
    <n v="2051"/>
    <x v="5"/>
    <n v="1062"/>
    <x v="0"/>
    <x v="4"/>
    <x v="1"/>
    <n v="1"/>
    <n v="1"/>
    <n v="19"/>
    <n v="4"/>
    <n v="1"/>
    <n v="83"/>
    <n v="1"/>
    <n v="0"/>
    <n v="0"/>
    <n v="0"/>
    <n v="0"/>
    <n v="15"/>
    <n v="0"/>
    <n v="2"/>
    <n v="14"/>
    <n v="41"/>
    <n v="19"/>
    <n v="1"/>
    <n v="27"/>
    <n v="0"/>
    <n v="0"/>
    <n v="130"/>
    <n v="67"/>
    <n v="39"/>
  </r>
  <r>
    <x v="483"/>
    <x v="3"/>
    <x v="988"/>
    <n v="1988"/>
    <n v="27"/>
    <x v="27"/>
    <s v="Japan"/>
    <n v="3600000"/>
    <n v="4500000"/>
    <x v="1"/>
    <n v="23"/>
    <n v="2070"/>
    <x v="4"/>
    <n v="1126"/>
    <x v="0"/>
    <x v="4"/>
    <x v="0"/>
    <n v="0"/>
    <n v="0"/>
    <n v="15"/>
    <n v="7"/>
    <n v="0"/>
    <n v="81"/>
    <n v="0"/>
    <n v="0"/>
    <n v="0"/>
    <n v="0"/>
    <n v="0"/>
    <n v="0"/>
    <n v="0"/>
    <n v="8"/>
    <n v="14"/>
    <n v="47"/>
    <n v="18"/>
    <n v="0"/>
    <n v="30"/>
    <n v="0"/>
    <n v="0"/>
    <n v="144"/>
    <n v="75"/>
    <n v="56"/>
  </r>
  <r>
    <x v="483"/>
    <x v="2"/>
    <x v="989"/>
    <n v="1988"/>
    <n v="29"/>
    <x v="27"/>
    <s v="Japan"/>
    <n v="6300000"/>
    <n v="6300000"/>
    <x v="1"/>
    <n v="17"/>
    <n v="1519"/>
    <x v="0"/>
    <n v="556"/>
    <x v="0"/>
    <x v="0"/>
    <x v="0"/>
    <n v="0"/>
    <n v="2"/>
    <n v="13"/>
    <n v="3"/>
    <n v="0"/>
    <n v="44"/>
    <n v="0"/>
    <n v="0"/>
    <n v="0"/>
    <n v="2"/>
    <n v="0"/>
    <n v="10"/>
    <n v="0"/>
    <n v="0"/>
    <n v="20"/>
    <n v="42"/>
    <n v="4"/>
    <n v="0"/>
    <n v="16"/>
    <n v="0"/>
    <n v="0"/>
    <n v="100"/>
    <n v="35"/>
    <n v="29"/>
  </r>
  <r>
    <x v="484"/>
    <x v="0"/>
    <x v="990"/>
    <n v="1994"/>
    <n v="21"/>
    <x v="22"/>
    <s v="Netherlands"/>
    <n v="30800000"/>
    <n v="22500000"/>
    <x v="0"/>
    <n v="29"/>
    <n v="1474"/>
    <x v="5"/>
    <n v="642"/>
    <x v="0"/>
    <x v="4"/>
    <x v="0"/>
    <n v="13"/>
    <n v="6"/>
    <n v="57"/>
    <n v="17"/>
    <n v="2"/>
    <n v="5"/>
    <n v="0"/>
    <n v="0"/>
    <n v="0"/>
    <n v="8"/>
    <n v="0"/>
    <n v="5"/>
    <n v="38"/>
    <n v="89"/>
    <n v="1"/>
    <n v="10"/>
    <n v="20"/>
    <n v="0"/>
    <n v="13"/>
    <n v="0"/>
    <n v="0"/>
    <n v="8"/>
    <n v="8"/>
    <n v="16"/>
  </r>
  <r>
    <x v="485"/>
    <x v="0"/>
    <x v="991"/>
    <n v="1988"/>
    <n v="26"/>
    <x v="7"/>
    <s v="Germany"/>
    <n v="55000000"/>
    <n v="49500000"/>
    <x v="2"/>
    <n v="35"/>
    <n v="3047"/>
    <x v="14"/>
    <n v="2276"/>
    <x v="17"/>
    <x v="5"/>
    <x v="0"/>
    <n v="0"/>
    <n v="14"/>
    <n v="47"/>
    <n v="20"/>
    <n v="3"/>
    <n v="4"/>
    <n v="0"/>
    <n v="0"/>
    <n v="0"/>
    <n v="15"/>
    <n v="42"/>
    <n v="8"/>
    <n v="144"/>
    <n v="228"/>
    <n v="0"/>
    <n v="22"/>
    <n v="20"/>
    <n v="0"/>
    <n v="35"/>
    <n v="0"/>
    <n v="0"/>
    <n v="10"/>
    <n v="4"/>
    <n v="15"/>
  </r>
  <r>
    <x v="485"/>
    <x v="1"/>
    <x v="992"/>
    <n v="1988"/>
    <n v="29"/>
    <x v="7"/>
    <s v="Germany"/>
    <n v="49500000"/>
    <n v="27500000"/>
    <x v="2"/>
    <n v="26"/>
    <n v="2164"/>
    <x v="6"/>
    <n v="1809"/>
    <x v="7"/>
    <x v="5"/>
    <x v="0"/>
    <n v="2"/>
    <n v="3"/>
    <n v="39"/>
    <n v="14"/>
    <n v="0"/>
    <n v="2"/>
    <n v="1"/>
    <n v="0"/>
    <n v="0"/>
    <n v="12"/>
    <n v="18"/>
    <n v="25"/>
    <n v="76"/>
    <n v="98"/>
    <n v="1"/>
    <n v="12"/>
    <n v="18"/>
    <n v="0"/>
    <n v="20"/>
    <n v="0"/>
    <n v="0"/>
    <n v="5"/>
    <n v="1"/>
    <n v="12"/>
  </r>
  <r>
    <x v="485"/>
    <x v="2"/>
    <x v="993"/>
    <n v="1988"/>
    <n v="29"/>
    <x v="7"/>
    <s v="Germany"/>
    <n v="4400000"/>
    <n v="3300000"/>
    <x v="2"/>
    <n v="24"/>
    <n v="1741"/>
    <x v="2"/>
    <n v="1118"/>
    <x v="5"/>
    <x v="0"/>
    <x v="0"/>
    <n v="4"/>
    <n v="10"/>
    <n v="11"/>
    <n v="6"/>
    <n v="1"/>
    <n v="2"/>
    <n v="0"/>
    <n v="0"/>
    <n v="0"/>
    <n v="10"/>
    <n v="7"/>
    <n v="5"/>
    <n v="38"/>
    <n v="42"/>
    <n v="2"/>
    <n v="4"/>
    <n v="10"/>
    <n v="0"/>
    <n v="12"/>
    <n v="0"/>
    <n v="0"/>
    <n v="4"/>
    <n v="5"/>
    <n v="13"/>
  </r>
  <r>
    <x v="485"/>
    <x v="3"/>
    <x v="994"/>
    <n v="1988"/>
    <n v="28"/>
    <x v="7"/>
    <s v="Germany"/>
    <n v="44000000"/>
    <n v="55000000"/>
    <x v="2"/>
    <n v="33"/>
    <n v="2847"/>
    <x v="9"/>
    <n v="2110"/>
    <x v="11"/>
    <x v="4"/>
    <x v="0"/>
    <n v="1"/>
    <n v="8"/>
    <n v="40"/>
    <n v="18"/>
    <n v="0"/>
    <n v="3"/>
    <n v="2"/>
    <n v="0"/>
    <n v="0"/>
    <n v="20"/>
    <n v="16"/>
    <n v="4"/>
    <n v="143"/>
    <n v="187"/>
    <n v="1"/>
    <n v="15"/>
    <n v="14"/>
    <n v="0"/>
    <n v="26"/>
    <n v="0"/>
    <n v="0"/>
    <n v="9"/>
    <n v="7"/>
    <n v="16"/>
  </r>
  <r>
    <x v="486"/>
    <x v="0"/>
    <x v="995"/>
    <n v="1988"/>
    <n v="27"/>
    <x v="15"/>
    <s v="England"/>
    <n v="5000000"/>
    <n v="4000000"/>
    <x v="1"/>
    <n v="23"/>
    <n v="2044"/>
    <x v="4"/>
    <n v="717"/>
    <x v="3"/>
    <x v="6"/>
    <x v="0"/>
    <n v="1"/>
    <n v="3"/>
    <n v="11"/>
    <n v="2"/>
    <n v="0"/>
    <n v="92"/>
    <n v="0"/>
    <n v="0"/>
    <n v="0"/>
    <n v="0"/>
    <n v="1"/>
    <n v="2"/>
    <n v="0"/>
    <n v="2"/>
    <n v="15"/>
    <n v="61"/>
    <n v="16"/>
    <n v="0"/>
    <n v="42"/>
    <n v="1"/>
    <n v="0"/>
    <n v="142"/>
    <n v="61"/>
    <n v="22"/>
  </r>
  <r>
    <x v="487"/>
    <x v="0"/>
    <x v="996"/>
    <n v="1981"/>
    <n v="34"/>
    <x v="22"/>
    <s v="England"/>
    <n v="3300000"/>
    <n v="1650000"/>
    <x v="2"/>
    <n v="28"/>
    <n v="1975"/>
    <x v="0"/>
    <n v="1568"/>
    <x v="0"/>
    <x v="5"/>
    <x v="0"/>
    <n v="6"/>
    <n v="7"/>
    <n v="7"/>
    <n v="1"/>
    <n v="1"/>
    <n v="16"/>
    <n v="0"/>
    <n v="0"/>
    <n v="0"/>
    <n v="0"/>
    <n v="4"/>
    <n v="0"/>
    <n v="0"/>
    <n v="6"/>
    <n v="3"/>
    <n v="44"/>
    <n v="11"/>
    <n v="0"/>
    <n v="43"/>
    <n v="0"/>
    <n v="0"/>
    <n v="36"/>
    <n v="16"/>
    <n v="10"/>
  </r>
  <r>
    <x v="487"/>
    <x v="3"/>
    <x v="997"/>
    <n v="1981"/>
    <n v="35"/>
    <x v="22"/>
    <s v="England"/>
    <n v="18000000"/>
    <n v="15000000"/>
    <x v="2"/>
    <n v="23"/>
    <n v="1599"/>
    <x v="0"/>
    <n v="1263"/>
    <x v="0"/>
    <x v="4"/>
    <x v="0"/>
    <n v="5"/>
    <n v="4"/>
    <n v="8"/>
    <n v="0"/>
    <n v="0"/>
    <n v="18"/>
    <n v="0"/>
    <n v="0"/>
    <n v="0"/>
    <n v="0"/>
    <n v="4"/>
    <n v="0"/>
    <n v="0"/>
    <n v="4"/>
    <n v="8"/>
    <n v="41"/>
    <n v="5"/>
    <n v="0"/>
    <n v="26"/>
    <n v="0"/>
    <n v="0"/>
    <n v="37"/>
    <n v="10"/>
    <n v="8"/>
  </r>
  <r>
    <x v="488"/>
    <x v="3"/>
    <x v="998"/>
    <n v="1983"/>
    <n v="32"/>
    <x v="10"/>
    <s v="England"/>
    <n v="3850000"/>
    <n v="2750000"/>
    <x v="1"/>
    <n v="22"/>
    <n v="1721"/>
    <x v="7"/>
    <n v="656"/>
    <x v="0"/>
    <x v="5"/>
    <x v="0"/>
    <n v="3"/>
    <n v="0"/>
    <n v="12"/>
    <n v="8"/>
    <n v="0"/>
    <n v="78"/>
    <n v="1"/>
    <n v="0"/>
    <n v="0"/>
    <n v="1"/>
    <n v="0"/>
    <n v="1"/>
    <n v="0"/>
    <n v="0"/>
    <n v="32"/>
    <n v="30"/>
    <n v="13"/>
    <n v="0"/>
    <n v="15"/>
    <n v="0"/>
    <n v="1"/>
    <n v="129"/>
    <n v="46"/>
    <n v="33"/>
  </r>
  <r>
    <x v="489"/>
    <x v="3"/>
    <x v="999"/>
    <n v="1993"/>
    <n v="23"/>
    <x v="5"/>
    <s v="England"/>
    <n v="7200000"/>
    <n v="16200000"/>
    <x v="1"/>
    <n v="35"/>
    <n v="3150"/>
    <x v="5"/>
    <n v="1128"/>
    <x v="3"/>
    <x v="5"/>
    <x v="0"/>
    <n v="0"/>
    <n v="0"/>
    <n v="23"/>
    <n v="8"/>
    <n v="0"/>
    <n v="176"/>
    <n v="1"/>
    <n v="0"/>
    <n v="0"/>
    <n v="1"/>
    <n v="0"/>
    <n v="0"/>
    <n v="0"/>
    <n v="3"/>
    <n v="44"/>
    <n v="63"/>
    <n v="14"/>
    <n v="0"/>
    <n v="28"/>
    <n v="0"/>
    <n v="0"/>
    <n v="260"/>
    <n v="152"/>
    <n v="78"/>
  </r>
  <r>
    <x v="489"/>
    <x v="2"/>
    <x v="1000"/>
    <n v="1993"/>
    <n v="25"/>
    <x v="4"/>
    <s v="England"/>
    <n v="18000000"/>
    <n v="27000000"/>
    <x v="1"/>
    <n v="33"/>
    <n v="2969"/>
    <x v="4"/>
    <n v="1592"/>
    <x v="5"/>
    <x v="4"/>
    <x v="0"/>
    <n v="0"/>
    <n v="1"/>
    <n v="31"/>
    <n v="9"/>
    <n v="1"/>
    <n v="115"/>
    <n v="1"/>
    <n v="0"/>
    <n v="0"/>
    <n v="0"/>
    <n v="0"/>
    <n v="22"/>
    <n v="0"/>
    <n v="4"/>
    <n v="22"/>
    <n v="43"/>
    <n v="22"/>
    <n v="1"/>
    <n v="41"/>
    <n v="1"/>
    <n v="0"/>
    <n v="183"/>
    <n v="192"/>
    <n v="125"/>
  </r>
  <r>
    <x v="489"/>
    <x v="1"/>
    <x v="1001"/>
    <n v="1993"/>
    <n v="24"/>
    <x v="4"/>
    <s v="England"/>
    <n v="16200000"/>
    <n v="18000000"/>
    <x v="1"/>
    <n v="30"/>
    <n v="2560"/>
    <x v="0"/>
    <n v="1157"/>
    <x v="3"/>
    <x v="6"/>
    <x v="0"/>
    <n v="1"/>
    <n v="2"/>
    <n v="15"/>
    <n v="1"/>
    <n v="0"/>
    <n v="146"/>
    <n v="0"/>
    <n v="0"/>
    <n v="0"/>
    <n v="4"/>
    <n v="0"/>
    <n v="14"/>
    <n v="0"/>
    <n v="4"/>
    <n v="28"/>
    <n v="53"/>
    <n v="21"/>
    <n v="0"/>
    <n v="33"/>
    <n v="0"/>
    <n v="0"/>
    <n v="206"/>
    <n v="129"/>
    <n v="87"/>
  </r>
  <r>
    <x v="490"/>
    <x v="0"/>
    <x v="1002"/>
    <n v="1990"/>
    <n v="25"/>
    <x v="3"/>
    <s v="England"/>
    <n v="7700000"/>
    <n v="9900000"/>
    <x v="0"/>
    <n v="26"/>
    <n v="2062"/>
    <x v="9"/>
    <n v="523"/>
    <x v="6"/>
    <x v="6"/>
    <x v="0"/>
    <n v="3"/>
    <n v="8"/>
    <n v="54"/>
    <n v="20"/>
    <n v="2"/>
    <n v="24"/>
    <n v="6"/>
    <n v="0"/>
    <n v="0"/>
    <n v="11"/>
    <n v="1"/>
    <n v="6"/>
    <n v="0"/>
    <n v="68"/>
    <n v="4"/>
    <n v="57"/>
    <n v="27"/>
    <n v="0"/>
    <n v="37"/>
    <n v="1"/>
    <n v="0"/>
    <n v="45"/>
    <n v="39"/>
    <n v="34"/>
  </r>
  <r>
    <x v="490"/>
    <x v="3"/>
    <x v="1003"/>
    <n v="1990"/>
    <n v="26"/>
    <x v="3"/>
    <s v="England"/>
    <n v="8100000"/>
    <n v="16200000"/>
    <x v="0"/>
    <n v="29"/>
    <n v="2439"/>
    <x v="3"/>
    <n v="638"/>
    <x v="6"/>
    <x v="5"/>
    <x v="1"/>
    <n v="0"/>
    <n v="6"/>
    <n v="77"/>
    <n v="23"/>
    <n v="2"/>
    <n v="17"/>
    <n v="7"/>
    <n v="0"/>
    <n v="0"/>
    <n v="20"/>
    <n v="3"/>
    <n v="7"/>
    <n v="0"/>
    <n v="94"/>
    <n v="2"/>
    <n v="27"/>
    <n v="31"/>
    <n v="1"/>
    <n v="32"/>
    <n v="1"/>
    <n v="0"/>
    <n v="38"/>
    <n v="57"/>
    <n v="104"/>
  </r>
  <r>
    <x v="490"/>
    <x v="2"/>
    <x v="1004"/>
    <n v="1990"/>
    <n v="28"/>
    <x v="3"/>
    <s v="England"/>
    <n v="16500000"/>
    <n v="16500000"/>
    <x v="0"/>
    <n v="33"/>
    <n v="2099"/>
    <x v="14"/>
    <n v="668"/>
    <x v="2"/>
    <x v="6"/>
    <x v="0"/>
    <n v="11"/>
    <n v="7"/>
    <n v="65"/>
    <n v="25"/>
    <n v="6"/>
    <n v="7"/>
    <n v="3"/>
    <n v="0"/>
    <n v="0"/>
    <n v="10"/>
    <n v="5"/>
    <n v="40"/>
    <n v="0"/>
    <n v="50"/>
    <n v="3"/>
    <n v="18"/>
    <n v="34"/>
    <n v="0"/>
    <n v="23"/>
    <n v="0"/>
    <n v="0"/>
    <n v="21"/>
    <n v="80"/>
    <n v="105"/>
  </r>
  <r>
    <x v="490"/>
    <x v="1"/>
    <x v="1005"/>
    <n v="1990"/>
    <n v="27"/>
    <x v="3"/>
    <s v="England"/>
    <n v="9000000"/>
    <n v="18000000"/>
    <x v="2"/>
    <n v="21"/>
    <n v="1358"/>
    <x v="7"/>
    <n v="385"/>
    <x v="3"/>
    <x v="3"/>
    <x v="0"/>
    <n v="5"/>
    <n v="8"/>
    <n v="34"/>
    <n v="15"/>
    <n v="0"/>
    <n v="7"/>
    <n v="0"/>
    <n v="0"/>
    <n v="0"/>
    <n v="7"/>
    <n v="3"/>
    <n v="19"/>
    <n v="0"/>
    <n v="55"/>
    <n v="0"/>
    <n v="13"/>
    <n v="17"/>
    <n v="0"/>
    <n v="15"/>
    <n v="0"/>
    <n v="0"/>
    <n v="14"/>
    <n v="43"/>
    <n v="55"/>
  </r>
  <r>
    <x v="491"/>
    <x v="3"/>
    <x v="1006"/>
    <n v="1993"/>
    <n v="22"/>
    <x v="1"/>
    <s v="Belgium"/>
    <n v="16500000"/>
    <n v="22500000"/>
    <x v="0"/>
    <n v="20"/>
    <n v="239"/>
    <x v="2"/>
    <n v="80"/>
    <x v="3"/>
    <x v="0"/>
    <x v="0"/>
    <n v="19"/>
    <n v="1"/>
    <n v="17"/>
    <n v="8"/>
    <n v="1"/>
    <n v="1"/>
    <n v="0"/>
    <n v="0"/>
    <n v="0"/>
    <n v="4"/>
    <n v="2"/>
    <n v="2"/>
    <n v="0"/>
    <n v="2"/>
    <n v="0"/>
    <n v="2"/>
    <n v="9"/>
    <n v="0"/>
    <n v="2"/>
    <n v="0"/>
    <n v="0"/>
    <n v="1"/>
    <n v="3"/>
    <n v="5"/>
  </r>
  <r>
    <x v="491"/>
    <x v="1"/>
    <x v="1007"/>
    <n v="1993"/>
    <n v="24"/>
    <x v="1"/>
    <s v="Belgium"/>
    <n v="22500000"/>
    <n v="36000000"/>
    <x v="0"/>
    <n v="12"/>
    <n v="353"/>
    <x v="5"/>
    <n v="96"/>
    <x v="3"/>
    <x v="0"/>
    <x v="0"/>
    <n v="9"/>
    <n v="2"/>
    <n v="13"/>
    <n v="5"/>
    <n v="0"/>
    <n v="2"/>
    <n v="1"/>
    <n v="0"/>
    <n v="0"/>
    <n v="6"/>
    <n v="0"/>
    <n v="8"/>
    <n v="0"/>
    <n v="0"/>
    <n v="0"/>
    <n v="1"/>
    <n v="4"/>
    <n v="0"/>
    <n v="5"/>
    <n v="0"/>
    <n v="1"/>
    <n v="3"/>
    <n v="7"/>
    <n v="14"/>
  </r>
  <r>
    <x v="491"/>
    <x v="2"/>
    <x v="1008"/>
    <n v="1993"/>
    <n v="24"/>
    <x v="8"/>
    <s v="Belgium"/>
    <n v="36000000"/>
    <n v="27000000"/>
    <x v="0"/>
    <n v="11"/>
    <n v="756"/>
    <x v="2"/>
    <n v="163"/>
    <x v="0"/>
    <x v="0"/>
    <x v="0"/>
    <n v="2"/>
    <n v="8"/>
    <n v="27"/>
    <n v="10"/>
    <n v="0"/>
    <n v="0"/>
    <n v="0"/>
    <n v="0"/>
    <n v="0"/>
    <n v="12"/>
    <n v="1"/>
    <n v="17"/>
    <n v="0"/>
    <n v="1"/>
    <n v="3"/>
    <n v="3"/>
    <n v="7"/>
    <n v="0"/>
    <n v="2"/>
    <n v="0"/>
    <n v="0"/>
    <n v="0"/>
    <n v="12"/>
    <n v="32"/>
  </r>
  <r>
    <x v="492"/>
    <x v="2"/>
    <x v="1009"/>
    <n v="1994"/>
    <n v="24"/>
    <x v="20"/>
    <s v="Paraguay"/>
    <n v="2250000"/>
    <n v="9000000"/>
    <x v="2"/>
    <n v="10"/>
    <n v="763"/>
    <x v="0"/>
    <n v="241"/>
    <x v="0"/>
    <x v="0"/>
    <x v="0"/>
    <n v="1"/>
    <n v="5"/>
    <n v="19"/>
    <n v="8"/>
    <n v="1"/>
    <n v="1"/>
    <n v="0"/>
    <n v="0"/>
    <n v="0"/>
    <n v="4"/>
    <n v="1"/>
    <n v="11"/>
    <n v="1"/>
    <n v="21"/>
    <n v="1"/>
    <n v="8"/>
    <n v="6"/>
    <n v="0"/>
    <n v="20"/>
    <n v="0"/>
    <n v="0"/>
    <n v="4"/>
    <n v="1"/>
    <n v="9"/>
  </r>
  <r>
    <x v="493"/>
    <x v="3"/>
    <x v="1010"/>
    <n v="1985"/>
    <n v="31"/>
    <x v="9"/>
    <s v="Uruguay"/>
    <n v="3150000"/>
    <n v="3150000"/>
    <x v="1"/>
    <n v="27"/>
    <n v="2283"/>
    <x v="4"/>
    <n v="1025"/>
    <x v="5"/>
    <x v="8"/>
    <x v="2"/>
    <n v="0"/>
    <n v="3"/>
    <n v="18"/>
    <n v="5"/>
    <n v="0"/>
    <n v="85"/>
    <n v="1"/>
    <n v="0"/>
    <n v="0"/>
    <n v="2"/>
    <n v="1"/>
    <n v="0"/>
    <n v="0"/>
    <n v="12"/>
    <n v="18"/>
    <n v="49"/>
    <n v="36"/>
    <n v="0"/>
    <n v="34"/>
    <n v="0"/>
    <n v="0"/>
    <n v="144"/>
    <n v="86"/>
    <n v="45"/>
  </r>
  <r>
    <x v="493"/>
    <x v="0"/>
    <x v="1011"/>
    <n v="1985"/>
    <n v="30"/>
    <x v="9"/>
    <s v="Uruguay"/>
    <n v="3150000"/>
    <n v="3150000"/>
    <x v="1"/>
    <n v="24"/>
    <n v="2076"/>
    <x v="0"/>
    <n v="786"/>
    <x v="0"/>
    <x v="1"/>
    <x v="0"/>
    <n v="0"/>
    <n v="3"/>
    <n v="6"/>
    <n v="0"/>
    <n v="0"/>
    <n v="57"/>
    <n v="0"/>
    <n v="0"/>
    <n v="0"/>
    <n v="0"/>
    <n v="0"/>
    <n v="0"/>
    <n v="0"/>
    <n v="2"/>
    <n v="15"/>
    <n v="60"/>
    <n v="19"/>
    <n v="0"/>
    <n v="25"/>
    <n v="1"/>
    <n v="0"/>
    <n v="126"/>
    <n v="62"/>
    <n v="36"/>
  </r>
  <r>
    <x v="493"/>
    <x v="1"/>
    <x v="1012"/>
    <n v="1985"/>
    <n v="32"/>
    <x v="9"/>
    <s v="Uruguay"/>
    <n v="3150000"/>
    <n v="3150000"/>
    <x v="1"/>
    <n v="12"/>
    <n v="798"/>
    <x v="4"/>
    <n v="388"/>
    <x v="0"/>
    <x v="6"/>
    <x v="1"/>
    <n v="2"/>
    <n v="2"/>
    <n v="2"/>
    <n v="2"/>
    <n v="0"/>
    <n v="28"/>
    <n v="1"/>
    <n v="0"/>
    <n v="0"/>
    <n v="0"/>
    <n v="0"/>
    <n v="0"/>
    <n v="0"/>
    <n v="5"/>
    <n v="1"/>
    <n v="12"/>
    <n v="8"/>
    <n v="0"/>
    <n v="15"/>
    <n v="1"/>
    <n v="0"/>
    <n v="44"/>
    <n v="27"/>
    <n v="19"/>
  </r>
  <r>
    <x v="494"/>
    <x v="1"/>
    <x v="1013"/>
    <n v="1992"/>
    <n v="25"/>
    <x v="0"/>
    <s v="Netherlands"/>
    <n v="2200000"/>
    <n v="2750000"/>
    <x v="1"/>
    <n v="24"/>
    <n v="1949"/>
    <x v="4"/>
    <n v="858"/>
    <x v="0"/>
    <x v="5"/>
    <x v="0"/>
    <n v="0"/>
    <n v="8"/>
    <n v="10"/>
    <n v="5"/>
    <n v="0"/>
    <n v="67"/>
    <n v="1"/>
    <n v="0"/>
    <n v="0"/>
    <n v="0"/>
    <n v="0"/>
    <n v="5"/>
    <n v="0"/>
    <n v="8"/>
    <n v="14"/>
    <n v="39"/>
    <n v="22"/>
    <n v="1"/>
    <n v="32"/>
    <n v="0"/>
    <n v="0"/>
    <n v="123"/>
    <n v="57"/>
    <n v="45"/>
  </r>
  <r>
    <x v="495"/>
    <x v="1"/>
    <x v="1014"/>
    <n v="1996"/>
    <n v="21"/>
    <x v="20"/>
    <s v="Spain"/>
    <n v="6600000"/>
    <n v="5500000"/>
    <x v="2"/>
    <n v="24"/>
    <n v="1343"/>
    <x v="4"/>
    <n v="812"/>
    <x v="3"/>
    <x v="5"/>
    <x v="0"/>
    <n v="10"/>
    <n v="6"/>
    <n v="16"/>
    <n v="6"/>
    <n v="1"/>
    <n v="13"/>
    <n v="1"/>
    <n v="0"/>
    <n v="0"/>
    <n v="0"/>
    <n v="6"/>
    <n v="10"/>
    <n v="1"/>
    <n v="3"/>
    <n v="8"/>
    <n v="34"/>
    <n v="30"/>
    <n v="0"/>
    <n v="56"/>
    <n v="0"/>
    <n v="0"/>
    <n v="23"/>
    <n v="39"/>
    <n v="40"/>
  </r>
  <r>
    <x v="496"/>
    <x v="0"/>
    <x v="1015"/>
    <n v="1984"/>
    <n v="30"/>
    <x v="8"/>
    <s v="Australia"/>
    <n v="6600000"/>
    <n v="5500000"/>
    <x v="2"/>
    <n v="27"/>
    <n v="1530"/>
    <x v="0"/>
    <n v="830"/>
    <x v="0"/>
    <x v="8"/>
    <x v="0"/>
    <n v="11"/>
    <n v="2"/>
    <n v="13"/>
    <n v="1"/>
    <n v="1"/>
    <n v="38"/>
    <n v="0"/>
    <n v="0"/>
    <n v="0"/>
    <n v="2"/>
    <n v="0"/>
    <n v="0"/>
    <n v="0"/>
    <n v="6"/>
    <n v="10"/>
    <n v="55"/>
    <n v="36"/>
    <n v="0"/>
    <n v="50"/>
    <n v="1"/>
    <n v="0"/>
    <n v="58"/>
    <n v="102"/>
    <n v="41"/>
  </r>
  <r>
    <x v="497"/>
    <x v="0"/>
    <x v="1016"/>
    <n v="1992"/>
    <n v="22"/>
    <x v="0"/>
    <s v="Gambia"/>
    <n v="1650000"/>
    <n v="2700000"/>
    <x v="0"/>
    <n v="22"/>
    <n v="781"/>
    <x v="4"/>
    <n v="206"/>
    <x v="0"/>
    <x v="0"/>
    <x v="0"/>
    <n v="16"/>
    <n v="4"/>
    <n v="11"/>
    <n v="4"/>
    <n v="0"/>
    <n v="2"/>
    <n v="0"/>
    <n v="0"/>
    <n v="0"/>
    <n v="3"/>
    <n v="1"/>
    <n v="0"/>
    <n v="0"/>
    <n v="28"/>
    <n v="0"/>
    <n v="8"/>
    <n v="3"/>
    <n v="0"/>
    <n v="18"/>
    <n v="0"/>
    <n v="0"/>
    <n v="5"/>
    <n v="3"/>
    <n v="22"/>
  </r>
  <r>
    <x v="497"/>
    <x v="3"/>
    <x v="1017"/>
    <n v="1992"/>
    <n v="23"/>
    <x v="0"/>
    <s v="Gambia"/>
    <n v="2700000"/>
    <n v="2700000"/>
    <x v="0"/>
    <n v="18"/>
    <n v="1149"/>
    <x v="0"/>
    <n v="299"/>
    <x v="5"/>
    <x v="3"/>
    <x v="0"/>
    <n v="6"/>
    <n v="9"/>
    <n v="15"/>
    <n v="3"/>
    <n v="0"/>
    <n v="1"/>
    <n v="0"/>
    <n v="0"/>
    <n v="0"/>
    <n v="10"/>
    <n v="0"/>
    <n v="1"/>
    <n v="3"/>
    <n v="59"/>
    <n v="0"/>
    <n v="6"/>
    <n v="15"/>
    <n v="0"/>
    <n v="22"/>
    <n v="0"/>
    <n v="0"/>
    <n v="7"/>
    <n v="6"/>
    <n v="27"/>
  </r>
  <r>
    <x v="498"/>
    <x v="1"/>
    <x v="1018"/>
    <n v="1987"/>
    <n v="30"/>
    <x v="20"/>
    <s v="Senegal"/>
    <n v="5500000"/>
    <n v="5500000"/>
    <x v="2"/>
    <n v="31"/>
    <n v="2043"/>
    <x v="5"/>
    <n v="816"/>
    <x v="0"/>
    <x v="6"/>
    <x v="0"/>
    <n v="8"/>
    <n v="9"/>
    <n v="20"/>
    <n v="6"/>
    <n v="0"/>
    <n v="22"/>
    <n v="0"/>
    <n v="0"/>
    <n v="0"/>
    <n v="0"/>
    <n v="2"/>
    <n v="14"/>
    <n v="0"/>
    <n v="6"/>
    <n v="7"/>
    <n v="48"/>
    <n v="44"/>
    <n v="0"/>
    <n v="89"/>
    <n v="0"/>
    <n v="0"/>
    <n v="28"/>
    <n v="62"/>
    <n v="57"/>
  </r>
  <r>
    <x v="498"/>
    <x v="2"/>
    <x v="1019"/>
    <n v="1987"/>
    <n v="31"/>
    <x v="20"/>
    <s v="Senegal"/>
    <n v="4130000"/>
    <n v="9350000"/>
    <x v="2"/>
    <n v="29"/>
    <n v="2166"/>
    <x v="0"/>
    <n v="733"/>
    <x v="0"/>
    <x v="0"/>
    <x v="0"/>
    <n v="5"/>
    <n v="4"/>
    <n v="20"/>
    <n v="3"/>
    <n v="1"/>
    <n v="18"/>
    <n v="0"/>
    <n v="0"/>
    <n v="0"/>
    <n v="0"/>
    <n v="5"/>
    <n v="17"/>
    <n v="0"/>
    <n v="12"/>
    <n v="9"/>
    <n v="30"/>
    <n v="36"/>
    <n v="0"/>
    <n v="78"/>
    <n v="0"/>
    <n v="0"/>
    <n v="36"/>
    <n v="36"/>
    <n v="46"/>
  </r>
  <r>
    <x v="499"/>
    <x v="0"/>
    <x v="1020"/>
    <n v="1992"/>
    <n v="23"/>
    <x v="7"/>
    <s v="Egypt"/>
    <n v="9350000"/>
    <n v="11000000"/>
    <x v="2"/>
    <n v="11"/>
    <n v="794"/>
    <x v="0"/>
    <n v="738"/>
    <x v="3"/>
    <x v="6"/>
    <x v="0"/>
    <n v="2"/>
    <n v="4"/>
    <n v="13"/>
    <n v="0"/>
    <n v="0"/>
    <n v="8"/>
    <n v="0"/>
    <n v="0"/>
    <n v="0"/>
    <n v="0"/>
    <n v="0"/>
    <n v="2"/>
    <n v="6"/>
    <n v="11"/>
    <n v="3"/>
    <n v="16"/>
    <n v="9"/>
    <n v="0"/>
    <n v="10"/>
    <n v="0"/>
    <n v="0"/>
    <n v="16"/>
    <n v="5"/>
    <n v="9"/>
  </r>
  <r>
    <x v="499"/>
    <x v="3"/>
    <x v="1021"/>
    <n v="1992"/>
    <n v="24"/>
    <x v="7"/>
    <s v="Egypt"/>
    <n v="11000000"/>
    <n v="11000000"/>
    <x v="2"/>
    <n v="14"/>
    <n v="694"/>
    <x v="0"/>
    <n v="616"/>
    <x v="3"/>
    <x v="3"/>
    <x v="0"/>
    <n v="6"/>
    <n v="6"/>
    <n v="15"/>
    <n v="2"/>
    <n v="0"/>
    <n v="2"/>
    <n v="0"/>
    <n v="0"/>
    <n v="0"/>
    <n v="0"/>
    <n v="0"/>
    <n v="0"/>
    <n v="7"/>
    <n v="8"/>
    <n v="0"/>
    <n v="8"/>
    <n v="10"/>
    <n v="0"/>
    <n v="22"/>
    <n v="0"/>
    <n v="0"/>
    <n v="5"/>
    <n v="5"/>
    <n v="5"/>
  </r>
  <r>
    <x v="499"/>
    <x v="1"/>
    <x v="1022"/>
    <n v="1992"/>
    <n v="25"/>
    <x v="7"/>
    <s v="Egypt"/>
    <n v="1000000"/>
    <n v="8000000"/>
    <x v="2"/>
    <n v="13"/>
    <n v="869"/>
    <x v="0"/>
    <n v="837"/>
    <x v="3"/>
    <x v="6"/>
    <x v="1"/>
    <n v="2"/>
    <n v="5"/>
    <n v="1"/>
    <n v="1"/>
    <n v="0"/>
    <n v="4"/>
    <n v="0"/>
    <n v="0"/>
    <n v="0"/>
    <n v="1"/>
    <n v="2"/>
    <n v="0"/>
    <n v="3"/>
    <n v="8"/>
    <n v="0"/>
    <n v="10"/>
    <n v="4"/>
    <n v="0"/>
    <n v="12"/>
    <n v="0"/>
    <n v="0"/>
    <n v="12"/>
    <n v="6"/>
    <n v="13"/>
  </r>
  <r>
    <x v="500"/>
    <x v="2"/>
    <x v="1023"/>
    <n v="1994"/>
    <n v="23"/>
    <x v="27"/>
    <s v="Norway"/>
    <n v="13500000"/>
    <n v="13500000"/>
    <x v="0"/>
    <n v="16"/>
    <n v="790"/>
    <x v="0"/>
    <n v="222"/>
    <x v="0"/>
    <x v="0"/>
    <x v="0"/>
    <n v="8"/>
    <n v="5"/>
    <n v="20"/>
    <n v="6"/>
    <n v="2"/>
    <n v="1"/>
    <n v="0"/>
    <n v="0"/>
    <n v="0"/>
    <n v="2"/>
    <n v="2"/>
    <n v="14"/>
    <n v="24"/>
    <n v="48"/>
    <n v="1"/>
    <n v="6"/>
    <n v="10"/>
    <n v="0"/>
    <n v="16"/>
    <n v="0"/>
    <n v="0"/>
    <n v="5"/>
    <n v="9"/>
    <n v="15"/>
  </r>
  <r>
    <x v="501"/>
    <x v="1"/>
    <x v="1024"/>
    <n v="1992"/>
    <n v="25"/>
    <x v="13"/>
    <s v="Egypt"/>
    <n v="88000000"/>
    <n v="135000000"/>
    <x v="0"/>
    <n v="36"/>
    <n v="2921"/>
    <x v="24"/>
    <n v="946"/>
    <x v="9"/>
    <x v="3"/>
    <x v="0"/>
    <n v="2"/>
    <n v="17"/>
    <n v="144"/>
    <n v="67"/>
    <n v="3"/>
    <n v="2"/>
    <n v="2"/>
    <n v="1"/>
    <n v="0"/>
    <n v="17"/>
    <n v="8"/>
    <n v="77"/>
    <n v="62"/>
    <n v="86"/>
    <n v="0"/>
    <n v="5"/>
    <n v="16"/>
    <n v="0"/>
    <n v="12"/>
    <n v="0"/>
    <n v="0"/>
    <n v="3"/>
    <n v="13"/>
    <n v="35"/>
  </r>
  <r>
    <x v="501"/>
    <x v="2"/>
    <x v="1025"/>
    <n v="1992"/>
    <n v="26"/>
    <x v="13"/>
    <s v="Egypt"/>
    <n v="135000000"/>
    <n v="165000000"/>
    <x v="0"/>
    <n v="38"/>
    <n v="3256"/>
    <x v="25"/>
    <n v="1079"/>
    <x v="7"/>
    <x v="0"/>
    <x v="0"/>
    <n v="0"/>
    <n v="13"/>
    <n v="137"/>
    <n v="64"/>
    <n v="2"/>
    <n v="1"/>
    <n v="0"/>
    <n v="3"/>
    <n v="0"/>
    <n v="27"/>
    <n v="19"/>
    <n v="73"/>
    <n v="35"/>
    <n v="57"/>
    <n v="0"/>
    <n v="5"/>
    <n v="25"/>
    <n v="0"/>
    <n v="21"/>
    <n v="0"/>
    <n v="0"/>
    <n v="4"/>
    <n v="11"/>
    <n v="60"/>
  </r>
  <r>
    <x v="502"/>
    <x v="2"/>
    <x v="1026"/>
    <n v="2000"/>
    <n v="18"/>
    <x v="16"/>
    <s v="England"/>
    <n v="30800000"/>
    <n v="30800000"/>
    <x v="2"/>
    <n v="26"/>
    <n v="650"/>
    <x v="0"/>
    <n v="317"/>
    <x v="3"/>
    <x v="3"/>
    <x v="0"/>
    <n v="21"/>
    <n v="5"/>
    <n v="8"/>
    <n v="1"/>
    <n v="1"/>
    <n v="0"/>
    <n v="0"/>
    <n v="0"/>
    <n v="0"/>
    <n v="2"/>
    <n v="4"/>
    <n v="7"/>
    <n v="9"/>
    <n v="17"/>
    <n v="0"/>
    <n v="1"/>
    <n v="8"/>
    <n v="0"/>
    <n v="6"/>
    <n v="0"/>
    <n v="0"/>
    <n v="0"/>
    <n v="12"/>
    <n v="18"/>
  </r>
  <r>
    <x v="503"/>
    <x v="0"/>
    <x v="1027"/>
    <n v="1989"/>
    <n v="25"/>
    <x v="22"/>
    <s v="France"/>
    <n v="30800000"/>
    <n v="24200000"/>
    <x v="2"/>
    <n v="29"/>
    <n v="2204"/>
    <x v="4"/>
    <n v="1459"/>
    <x v="0"/>
    <x v="6"/>
    <x v="0"/>
    <n v="4"/>
    <n v="4"/>
    <n v="11"/>
    <n v="1"/>
    <n v="0"/>
    <n v="24"/>
    <n v="0"/>
    <n v="0"/>
    <n v="0"/>
    <n v="0"/>
    <n v="1"/>
    <n v="0"/>
    <n v="3"/>
    <n v="7"/>
    <n v="5"/>
    <n v="74"/>
    <n v="52"/>
    <n v="0"/>
    <n v="71"/>
    <n v="0"/>
    <n v="0"/>
    <n v="48"/>
    <n v="19"/>
    <n v="31"/>
  </r>
  <r>
    <x v="503"/>
    <x v="3"/>
    <x v="1028"/>
    <n v="1989"/>
    <n v="26"/>
    <x v="4"/>
    <s v="France"/>
    <n v="24200000"/>
    <n v="22000000"/>
    <x v="2"/>
    <n v="17"/>
    <n v="1070"/>
    <x v="4"/>
    <n v="866"/>
    <x v="0"/>
    <x v="4"/>
    <x v="0"/>
    <n v="5"/>
    <n v="2"/>
    <n v="8"/>
    <n v="3"/>
    <n v="0"/>
    <n v="13"/>
    <n v="0"/>
    <n v="0"/>
    <n v="0"/>
    <n v="0"/>
    <n v="0"/>
    <n v="0"/>
    <n v="0"/>
    <n v="1"/>
    <n v="4"/>
    <n v="31"/>
    <n v="21"/>
    <n v="0"/>
    <n v="26"/>
    <n v="0"/>
    <n v="0"/>
    <n v="28"/>
    <n v="18"/>
    <n v="28"/>
  </r>
  <r>
    <x v="503"/>
    <x v="1"/>
    <x v="1029"/>
    <n v="1989"/>
    <n v="28"/>
    <x v="4"/>
    <s v="France"/>
    <n v="22000000"/>
    <n v="16500000"/>
    <x v="2"/>
    <n v="30"/>
    <n v="2128"/>
    <x v="0"/>
    <n v="1130"/>
    <x v="0"/>
    <x v="2"/>
    <x v="1"/>
    <n v="6"/>
    <n v="4"/>
    <n v="0"/>
    <n v="0"/>
    <n v="0"/>
    <n v="25"/>
    <n v="0"/>
    <n v="0"/>
    <n v="0"/>
    <n v="0"/>
    <n v="0"/>
    <n v="0"/>
    <n v="4"/>
    <n v="8"/>
    <n v="7"/>
    <n v="61"/>
    <n v="39"/>
    <n v="0"/>
    <n v="58"/>
    <n v="0"/>
    <n v="0"/>
    <n v="59"/>
    <n v="37"/>
    <n v="37"/>
  </r>
  <r>
    <x v="503"/>
    <x v="2"/>
    <x v="1030"/>
    <n v="1989"/>
    <n v="28"/>
    <x v="4"/>
    <s v="France"/>
    <n v="19800000"/>
    <n v="19800000"/>
    <x v="2"/>
    <n v="14"/>
    <n v="835"/>
    <x v="0"/>
    <n v="545"/>
    <x v="0"/>
    <x v="4"/>
    <x v="0"/>
    <n v="4"/>
    <n v="3"/>
    <n v="3"/>
    <n v="0"/>
    <n v="0"/>
    <n v="8"/>
    <n v="0"/>
    <n v="0"/>
    <n v="0"/>
    <n v="0"/>
    <n v="2"/>
    <n v="3"/>
    <n v="0"/>
    <n v="2"/>
    <n v="3"/>
    <n v="15"/>
    <n v="21"/>
    <n v="0"/>
    <n v="24"/>
    <n v="0"/>
    <n v="0"/>
    <n v="15"/>
    <n v="20"/>
    <n v="16"/>
  </r>
  <r>
    <x v="504"/>
    <x v="1"/>
    <x v="1031"/>
    <n v="1992"/>
    <n v="25"/>
    <x v="25"/>
    <s v="Austria"/>
    <n v="2530000"/>
    <n v="5500000"/>
    <x v="1"/>
    <n v="15"/>
    <n v="1308"/>
    <x v="0"/>
    <n v="286"/>
    <x v="0"/>
    <x v="5"/>
    <x v="0"/>
    <n v="0"/>
    <n v="3"/>
    <n v="1"/>
    <n v="1"/>
    <n v="0"/>
    <n v="15"/>
    <n v="0"/>
    <n v="0"/>
    <n v="0"/>
    <n v="1"/>
    <n v="0"/>
    <n v="0"/>
    <n v="0"/>
    <n v="39"/>
    <n v="1"/>
    <n v="12"/>
    <n v="19"/>
    <n v="0"/>
    <n v="24"/>
    <n v="0"/>
    <n v="0"/>
    <n v="40"/>
    <n v="19"/>
    <n v="22"/>
  </r>
  <r>
    <x v="505"/>
    <x v="3"/>
    <x v="1032"/>
    <n v="1987"/>
    <n v="29"/>
    <x v="26"/>
    <s v="Belgium"/>
    <n v="15400000"/>
    <n v="19800000"/>
    <x v="2"/>
    <n v="30"/>
    <n v="2065"/>
    <x v="4"/>
    <n v="1479"/>
    <x v="3"/>
    <x v="2"/>
    <x v="0"/>
    <n v="6"/>
    <n v="16"/>
    <n v="15"/>
    <n v="3"/>
    <n v="0"/>
    <n v="12"/>
    <n v="0"/>
    <n v="0"/>
    <n v="0"/>
    <n v="0"/>
    <n v="3"/>
    <n v="0"/>
    <n v="0"/>
    <n v="3"/>
    <n v="5"/>
    <n v="25"/>
    <n v="45"/>
    <n v="0"/>
    <n v="64"/>
    <n v="0"/>
    <n v="0"/>
    <n v="20"/>
    <n v="23"/>
    <n v="21"/>
  </r>
  <r>
    <x v="505"/>
    <x v="0"/>
    <x v="1033"/>
    <n v="1987"/>
    <n v="28"/>
    <x v="26"/>
    <s v="Belgium"/>
    <n v="19800000"/>
    <n v="19800000"/>
    <x v="2"/>
    <n v="29"/>
    <n v="2273"/>
    <x v="7"/>
    <n v="1378"/>
    <x v="0"/>
    <x v="6"/>
    <x v="0"/>
    <n v="2"/>
    <n v="10"/>
    <n v="22"/>
    <n v="9"/>
    <n v="0"/>
    <n v="17"/>
    <n v="0"/>
    <n v="0"/>
    <n v="0"/>
    <n v="2"/>
    <n v="3"/>
    <n v="1"/>
    <n v="0"/>
    <n v="4"/>
    <n v="8"/>
    <n v="56"/>
    <n v="48"/>
    <n v="0"/>
    <n v="104"/>
    <n v="0"/>
    <n v="0"/>
    <n v="33"/>
    <n v="31"/>
    <n v="28"/>
  </r>
  <r>
    <x v="505"/>
    <x v="1"/>
    <x v="1034"/>
    <n v="1987"/>
    <n v="30"/>
    <x v="26"/>
    <s v="Belgium"/>
    <n v="19800000"/>
    <n v="13200000"/>
    <x v="2"/>
    <n v="28"/>
    <n v="1883"/>
    <x v="0"/>
    <n v="1422"/>
    <x v="0"/>
    <x v="8"/>
    <x v="0"/>
    <n v="7"/>
    <n v="13"/>
    <n v="11"/>
    <n v="3"/>
    <n v="0"/>
    <n v="7"/>
    <n v="0"/>
    <n v="0"/>
    <n v="0"/>
    <n v="0"/>
    <n v="1"/>
    <n v="8"/>
    <n v="0"/>
    <n v="1"/>
    <n v="0"/>
    <n v="33"/>
    <n v="48"/>
    <n v="0"/>
    <n v="36"/>
    <n v="0"/>
    <n v="0"/>
    <n v="12"/>
    <n v="9"/>
    <n v="16"/>
  </r>
  <r>
    <x v="505"/>
    <x v="2"/>
    <x v="1035"/>
    <n v="1987"/>
    <n v="31"/>
    <x v="26"/>
    <s v="Belgium"/>
    <n v="16500000"/>
    <n v="14300000"/>
    <x v="2"/>
    <n v="10"/>
    <n v="515"/>
    <x v="0"/>
    <n v="308"/>
    <x v="0"/>
    <x v="0"/>
    <x v="0"/>
    <n v="3"/>
    <n v="5"/>
    <n v="1"/>
    <n v="0"/>
    <n v="0"/>
    <n v="3"/>
    <n v="0"/>
    <n v="0"/>
    <n v="0"/>
    <n v="0"/>
    <n v="0"/>
    <n v="1"/>
    <n v="0"/>
    <n v="0"/>
    <n v="1"/>
    <n v="7"/>
    <n v="12"/>
    <n v="0"/>
    <n v="13"/>
    <n v="0"/>
    <n v="0"/>
    <n v="5"/>
    <n v="6"/>
    <n v="7"/>
  </r>
  <r>
    <x v="506"/>
    <x v="0"/>
    <x v="1036"/>
    <n v="1989"/>
    <n v="25"/>
    <x v="20"/>
    <s v="France"/>
    <n v="14300000"/>
    <n v="22000000"/>
    <x v="2"/>
    <n v="37"/>
    <n v="3221"/>
    <x v="4"/>
    <n v="1385"/>
    <x v="4"/>
    <x v="6"/>
    <x v="0"/>
    <n v="0"/>
    <n v="6"/>
    <n v="38"/>
    <n v="12"/>
    <n v="0"/>
    <n v="25"/>
    <n v="0"/>
    <n v="0"/>
    <n v="0"/>
    <n v="3"/>
    <n v="6"/>
    <n v="3"/>
    <n v="2"/>
    <n v="144"/>
    <n v="5"/>
    <n v="35"/>
    <n v="50"/>
    <n v="0"/>
    <n v="54"/>
    <n v="0"/>
    <n v="0"/>
    <n v="36"/>
    <n v="55"/>
    <n v="57"/>
  </r>
  <r>
    <x v="506"/>
    <x v="3"/>
    <x v="1037"/>
    <n v="1989"/>
    <n v="26"/>
    <x v="26"/>
    <s v="France"/>
    <n v="22000000"/>
    <n v="19800000"/>
    <x v="2"/>
    <n v="25"/>
    <n v="902"/>
    <x v="0"/>
    <n v="453"/>
    <x v="5"/>
    <x v="6"/>
    <x v="0"/>
    <n v="17"/>
    <n v="7"/>
    <n v="17"/>
    <n v="3"/>
    <n v="0"/>
    <n v="7"/>
    <n v="0"/>
    <n v="0"/>
    <n v="0"/>
    <n v="2"/>
    <n v="0"/>
    <n v="0"/>
    <n v="1"/>
    <n v="34"/>
    <n v="1"/>
    <n v="7"/>
    <n v="21"/>
    <n v="0"/>
    <n v="14"/>
    <n v="0"/>
    <n v="0"/>
    <n v="11"/>
    <n v="12"/>
    <n v="20"/>
  </r>
  <r>
    <x v="506"/>
    <x v="1"/>
    <x v="1038"/>
    <n v="1989"/>
    <n v="28"/>
    <x v="26"/>
    <s v="France"/>
    <n v="19800000"/>
    <n v="27500000"/>
    <x v="2"/>
    <n v="33"/>
    <n v="1394"/>
    <x v="4"/>
    <n v="869"/>
    <x v="3"/>
    <x v="6"/>
    <x v="0"/>
    <n v="18"/>
    <n v="9"/>
    <n v="19"/>
    <n v="8"/>
    <n v="0"/>
    <n v="16"/>
    <n v="0"/>
    <n v="0"/>
    <n v="0"/>
    <n v="3"/>
    <n v="3"/>
    <n v="11"/>
    <n v="2"/>
    <n v="19"/>
    <n v="1"/>
    <n v="9"/>
    <n v="23"/>
    <n v="0"/>
    <n v="23"/>
    <n v="0"/>
    <n v="0"/>
    <n v="21"/>
    <n v="16"/>
    <n v="17"/>
  </r>
  <r>
    <x v="506"/>
    <x v="2"/>
    <x v="1039"/>
    <n v="1989"/>
    <n v="28"/>
    <x v="26"/>
    <s v="France"/>
    <n v="5500000"/>
    <n v="6600000"/>
    <x v="2"/>
    <n v="29"/>
    <n v="2337"/>
    <x v="0"/>
    <n v="1348"/>
    <x v="6"/>
    <x v="4"/>
    <x v="0"/>
    <n v="2"/>
    <n v="8"/>
    <n v="15"/>
    <n v="3"/>
    <n v="0"/>
    <n v="16"/>
    <n v="0"/>
    <n v="0"/>
    <n v="0"/>
    <n v="3"/>
    <n v="0"/>
    <n v="12"/>
    <n v="0"/>
    <n v="27"/>
    <n v="4"/>
    <n v="16"/>
    <n v="24"/>
    <n v="0"/>
    <n v="36"/>
    <n v="0"/>
    <n v="0"/>
    <n v="21"/>
    <n v="24"/>
    <n v="21"/>
  </r>
  <r>
    <x v="507"/>
    <x v="0"/>
    <x v="1040"/>
    <n v="1992"/>
    <n v="23"/>
    <x v="4"/>
    <s v="Bosnia And Herzegovina"/>
    <n v="22000000"/>
    <n v="55000000"/>
    <x v="2"/>
    <n v="12"/>
    <n v="557"/>
    <x v="0"/>
    <n v="337"/>
    <x v="0"/>
    <x v="3"/>
    <x v="0"/>
    <n v="5"/>
    <n v="4"/>
    <n v="4"/>
    <n v="2"/>
    <n v="1"/>
    <n v="5"/>
    <n v="0"/>
    <n v="0"/>
    <n v="0"/>
    <n v="0"/>
    <n v="1"/>
    <n v="0"/>
    <n v="0"/>
    <n v="6"/>
    <n v="3"/>
    <n v="9"/>
    <n v="5"/>
    <n v="0"/>
    <n v="26"/>
    <n v="0"/>
    <n v="0"/>
    <n v="16"/>
    <n v="5"/>
    <n v="5"/>
  </r>
  <r>
    <x v="508"/>
    <x v="3"/>
    <x v="1041"/>
    <n v="1991"/>
    <n v="25"/>
    <x v="1"/>
    <s v="France"/>
    <n v="4950000"/>
    <n v="22000000"/>
    <x v="2"/>
    <n v="35"/>
    <n v="3139"/>
    <x v="4"/>
    <n v="2122"/>
    <x v="3"/>
    <x v="10"/>
    <x v="0"/>
    <n v="0"/>
    <n v="1"/>
    <n v="27"/>
    <n v="7"/>
    <n v="0"/>
    <n v="15"/>
    <n v="0"/>
    <n v="0"/>
    <n v="0"/>
    <n v="0"/>
    <n v="8"/>
    <n v="0"/>
    <n v="0"/>
    <n v="10"/>
    <n v="4"/>
    <n v="82"/>
    <n v="53"/>
    <n v="0"/>
    <n v="127"/>
    <n v="0"/>
    <n v="0"/>
    <n v="41"/>
    <n v="19"/>
    <n v="41"/>
  </r>
  <r>
    <x v="508"/>
    <x v="0"/>
    <x v="1042"/>
    <n v="1991"/>
    <n v="24"/>
    <x v="17"/>
    <s v="France"/>
    <n v="55000000"/>
    <n v="88000000"/>
    <x v="2"/>
    <n v="37"/>
    <n v="3020"/>
    <x v="4"/>
    <n v="1449"/>
    <x v="2"/>
    <x v="6"/>
    <x v="0"/>
    <n v="4"/>
    <n v="2"/>
    <n v="21"/>
    <n v="0"/>
    <n v="0"/>
    <n v="30"/>
    <n v="0"/>
    <n v="0"/>
    <n v="0"/>
    <n v="0"/>
    <n v="7"/>
    <n v="0"/>
    <n v="0"/>
    <n v="17"/>
    <n v="11"/>
    <n v="156"/>
    <n v="43"/>
    <n v="0"/>
    <n v="175"/>
    <n v="0"/>
    <n v="0"/>
    <n v="57"/>
    <n v="38"/>
    <n v="57"/>
  </r>
  <r>
    <x v="508"/>
    <x v="1"/>
    <x v="1043"/>
    <n v="1991"/>
    <n v="26"/>
    <x v="1"/>
    <s v="France"/>
    <n v="88000000"/>
    <n v="110000000"/>
    <x v="2"/>
    <n v="34"/>
    <n v="2998"/>
    <x v="4"/>
    <n v="2150"/>
    <x v="3"/>
    <x v="6"/>
    <x v="0"/>
    <n v="0"/>
    <n v="4"/>
    <n v="25"/>
    <n v="5"/>
    <n v="0"/>
    <n v="10"/>
    <n v="0"/>
    <n v="0"/>
    <n v="0"/>
    <n v="0"/>
    <n v="9"/>
    <n v="20"/>
    <n v="0"/>
    <n v="13"/>
    <n v="4"/>
    <n v="85"/>
    <n v="41"/>
    <n v="1"/>
    <n v="113"/>
    <n v="0"/>
    <n v="0"/>
    <n v="26"/>
    <n v="17"/>
    <n v="32"/>
  </r>
  <r>
    <x v="508"/>
    <x v="2"/>
    <x v="1044"/>
    <n v="1991"/>
    <n v="27"/>
    <x v="1"/>
    <s v="France"/>
    <n v="58500000"/>
    <n v="54000000"/>
    <x v="2"/>
    <n v="36"/>
    <n v="3095"/>
    <x v="6"/>
    <n v="2021"/>
    <x v="2"/>
    <x v="0"/>
    <x v="0"/>
    <n v="0"/>
    <n v="4"/>
    <n v="29"/>
    <n v="6"/>
    <n v="0"/>
    <n v="15"/>
    <n v="0"/>
    <n v="0"/>
    <n v="0"/>
    <n v="6"/>
    <n v="4"/>
    <n v="23"/>
    <n v="0"/>
    <n v="19"/>
    <n v="6"/>
    <n v="44"/>
    <n v="35"/>
    <n v="0"/>
    <n v="74"/>
    <n v="0"/>
    <n v="0"/>
    <n v="26"/>
    <n v="27"/>
    <n v="41"/>
  </r>
  <r>
    <x v="509"/>
    <x v="2"/>
    <x v="1045"/>
    <n v="1995"/>
    <n v="23"/>
    <x v="13"/>
    <s v="Guinea"/>
    <n v="14300000"/>
    <n v="14300000"/>
    <x v="2"/>
    <n v="25"/>
    <n v="1394"/>
    <x v="5"/>
    <n v="1005"/>
    <x v="3"/>
    <x v="0"/>
    <x v="0"/>
    <n v="9"/>
    <n v="11"/>
    <n v="27"/>
    <n v="10"/>
    <n v="1"/>
    <n v="5"/>
    <n v="1"/>
    <n v="0"/>
    <n v="0"/>
    <n v="0"/>
    <n v="7"/>
    <n v="17"/>
    <n v="2"/>
    <n v="5"/>
    <n v="4"/>
    <n v="12"/>
    <n v="25"/>
    <n v="0"/>
    <n v="37"/>
    <n v="0"/>
    <n v="0"/>
    <n v="13"/>
    <n v="9"/>
    <n v="20"/>
  </r>
  <r>
    <x v="510"/>
    <x v="0"/>
    <x v="1046"/>
    <n v="1989"/>
    <n v="25"/>
    <x v="26"/>
    <s v="Belgium"/>
    <n v="14300000"/>
    <n v="16500000"/>
    <x v="2"/>
    <n v="29"/>
    <n v="938"/>
    <x v="7"/>
    <n v="378"/>
    <x v="0"/>
    <x v="3"/>
    <x v="0"/>
    <n v="19"/>
    <n v="5"/>
    <n v="25"/>
    <n v="7"/>
    <n v="0"/>
    <n v="9"/>
    <n v="0"/>
    <n v="0"/>
    <n v="0"/>
    <n v="4"/>
    <n v="1"/>
    <n v="3"/>
    <n v="0"/>
    <n v="15"/>
    <n v="3"/>
    <n v="8"/>
    <n v="16"/>
    <n v="0"/>
    <n v="11"/>
    <n v="0"/>
    <n v="0"/>
    <n v="16"/>
    <n v="16"/>
    <n v="24"/>
  </r>
  <r>
    <x v="510"/>
    <x v="3"/>
    <x v="1047"/>
    <n v="1989"/>
    <n v="26"/>
    <x v="18"/>
    <s v="Belgium"/>
    <n v="4500000"/>
    <n v="7200000"/>
    <x v="2"/>
    <n v="31"/>
    <n v="2147"/>
    <x v="2"/>
    <n v="662"/>
    <x v="8"/>
    <x v="4"/>
    <x v="0"/>
    <n v="4"/>
    <n v="19"/>
    <n v="47"/>
    <n v="18"/>
    <n v="2"/>
    <n v="2"/>
    <n v="0"/>
    <n v="1"/>
    <n v="0"/>
    <n v="3"/>
    <n v="6"/>
    <n v="4"/>
    <n v="25"/>
    <n v="57"/>
    <n v="3"/>
    <n v="22"/>
    <n v="17"/>
    <n v="0"/>
    <n v="29"/>
    <n v="0"/>
    <n v="0"/>
    <n v="10"/>
    <n v="19"/>
    <n v="31"/>
  </r>
  <r>
    <x v="511"/>
    <x v="0"/>
    <x v="1048"/>
    <n v="1986"/>
    <n v="29"/>
    <x v="7"/>
    <s v="Spain"/>
    <n v="12000000"/>
    <n v="15000000"/>
    <x v="1"/>
    <n v="37"/>
    <n v="3248"/>
    <x v="0"/>
    <n v="1844"/>
    <x v="6"/>
    <x v="3"/>
    <x v="0"/>
    <n v="1"/>
    <n v="0"/>
    <n v="12"/>
    <n v="0"/>
    <n v="0"/>
    <n v="58"/>
    <n v="0"/>
    <n v="0"/>
    <n v="0"/>
    <n v="2"/>
    <n v="4"/>
    <n v="1"/>
    <n v="0"/>
    <n v="99"/>
    <n v="11"/>
    <n v="105"/>
    <n v="28"/>
    <n v="0"/>
    <n v="80"/>
    <n v="0"/>
    <n v="0"/>
    <n v="114"/>
    <n v="69"/>
    <n v="54"/>
  </r>
  <r>
    <x v="511"/>
    <x v="1"/>
    <x v="1049"/>
    <n v="1986"/>
    <n v="31"/>
    <x v="7"/>
    <s v="Spain"/>
    <n v="13000000"/>
    <n v="13000000"/>
    <x v="1"/>
    <n v="28"/>
    <n v="2242"/>
    <x v="2"/>
    <n v="1719"/>
    <x v="5"/>
    <x v="6"/>
    <x v="0"/>
    <n v="2"/>
    <n v="3"/>
    <n v="22"/>
    <n v="8"/>
    <n v="1"/>
    <n v="41"/>
    <n v="1"/>
    <n v="0"/>
    <n v="0"/>
    <n v="2"/>
    <n v="0"/>
    <n v="14"/>
    <n v="0"/>
    <n v="31"/>
    <n v="8"/>
    <n v="56"/>
    <n v="19"/>
    <n v="1"/>
    <n v="54"/>
    <n v="1"/>
    <n v="0"/>
    <n v="74"/>
    <n v="62"/>
    <n v="63"/>
  </r>
  <r>
    <x v="511"/>
    <x v="3"/>
    <x v="1050"/>
    <n v="1986"/>
    <n v="30"/>
    <x v="7"/>
    <s v="Spain"/>
    <n v="15000000"/>
    <n v="13000000"/>
    <x v="1"/>
    <n v="36"/>
    <n v="3153"/>
    <x v="0"/>
    <n v="1753"/>
    <x v="5"/>
    <x v="2"/>
    <x v="0"/>
    <n v="1"/>
    <n v="1"/>
    <n v="12"/>
    <n v="2"/>
    <n v="1"/>
    <n v="52"/>
    <n v="0"/>
    <n v="0"/>
    <n v="0"/>
    <n v="7"/>
    <n v="0"/>
    <n v="2"/>
    <n v="0"/>
    <n v="63"/>
    <n v="11"/>
    <n v="88"/>
    <n v="33"/>
    <n v="0"/>
    <n v="90"/>
    <n v="0"/>
    <n v="0"/>
    <n v="99"/>
    <n v="57"/>
    <n v="61"/>
  </r>
  <r>
    <x v="511"/>
    <x v="2"/>
    <x v="1051"/>
    <n v="1986"/>
    <n v="32"/>
    <x v="7"/>
    <s v="Spain"/>
    <n v="13000000"/>
    <n v="9000000"/>
    <x v="1"/>
    <n v="22"/>
    <n v="1861"/>
    <x v="4"/>
    <n v="1168"/>
    <x v="6"/>
    <x v="2"/>
    <x v="0"/>
    <n v="1"/>
    <n v="1"/>
    <n v="7"/>
    <n v="4"/>
    <n v="0"/>
    <n v="27"/>
    <n v="0"/>
    <n v="0"/>
    <n v="0"/>
    <n v="1"/>
    <n v="0"/>
    <n v="3"/>
    <n v="0"/>
    <n v="28"/>
    <n v="10"/>
    <n v="31"/>
    <n v="17"/>
    <n v="0"/>
    <n v="35"/>
    <n v="0"/>
    <n v="0"/>
    <n v="54"/>
    <n v="36"/>
    <n v="39"/>
  </r>
  <r>
    <x v="512"/>
    <x v="2"/>
    <x v="1052"/>
    <n v="1992"/>
    <n v="26"/>
    <x v="17"/>
    <s v="France"/>
    <n v="3500000"/>
    <n v="2500000"/>
    <x v="2"/>
    <n v="31"/>
    <n v="2088"/>
    <x v="0"/>
    <n v="1092"/>
    <x v="0"/>
    <x v="2"/>
    <x v="0"/>
    <n v="8"/>
    <n v="4"/>
    <n v="2"/>
    <n v="0"/>
    <n v="0"/>
    <n v="4"/>
    <n v="0"/>
    <n v="0"/>
    <n v="0"/>
    <n v="0"/>
    <n v="2"/>
    <n v="2"/>
    <n v="0"/>
    <n v="3"/>
    <n v="8"/>
    <n v="24"/>
    <n v="22"/>
    <n v="0"/>
    <n v="33"/>
    <n v="1"/>
    <n v="0"/>
    <n v="23"/>
    <n v="8"/>
    <n v="15"/>
  </r>
  <r>
    <x v="513"/>
    <x v="3"/>
    <x v="1053"/>
    <n v="1995"/>
    <n v="21"/>
    <x v="14"/>
    <s v="Netherlands"/>
    <n v="4500000"/>
    <n v="7200000"/>
    <x v="1"/>
    <n v="12"/>
    <n v="831"/>
    <x v="7"/>
    <n v="405"/>
    <x v="3"/>
    <x v="3"/>
    <x v="0"/>
    <n v="3"/>
    <n v="0"/>
    <n v="7"/>
    <n v="4"/>
    <n v="0"/>
    <n v="45"/>
    <n v="2"/>
    <n v="0"/>
    <n v="0"/>
    <n v="0"/>
    <n v="1"/>
    <n v="1"/>
    <n v="0"/>
    <n v="2"/>
    <n v="8"/>
    <n v="11"/>
    <n v="4"/>
    <n v="0"/>
    <n v="22"/>
    <n v="0"/>
    <n v="0"/>
    <n v="76"/>
    <n v="21"/>
    <n v="18"/>
  </r>
  <r>
    <x v="513"/>
    <x v="0"/>
    <x v="1054"/>
    <n v="1995"/>
    <n v="20"/>
    <x v="9"/>
    <s v="Netherlands"/>
    <n v="1800000"/>
    <n v="4500000"/>
    <x v="1"/>
    <n v="24"/>
    <n v="1874"/>
    <x v="4"/>
    <n v="609"/>
    <x v="0"/>
    <x v="5"/>
    <x v="1"/>
    <n v="4"/>
    <n v="1"/>
    <n v="16"/>
    <n v="0"/>
    <n v="1"/>
    <n v="32"/>
    <n v="0"/>
    <n v="0"/>
    <n v="0"/>
    <n v="0"/>
    <n v="0"/>
    <n v="1"/>
    <n v="0"/>
    <n v="42"/>
    <n v="8"/>
    <n v="76"/>
    <n v="28"/>
    <n v="0"/>
    <n v="79"/>
    <n v="0"/>
    <n v="0"/>
    <n v="72"/>
    <n v="34"/>
    <n v="25"/>
  </r>
  <r>
    <x v="513"/>
    <x v="2"/>
    <x v="1055"/>
    <n v="1995"/>
    <n v="23"/>
    <x v="14"/>
    <s v="Netherlands"/>
    <n v="13500000"/>
    <n v="27000000"/>
    <x v="1"/>
    <n v="38"/>
    <n v="3412"/>
    <x v="6"/>
    <n v="1696"/>
    <x v="0"/>
    <x v="0"/>
    <x v="0"/>
    <n v="0"/>
    <n v="1"/>
    <n v="25"/>
    <n v="9"/>
    <n v="1"/>
    <n v="127"/>
    <n v="3"/>
    <n v="0"/>
    <n v="0"/>
    <n v="2"/>
    <n v="1"/>
    <n v="16"/>
    <n v="0"/>
    <n v="6"/>
    <n v="35"/>
    <n v="32"/>
    <n v="28"/>
    <n v="1"/>
    <n v="66"/>
    <n v="0"/>
    <n v="0"/>
    <n v="230"/>
    <n v="88"/>
    <n v="73"/>
  </r>
  <r>
    <x v="513"/>
    <x v="1"/>
    <x v="1056"/>
    <n v="1995"/>
    <n v="22"/>
    <x v="14"/>
    <s v="Netherlands"/>
    <n v="7200000"/>
    <n v="13500000"/>
    <x v="1"/>
    <n v="38"/>
    <n v="3353"/>
    <x v="5"/>
    <n v="1589"/>
    <x v="6"/>
    <x v="2"/>
    <x v="0"/>
    <n v="1"/>
    <n v="1"/>
    <n v="18"/>
    <n v="8"/>
    <n v="1"/>
    <n v="136"/>
    <n v="0"/>
    <n v="0"/>
    <n v="0"/>
    <n v="2"/>
    <n v="0"/>
    <n v="10"/>
    <n v="0"/>
    <n v="5"/>
    <n v="24"/>
    <n v="48"/>
    <n v="27"/>
    <n v="2"/>
    <n v="53"/>
    <n v="0"/>
    <n v="0"/>
    <n v="229"/>
    <n v="105"/>
    <n v="92"/>
  </r>
  <r>
    <x v="514"/>
    <x v="0"/>
    <x v="1057"/>
    <n v="1987"/>
    <n v="27"/>
    <x v="17"/>
    <s v="England"/>
    <n v="5000000"/>
    <n v="3600000"/>
    <x v="0"/>
    <n v="13"/>
    <n v="231"/>
    <x v="4"/>
    <n v="74"/>
    <x v="0"/>
    <x v="3"/>
    <x v="0"/>
    <n v="13"/>
    <n v="0"/>
    <n v="5"/>
    <n v="0"/>
    <n v="0"/>
    <n v="0"/>
    <n v="1"/>
    <n v="0"/>
    <n v="0"/>
    <n v="0"/>
    <n v="1"/>
    <n v="0"/>
    <n v="0"/>
    <n v="6"/>
    <n v="0"/>
    <n v="1"/>
    <n v="9"/>
    <n v="0"/>
    <n v="4"/>
    <n v="0"/>
    <n v="0"/>
    <n v="0"/>
    <n v="1"/>
    <n v="6"/>
  </r>
  <r>
    <x v="514"/>
    <x v="1"/>
    <x v="1058"/>
    <n v="1987"/>
    <n v="30"/>
    <x v="0"/>
    <s v="England"/>
    <n v="16500000"/>
    <n v="19800000"/>
    <x v="2"/>
    <n v="24"/>
    <n v="1312"/>
    <x v="0"/>
    <n v="512"/>
    <x v="0"/>
    <x v="4"/>
    <x v="0"/>
    <n v="8"/>
    <n v="13"/>
    <n v="10"/>
    <n v="2"/>
    <n v="1"/>
    <n v="1"/>
    <n v="0"/>
    <n v="0"/>
    <n v="0"/>
    <n v="1"/>
    <n v="2"/>
    <n v="8"/>
    <n v="0"/>
    <n v="33"/>
    <n v="0"/>
    <n v="11"/>
    <n v="17"/>
    <n v="0"/>
    <n v="22"/>
    <n v="0"/>
    <n v="0"/>
    <n v="2"/>
    <n v="5"/>
    <n v="29"/>
  </r>
  <r>
    <x v="515"/>
    <x v="1"/>
    <x v="1059"/>
    <n v="1994"/>
    <n v="23"/>
    <x v="27"/>
    <s v="England"/>
    <n v="7150000"/>
    <n v="11000000"/>
    <x v="2"/>
    <n v="31"/>
    <n v="1947"/>
    <x v="4"/>
    <n v="799"/>
    <x v="6"/>
    <x v="6"/>
    <x v="0"/>
    <n v="9"/>
    <n v="9"/>
    <n v="44"/>
    <n v="15"/>
    <n v="1"/>
    <n v="6"/>
    <n v="1"/>
    <n v="0"/>
    <n v="0"/>
    <n v="4"/>
    <n v="5"/>
    <n v="29"/>
    <n v="26"/>
    <n v="69"/>
    <n v="0"/>
    <n v="15"/>
    <n v="19"/>
    <n v="0"/>
    <n v="32"/>
    <n v="1"/>
    <n v="0"/>
    <n v="14"/>
    <n v="4"/>
    <n v="15"/>
  </r>
  <r>
    <x v="515"/>
    <x v="0"/>
    <x v="1060"/>
    <n v="1994"/>
    <n v="21"/>
    <x v="21"/>
    <s v="England"/>
    <n v="11000000"/>
    <n v="16500000"/>
    <x v="2"/>
    <n v="35"/>
    <n v="2337"/>
    <x v="14"/>
    <n v="974"/>
    <x v="6"/>
    <x v="0"/>
    <x v="0"/>
    <n v="11"/>
    <n v="6"/>
    <n v="54"/>
    <n v="17"/>
    <n v="5"/>
    <n v="6"/>
    <n v="0"/>
    <n v="0"/>
    <n v="0"/>
    <n v="6"/>
    <n v="3"/>
    <n v="3"/>
    <n v="46"/>
    <n v="123"/>
    <n v="1"/>
    <n v="15"/>
    <n v="29"/>
    <n v="0"/>
    <n v="31"/>
    <n v="0"/>
    <n v="0"/>
    <n v="10"/>
    <n v="7"/>
    <n v="32"/>
  </r>
  <r>
    <x v="515"/>
    <x v="3"/>
    <x v="1061"/>
    <n v="1994"/>
    <n v="22"/>
    <x v="27"/>
    <s v="England"/>
    <n v="19800000"/>
    <n v="22000000"/>
    <x v="2"/>
    <n v="37"/>
    <n v="2907"/>
    <x v="8"/>
    <n v="1136"/>
    <x v="3"/>
    <x v="4"/>
    <x v="0"/>
    <n v="5"/>
    <n v="11"/>
    <n v="83"/>
    <n v="28"/>
    <n v="2"/>
    <n v="1"/>
    <n v="0"/>
    <n v="0"/>
    <n v="0"/>
    <n v="14"/>
    <n v="6"/>
    <n v="1"/>
    <n v="3"/>
    <n v="64"/>
    <n v="3"/>
    <n v="15"/>
    <n v="38"/>
    <n v="0"/>
    <n v="39"/>
    <n v="0"/>
    <n v="0"/>
    <n v="9"/>
    <n v="14"/>
    <n v="19"/>
  </r>
  <r>
    <x v="515"/>
    <x v="2"/>
    <x v="1062"/>
    <n v="1994"/>
    <n v="24"/>
    <x v="27"/>
    <s v="England"/>
    <n v="3300000"/>
    <n v="5000000"/>
    <x v="2"/>
    <n v="38"/>
    <n v="3275"/>
    <x v="14"/>
    <n v="1125"/>
    <x v="2"/>
    <x v="6"/>
    <x v="0"/>
    <n v="2"/>
    <n v="8"/>
    <n v="74"/>
    <n v="22"/>
    <n v="4"/>
    <n v="8"/>
    <n v="0"/>
    <n v="0"/>
    <n v="0"/>
    <n v="15"/>
    <n v="6"/>
    <n v="52"/>
    <n v="11"/>
    <n v="75"/>
    <n v="2"/>
    <n v="20"/>
    <n v="29"/>
    <n v="0"/>
    <n v="45"/>
    <n v="0"/>
    <n v="0"/>
    <n v="21"/>
    <n v="25"/>
    <n v="64"/>
  </r>
  <r>
    <x v="516"/>
    <x v="3"/>
    <x v="1063"/>
    <n v="1994"/>
    <n v="21"/>
    <x v="1"/>
    <s v="England"/>
    <n v="2500000"/>
    <n v="3000000"/>
    <x v="2"/>
    <n v="10"/>
    <n v="159"/>
    <x v="0"/>
    <n v="103"/>
    <x v="3"/>
    <x v="4"/>
    <x v="0"/>
    <n v="9"/>
    <n v="1"/>
    <n v="1"/>
    <n v="1"/>
    <n v="0"/>
    <n v="2"/>
    <n v="0"/>
    <n v="0"/>
    <n v="0"/>
    <n v="0"/>
    <n v="1"/>
    <n v="0"/>
    <n v="0"/>
    <n v="0"/>
    <n v="0"/>
    <n v="2"/>
    <n v="2"/>
    <n v="0"/>
    <n v="5"/>
    <n v="0"/>
    <n v="0"/>
    <n v="4"/>
    <n v="4"/>
    <n v="1"/>
  </r>
  <r>
    <x v="517"/>
    <x v="0"/>
    <x v="1064"/>
    <n v="1991"/>
    <n v="24"/>
    <x v="13"/>
    <s v="England"/>
    <n v="15300000"/>
    <n v="18900000"/>
    <x v="1"/>
    <n v="33"/>
    <n v="2970"/>
    <x v="4"/>
    <n v="1510"/>
    <x v="0"/>
    <x v="8"/>
    <x v="0"/>
    <n v="0"/>
    <n v="0"/>
    <n v="29"/>
    <n v="6"/>
    <n v="0"/>
    <n v="15"/>
    <n v="0"/>
    <n v="0"/>
    <n v="0"/>
    <n v="1"/>
    <n v="1"/>
    <n v="0"/>
    <n v="0"/>
    <n v="81"/>
    <n v="8"/>
    <n v="52"/>
    <n v="19"/>
    <n v="0"/>
    <n v="84"/>
    <n v="0"/>
    <n v="0"/>
    <n v="57"/>
    <n v="11"/>
    <n v="21"/>
  </r>
  <r>
    <x v="517"/>
    <x v="2"/>
    <x v="1065"/>
    <n v="1991"/>
    <n v="27"/>
    <x v="14"/>
    <s v="England"/>
    <n v="18000000"/>
    <n v="10800000"/>
    <x v="1"/>
    <n v="18"/>
    <n v="1253"/>
    <x v="0"/>
    <n v="518"/>
    <x v="3"/>
    <x v="4"/>
    <x v="0"/>
    <n v="4"/>
    <n v="4"/>
    <n v="5"/>
    <n v="1"/>
    <n v="0"/>
    <n v="9"/>
    <n v="0"/>
    <n v="0"/>
    <n v="0"/>
    <n v="0"/>
    <n v="2"/>
    <n v="4"/>
    <n v="0"/>
    <n v="21"/>
    <n v="3"/>
    <n v="18"/>
    <n v="9"/>
    <n v="1"/>
    <n v="37"/>
    <n v="0"/>
    <n v="0"/>
    <n v="28"/>
    <n v="6"/>
    <n v="12"/>
  </r>
  <r>
    <x v="517"/>
    <x v="3"/>
    <x v="1066"/>
    <n v="1991"/>
    <n v="25"/>
    <x v="13"/>
    <s v="England"/>
    <n v="18900000"/>
    <n v="18900000"/>
    <x v="1"/>
    <n v="37"/>
    <n v="3324"/>
    <x v="0"/>
    <n v="1795"/>
    <x v="5"/>
    <x v="0"/>
    <x v="0"/>
    <n v="0"/>
    <n v="1"/>
    <n v="26"/>
    <n v="5"/>
    <n v="1"/>
    <n v="18"/>
    <n v="0"/>
    <n v="0"/>
    <n v="0"/>
    <n v="1"/>
    <n v="1"/>
    <n v="1"/>
    <n v="0"/>
    <n v="97"/>
    <n v="2"/>
    <n v="43"/>
    <n v="14"/>
    <n v="0"/>
    <n v="80"/>
    <n v="1"/>
    <n v="0"/>
    <n v="54"/>
    <n v="13"/>
    <n v="43"/>
  </r>
  <r>
    <x v="518"/>
    <x v="2"/>
    <x v="1067"/>
    <n v="1992"/>
    <n v="26"/>
    <x v="24"/>
    <s v="England"/>
    <n v="44000000"/>
    <n v="35200000"/>
    <x v="2"/>
    <n v="20"/>
    <n v="986"/>
    <x v="6"/>
    <n v="255"/>
    <x v="3"/>
    <x v="0"/>
    <x v="0"/>
    <n v="9"/>
    <n v="8"/>
    <n v="20"/>
    <n v="10"/>
    <n v="1"/>
    <n v="8"/>
    <n v="0"/>
    <n v="0"/>
    <n v="0"/>
    <n v="3"/>
    <n v="1"/>
    <n v="10"/>
    <n v="2"/>
    <n v="27"/>
    <n v="1"/>
    <n v="13"/>
    <n v="7"/>
    <n v="1"/>
    <n v="34"/>
    <n v="0"/>
    <n v="0"/>
    <n v="13"/>
    <n v="23"/>
    <n v="43"/>
  </r>
  <r>
    <x v="519"/>
    <x v="3"/>
    <x v="1068"/>
    <n v="1989"/>
    <n v="27"/>
    <x v="0"/>
    <s v="Wales"/>
    <n v="5500000"/>
    <n v="5500000"/>
    <x v="1"/>
    <n v="11"/>
    <n v="922"/>
    <x v="0"/>
    <n v="361"/>
    <x v="0"/>
    <x v="3"/>
    <x v="0"/>
    <n v="0"/>
    <n v="2"/>
    <n v="4"/>
    <n v="0"/>
    <n v="0"/>
    <n v="9"/>
    <n v="0"/>
    <n v="0"/>
    <n v="0"/>
    <n v="0"/>
    <n v="0"/>
    <n v="0"/>
    <n v="0"/>
    <n v="28"/>
    <n v="3"/>
    <n v="25"/>
    <n v="13"/>
    <n v="0"/>
    <n v="22"/>
    <n v="0"/>
    <n v="0"/>
    <n v="20"/>
    <n v="7"/>
    <n v="5"/>
  </r>
  <r>
    <x v="519"/>
    <x v="0"/>
    <x v="1069"/>
    <n v="1989"/>
    <n v="26"/>
    <x v="0"/>
    <s v="Wales"/>
    <n v="4950000"/>
    <n v="5500000"/>
    <x v="1"/>
    <n v="34"/>
    <n v="2947"/>
    <x v="0"/>
    <n v="1284"/>
    <x v="0"/>
    <x v="5"/>
    <x v="0"/>
    <n v="1"/>
    <n v="1"/>
    <n v="9"/>
    <n v="0"/>
    <n v="0"/>
    <n v="36"/>
    <n v="0"/>
    <n v="0"/>
    <n v="0"/>
    <n v="0"/>
    <n v="0"/>
    <n v="0"/>
    <n v="0"/>
    <n v="73"/>
    <n v="11"/>
    <n v="63"/>
    <n v="38"/>
    <n v="0"/>
    <n v="41"/>
    <n v="0"/>
    <n v="0"/>
    <n v="69"/>
    <n v="28"/>
    <n v="30"/>
  </r>
  <r>
    <x v="520"/>
    <x v="0"/>
    <x v="1070"/>
    <n v="1988"/>
    <n v="27"/>
    <x v="1"/>
    <s v="Serbia"/>
    <n v="35200000"/>
    <n v="38500000"/>
    <x v="2"/>
    <n v="33"/>
    <n v="2421"/>
    <x v="5"/>
    <n v="1607"/>
    <x v="5"/>
    <x v="5"/>
    <x v="1"/>
    <n v="5"/>
    <n v="8"/>
    <n v="34"/>
    <n v="8"/>
    <n v="1"/>
    <n v="27"/>
    <n v="0"/>
    <n v="0"/>
    <n v="0"/>
    <n v="2"/>
    <n v="2"/>
    <n v="3"/>
    <n v="2"/>
    <n v="20"/>
    <n v="10"/>
    <n v="67"/>
    <n v="38"/>
    <n v="0"/>
    <n v="84"/>
    <n v="0"/>
    <n v="0"/>
    <n v="47"/>
    <n v="38"/>
    <n v="44"/>
  </r>
  <r>
    <x v="520"/>
    <x v="3"/>
    <x v="1071"/>
    <n v="1988"/>
    <n v="28"/>
    <x v="1"/>
    <s v="Serbia"/>
    <n v="38500000"/>
    <n v="44000000"/>
    <x v="2"/>
    <n v="35"/>
    <n v="2697"/>
    <x v="0"/>
    <n v="1865"/>
    <x v="4"/>
    <x v="5"/>
    <x v="0"/>
    <n v="5"/>
    <n v="7"/>
    <n v="20"/>
    <n v="7"/>
    <n v="0"/>
    <n v="33"/>
    <n v="0"/>
    <n v="0"/>
    <n v="0"/>
    <n v="1"/>
    <n v="8"/>
    <n v="0"/>
    <n v="0"/>
    <n v="8"/>
    <n v="9"/>
    <n v="50"/>
    <n v="33"/>
    <n v="0"/>
    <n v="51"/>
    <n v="0"/>
    <n v="0"/>
    <n v="46"/>
    <n v="39"/>
    <n v="26"/>
  </r>
  <r>
    <x v="520"/>
    <x v="1"/>
    <x v="1072"/>
    <n v="1988"/>
    <n v="29"/>
    <x v="22"/>
    <s v="Serbia"/>
    <n v="44000000"/>
    <n v="33000000"/>
    <x v="2"/>
    <n v="36"/>
    <n v="3119"/>
    <x v="4"/>
    <n v="2601"/>
    <x v="3"/>
    <x v="8"/>
    <x v="0"/>
    <n v="1"/>
    <n v="2"/>
    <n v="18"/>
    <n v="3"/>
    <n v="0"/>
    <n v="27"/>
    <n v="0"/>
    <n v="0"/>
    <n v="0"/>
    <n v="2"/>
    <n v="4"/>
    <n v="15"/>
    <n v="1"/>
    <n v="18"/>
    <n v="13"/>
    <n v="64"/>
    <n v="33"/>
    <n v="0"/>
    <n v="70"/>
    <n v="1"/>
    <n v="0"/>
    <n v="56"/>
    <n v="57"/>
    <n v="28"/>
  </r>
  <r>
    <x v="520"/>
    <x v="2"/>
    <x v="1073"/>
    <n v="1988"/>
    <n v="30"/>
    <x v="22"/>
    <s v="Serbia"/>
    <n v="4400000"/>
    <n v="8800000"/>
    <x v="2"/>
    <n v="28"/>
    <n v="2440"/>
    <x v="4"/>
    <n v="1836"/>
    <x v="0"/>
    <x v="8"/>
    <x v="1"/>
    <n v="0"/>
    <n v="4"/>
    <n v="12"/>
    <n v="3"/>
    <n v="0"/>
    <n v="28"/>
    <n v="0"/>
    <n v="0"/>
    <n v="0"/>
    <n v="1"/>
    <n v="3"/>
    <n v="9"/>
    <n v="0"/>
    <n v="9"/>
    <n v="18"/>
    <n v="31"/>
    <n v="27"/>
    <n v="0"/>
    <n v="50"/>
    <n v="0"/>
    <n v="0"/>
    <n v="52"/>
    <n v="55"/>
    <n v="33"/>
  </r>
  <r>
    <x v="521"/>
    <x v="0"/>
    <x v="1074"/>
    <n v="1988"/>
    <n v="27"/>
    <x v="19"/>
    <s v="Argentina"/>
    <n v="22200000"/>
    <n v="28500000"/>
    <x v="1"/>
    <n v="30"/>
    <n v="2672"/>
    <x v="4"/>
    <n v="1569"/>
    <x v="0"/>
    <x v="10"/>
    <x v="0"/>
    <n v="0"/>
    <n v="1"/>
    <n v="27"/>
    <n v="8"/>
    <n v="0"/>
    <n v="123"/>
    <n v="1"/>
    <n v="0"/>
    <n v="0"/>
    <n v="0"/>
    <n v="0"/>
    <n v="0"/>
    <n v="0"/>
    <n v="1"/>
    <n v="13"/>
    <n v="104"/>
    <n v="31"/>
    <n v="0"/>
    <n v="90"/>
    <n v="0"/>
    <n v="0"/>
    <n v="209"/>
    <n v="90"/>
    <n v="49"/>
  </r>
  <r>
    <x v="521"/>
    <x v="3"/>
    <x v="1075"/>
    <n v="1988"/>
    <n v="28"/>
    <x v="19"/>
    <s v="Argentina"/>
    <n v="28500000"/>
    <n v="27000000"/>
    <x v="1"/>
    <n v="30"/>
    <n v="2592"/>
    <x v="4"/>
    <n v="1945"/>
    <x v="3"/>
    <x v="10"/>
    <x v="0"/>
    <n v="1"/>
    <n v="1"/>
    <n v="15"/>
    <n v="3"/>
    <n v="0"/>
    <n v="140"/>
    <n v="1"/>
    <n v="0"/>
    <n v="0"/>
    <n v="1"/>
    <n v="5"/>
    <n v="0"/>
    <n v="0"/>
    <n v="3"/>
    <n v="15"/>
    <n v="84"/>
    <n v="30"/>
    <n v="0"/>
    <n v="69"/>
    <n v="0"/>
    <n v="0"/>
    <n v="190"/>
    <n v="117"/>
    <n v="67"/>
  </r>
  <r>
    <x v="521"/>
    <x v="2"/>
    <x v="1076"/>
    <n v="1988"/>
    <n v="30"/>
    <x v="19"/>
    <s v="Argentina"/>
    <n v="31500000"/>
    <n v="22500000"/>
    <x v="1"/>
    <n v="18"/>
    <n v="1234"/>
    <x v="0"/>
    <n v="1245"/>
    <x v="0"/>
    <x v="0"/>
    <x v="0"/>
    <n v="4"/>
    <n v="1"/>
    <n v="15"/>
    <n v="3"/>
    <n v="0"/>
    <n v="23"/>
    <n v="0"/>
    <n v="0"/>
    <n v="0"/>
    <n v="0"/>
    <n v="0"/>
    <n v="12"/>
    <n v="0"/>
    <n v="1"/>
    <n v="4"/>
    <n v="29"/>
    <n v="8"/>
    <n v="0"/>
    <n v="24"/>
    <n v="1"/>
    <n v="0"/>
    <n v="55"/>
    <n v="41"/>
    <n v="25"/>
  </r>
  <r>
    <x v="521"/>
    <x v="1"/>
    <x v="1077"/>
    <n v="1988"/>
    <n v="29"/>
    <x v="19"/>
    <s v="Argentina"/>
    <n v="27000000"/>
    <n v="31500000"/>
    <x v="1"/>
    <n v="34"/>
    <n v="2968"/>
    <x v="6"/>
    <n v="3074"/>
    <x v="0"/>
    <x v="10"/>
    <x v="0"/>
    <n v="1"/>
    <n v="2"/>
    <n v="32"/>
    <n v="10"/>
    <n v="2"/>
    <n v="76"/>
    <n v="2"/>
    <n v="0"/>
    <n v="0"/>
    <n v="0"/>
    <n v="3"/>
    <n v="22"/>
    <n v="0"/>
    <n v="2"/>
    <n v="10"/>
    <n v="48"/>
    <n v="28"/>
    <n v="0"/>
    <n v="58"/>
    <n v="3"/>
    <n v="1"/>
    <n v="122"/>
    <n v="79"/>
    <n v="68"/>
  </r>
  <r>
    <x v="522"/>
    <x v="0"/>
    <x v="1078"/>
    <n v="1985"/>
    <n v="30"/>
    <x v="3"/>
    <s v="Croatia"/>
    <n v="4600000"/>
    <n v="3600000"/>
    <x v="0"/>
    <n v="13"/>
    <n v="339"/>
    <x v="4"/>
    <n v="74"/>
    <x v="0"/>
    <x v="3"/>
    <x v="0"/>
    <n v="12"/>
    <n v="0"/>
    <n v="11"/>
    <n v="1"/>
    <n v="0"/>
    <n v="3"/>
    <n v="0"/>
    <n v="0"/>
    <n v="0"/>
    <n v="6"/>
    <n v="0"/>
    <n v="0"/>
    <n v="0"/>
    <n v="4"/>
    <n v="0"/>
    <n v="3"/>
    <n v="7"/>
    <n v="0"/>
    <n v="3"/>
    <n v="0"/>
    <n v="0"/>
    <n v="4"/>
    <n v="10"/>
    <n v="21"/>
  </r>
  <r>
    <x v="523"/>
    <x v="1"/>
    <x v="1079"/>
    <n v="1997"/>
    <n v="20"/>
    <x v="4"/>
    <s v="Croatia"/>
    <n v="13500000"/>
    <n v="10800000"/>
    <x v="2"/>
    <n v="12"/>
    <n v="575"/>
    <x v="0"/>
    <n v="203"/>
    <x v="0"/>
    <x v="0"/>
    <x v="0"/>
    <n v="5"/>
    <n v="4"/>
    <n v="1"/>
    <n v="1"/>
    <n v="0"/>
    <n v="4"/>
    <n v="0"/>
    <n v="0"/>
    <n v="0"/>
    <n v="0"/>
    <n v="2"/>
    <n v="0"/>
    <n v="1"/>
    <n v="8"/>
    <n v="2"/>
    <n v="9"/>
    <n v="7"/>
    <n v="0"/>
    <n v="9"/>
    <n v="0"/>
    <n v="0"/>
    <n v="9"/>
    <n v="5"/>
    <n v="14"/>
  </r>
  <r>
    <x v="524"/>
    <x v="3"/>
    <x v="1080"/>
    <n v="1986"/>
    <n v="29"/>
    <x v="19"/>
    <s v="Spain"/>
    <n v="6600000"/>
    <n v="4950000"/>
    <x v="2"/>
    <n v="19"/>
    <n v="778"/>
    <x v="6"/>
    <n v="391"/>
    <x v="5"/>
    <x v="6"/>
    <x v="1"/>
    <n v="10"/>
    <n v="7"/>
    <n v="32"/>
    <n v="12"/>
    <n v="0"/>
    <n v="2"/>
    <n v="1"/>
    <n v="0"/>
    <n v="0"/>
    <n v="4"/>
    <n v="4"/>
    <n v="3"/>
    <n v="10"/>
    <n v="16"/>
    <n v="0"/>
    <n v="7"/>
    <n v="18"/>
    <n v="0"/>
    <n v="14"/>
    <n v="0"/>
    <n v="0"/>
    <n v="4"/>
    <n v="8"/>
    <n v="12"/>
  </r>
  <r>
    <x v="525"/>
    <x v="0"/>
    <x v="1081"/>
    <n v="1987"/>
    <n v="28"/>
    <x v="9"/>
    <s v="Morocco"/>
    <n v="4950000"/>
    <n v="4950000"/>
    <x v="2"/>
    <n v="12"/>
    <n v="501"/>
    <x v="0"/>
    <n v="156"/>
    <x v="0"/>
    <x v="4"/>
    <x v="1"/>
    <n v="8"/>
    <n v="2"/>
    <n v="7"/>
    <n v="3"/>
    <n v="0"/>
    <n v="1"/>
    <n v="0"/>
    <n v="0"/>
    <n v="0"/>
    <n v="2"/>
    <n v="2"/>
    <n v="1"/>
    <n v="2"/>
    <n v="38"/>
    <n v="0"/>
    <n v="4"/>
    <n v="15"/>
    <n v="0"/>
    <n v="5"/>
    <n v="0"/>
    <n v="0"/>
    <n v="1"/>
    <n v="1"/>
    <n v="9"/>
  </r>
  <r>
    <x v="525"/>
    <x v="3"/>
    <x v="1082"/>
    <n v="1987"/>
    <n v="29"/>
    <x v="9"/>
    <s v="Morocco"/>
    <n v="3600000"/>
    <n v="2250000"/>
    <x v="2"/>
    <n v="29"/>
    <n v="2101"/>
    <x v="0"/>
    <n v="675"/>
    <x v="6"/>
    <x v="5"/>
    <x v="0"/>
    <n v="4"/>
    <n v="14"/>
    <n v="29"/>
    <n v="6"/>
    <n v="0"/>
    <n v="3"/>
    <n v="0"/>
    <n v="0"/>
    <n v="0"/>
    <n v="2"/>
    <n v="2"/>
    <n v="0"/>
    <n v="0"/>
    <n v="130"/>
    <n v="3"/>
    <n v="24"/>
    <n v="47"/>
    <n v="0"/>
    <n v="45"/>
    <n v="0"/>
    <n v="0"/>
    <n v="11"/>
    <n v="4"/>
    <n v="10"/>
  </r>
  <r>
    <x v="526"/>
    <x v="0"/>
    <x v="1083"/>
    <n v="1989"/>
    <n v="26"/>
    <x v="9"/>
    <s v="Nigeria"/>
    <n v="4400000"/>
    <n v="10800000"/>
    <x v="0"/>
    <n v="37"/>
    <n v="3151"/>
    <x v="16"/>
    <n v="722"/>
    <x v="6"/>
    <x v="5"/>
    <x v="0"/>
    <n v="1"/>
    <n v="8"/>
    <n v="109"/>
    <n v="48"/>
    <n v="2"/>
    <n v="20"/>
    <n v="1"/>
    <n v="0"/>
    <n v="0"/>
    <n v="27"/>
    <n v="4"/>
    <n v="17"/>
    <n v="0"/>
    <n v="15"/>
    <n v="2"/>
    <n v="15"/>
    <n v="47"/>
    <n v="0"/>
    <n v="27"/>
    <n v="0"/>
    <n v="0"/>
    <n v="27"/>
    <n v="25"/>
    <n v="74"/>
  </r>
  <r>
    <x v="526"/>
    <x v="3"/>
    <x v="1084"/>
    <n v="1989"/>
    <n v="27"/>
    <x v="9"/>
    <s v="Nigeria"/>
    <n v="10800000"/>
    <n v="6300000"/>
    <x v="0"/>
    <n v="18"/>
    <n v="1291"/>
    <x v="4"/>
    <n v="296"/>
    <x v="3"/>
    <x v="3"/>
    <x v="0"/>
    <n v="4"/>
    <n v="4"/>
    <n v="37"/>
    <n v="10"/>
    <n v="0"/>
    <n v="1"/>
    <n v="0"/>
    <n v="0"/>
    <n v="0"/>
    <n v="9"/>
    <n v="1"/>
    <n v="4"/>
    <n v="0"/>
    <n v="5"/>
    <n v="1"/>
    <n v="3"/>
    <n v="17"/>
    <n v="0"/>
    <n v="10"/>
    <n v="0"/>
    <n v="0"/>
    <n v="3"/>
    <n v="16"/>
    <n v="45"/>
  </r>
  <r>
    <x v="527"/>
    <x v="0"/>
    <x v="1085"/>
    <n v="1986"/>
    <n v="29"/>
    <x v="12"/>
    <s v="Sweden"/>
    <n v="13500000"/>
    <n v="18000000"/>
    <x v="2"/>
    <n v="12"/>
    <n v="663"/>
    <x v="0"/>
    <n v="254"/>
    <x v="5"/>
    <x v="3"/>
    <x v="0"/>
    <n v="3"/>
    <n v="7"/>
    <n v="7"/>
    <n v="1"/>
    <n v="0"/>
    <n v="3"/>
    <n v="0"/>
    <n v="0"/>
    <n v="0"/>
    <n v="0"/>
    <n v="0"/>
    <n v="0"/>
    <n v="0"/>
    <n v="0"/>
    <n v="0"/>
    <n v="8"/>
    <n v="9"/>
    <n v="0"/>
    <n v="10"/>
    <n v="0"/>
    <n v="0"/>
    <n v="6"/>
    <n v="26"/>
    <n v="33"/>
  </r>
  <r>
    <x v="528"/>
    <x v="2"/>
    <x v="1086"/>
    <n v="1996"/>
    <n v="21"/>
    <x v="19"/>
    <s v="Ukraine"/>
    <n v="6300000"/>
    <n v="9000000"/>
    <x v="2"/>
    <n v="14"/>
    <n v="1153"/>
    <x v="0"/>
    <n v="1184"/>
    <x v="6"/>
    <x v="3"/>
    <x v="0"/>
    <n v="0"/>
    <n v="2"/>
    <n v="7"/>
    <n v="0"/>
    <n v="0"/>
    <n v="9"/>
    <n v="0"/>
    <n v="0"/>
    <n v="0"/>
    <n v="0"/>
    <n v="2"/>
    <n v="7"/>
    <n v="0"/>
    <n v="39"/>
    <n v="3"/>
    <n v="20"/>
    <n v="15"/>
    <n v="0"/>
    <n v="34"/>
    <n v="0"/>
    <n v="0"/>
    <n v="16"/>
    <n v="24"/>
    <n v="33"/>
  </r>
  <r>
    <x v="529"/>
    <x v="1"/>
    <x v="1087"/>
    <n v="1997"/>
    <n v="20"/>
    <x v="18"/>
    <s v="Scotland"/>
    <n v="2750000"/>
    <n v="5500000"/>
    <x v="2"/>
    <n v="15"/>
    <n v="358"/>
    <x v="0"/>
    <n v="140"/>
    <x v="5"/>
    <x v="0"/>
    <x v="0"/>
    <n v="13"/>
    <n v="2"/>
    <n v="0"/>
    <n v="0"/>
    <n v="0"/>
    <n v="1"/>
    <n v="0"/>
    <n v="0"/>
    <n v="0"/>
    <n v="0"/>
    <n v="0"/>
    <n v="0"/>
    <n v="0"/>
    <n v="9"/>
    <n v="0"/>
    <n v="7"/>
    <n v="2"/>
    <n v="0"/>
    <n v="6"/>
    <n v="0"/>
    <n v="0"/>
    <n v="2"/>
    <n v="5"/>
    <n v="7"/>
  </r>
  <r>
    <x v="530"/>
    <x v="1"/>
    <x v="1088"/>
    <n v="1996"/>
    <n v="21"/>
    <x v="0"/>
    <s v="Scotland"/>
    <n v="225000"/>
    <n v="3600000"/>
    <x v="0"/>
    <n v="11"/>
    <n v="269"/>
    <x v="0"/>
    <n v="99"/>
    <x v="3"/>
    <x v="0"/>
    <x v="0"/>
    <n v="9"/>
    <n v="2"/>
    <n v="3"/>
    <n v="3"/>
    <n v="0"/>
    <n v="3"/>
    <n v="0"/>
    <n v="0"/>
    <n v="0"/>
    <n v="0"/>
    <n v="1"/>
    <n v="0"/>
    <n v="0"/>
    <n v="3"/>
    <n v="0"/>
    <n v="0"/>
    <n v="4"/>
    <n v="0"/>
    <n v="4"/>
    <n v="0"/>
    <n v="0"/>
    <n v="3"/>
    <n v="22"/>
    <n v="20"/>
  </r>
  <r>
    <x v="531"/>
    <x v="1"/>
    <x v="1089"/>
    <n v="1986"/>
    <n v="31"/>
    <x v="1"/>
    <s v="France"/>
    <n v="24200000"/>
    <n v="23200000"/>
    <x v="0"/>
    <n v="29"/>
    <n v="984"/>
    <x v="8"/>
    <n v="375"/>
    <x v="3"/>
    <x v="0"/>
    <x v="0"/>
    <n v="22"/>
    <n v="4"/>
    <n v="48"/>
    <n v="15"/>
    <n v="3"/>
    <n v="7"/>
    <n v="4"/>
    <n v="0"/>
    <n v="0"/>
    <n v="5"/>
    <n v="5"/>
    <n v="33"/>
    <n v="0"/>
    <n v="3"/>
    <n v="0"/>
    <n v="2"/>
    <n v="13"/>
    <n v="0"/>
    <n v="9"/>
    <n v="0"/>
    <n v="0"/>
    <n v="9"/>
    <n v="69"/>
    <n v="44"/>
  </r>
  <r>
    <x v="531"/>
    <x v="2"/>
    <x v="1090"/>
    <n v="1986"/>
    <n v="31"/>
    <x v="1"/>
    <s v="France"/>
    <n v="16200000"/>
    <n v="13500000"/>
    <x v="0"/>
    <n v="27"/>
    <n v="833"/>
    <x v="5"/>
    <n v="261"/>
    <x v="2"/>
    <x v="3"/>
    <x v="0"/>
    <n v="20"/>
    <n v="5"/>
    <n v="32"/>
    <n v="10"/>
    <n v="1"/>
    <n v="6"/>
    <n v="1"/>
    <n v="0"/>
    <n v="0"/>
    <n v="6"/>
    <n v="0"/>
    <n v="22"/>
    <n v="0"/>
    <n v="1"/>
    <n v="1"/>
    <n v="3"/>
    <n v="12"/>
    <n v="0"/>
    <n v="3"/>
    <n v="0"/>
    <n v="0"/>
    <n v="6"/>
    <n v="38"/>
    <n v="22"/>
  </r>
  <r>
    <x v="531"/>
    <x v="0"/>
    <x v="1091"/>
    <n v="1986"/>
    <n v="28"/>
    <x v="7"/>
    <s v="France"/>
    <n v="26200000"/>
    <n v="27500000"/>
    <x v="0"/>
    <n v="38"/>
    <n v="2424"/>
    <x v="19"/>
    <n v="839"/>
    <x v="1"/>
    <x v="4"/>
    <x v="0"/>
    <n v="12"/>
    <n v="8"/>
    <n v="101"/>
    <n v="43"/>
    <n v="3"/>
    <n v="19"/>
    <n v="7"/>
    <n v="1"/>
    <n v="0"/>
    <n v="26"/>
    <n v="11"/>
    <n v="13"/>
    <n v="0"/>
    <n v="25"/>
    <n v="4"/>
    <n v="10"/>
    <n v="40"/>
    <n v="0"/>
    <n v="34"/>
    <n v="0"/>
    <n v="1"/>
    <n v="26"/>
    <n v="102"/>
    <n v="92"/>
  </r>
  <r>
    <x v="531"/>
    <x v="3"/>
    <x v="1092"/>
    <n v="1986"/>
    <n v="29"/>
    <x v="7"/>
    <s v="France"/>
    <n v="22500000"/>
    <n v="19800000"/>
    <x v="0"/>
    <n v="29"/>
    <n v="1194"/>
    <x v="13"/>
    <n v="369"/>
    <x v="6"/>
    <x v="4"/>
    <x v="0"/>
    <n v="18"/>
    <n v="7"/>
    <n v="39"/>
    <n v="20"/>
    <n v="1"/>
    <n v="12"/>
    <n v="6"/>
    <n v="0"/>
    <n v="0"/>
    <n v="12"/>
    <n v="4"/>
    <n v="3"/>
    <n v="0"/>
    <n v="3"/>
    <n v="4"/>
    <n v="8"/>
    <n v="21"/>
    <n v="0"/>
    <n v="14"/>
    <n v="0"/>
    <n v="0"/>
    <n v="17"/>
    <n v="50"/>
    <n v="40"/>
  </r>
  <r>
    <x v="532"/>
    <x v="0"/>
    <x v="1093"/>
    <n v="1991"/>
    <n v="23"/>
    <x v="27"/>
    <s v="Spain"/>
    <n v="5500000"/>
    <n v="11000000"/>
    <x v="2"/>
    <n v="29"/>
    <n v="1606"/>
    <x v="4"/>
    <n v="833"/>
    <x v="0"/>
    <x v="1"/>
    <x v="0"/>
    <n v="12"/>
    <n v="7"/>
    <n v="28"/>
    <n v="8"/>
    <n v="0"/>
    <n v="9"/>
    <n v="0"/>
    <n v="0"/>
    <n v="0"/>
    <n v="0"/>
    <n v="3"/>
    <n v="1"/>
    <n v="0"/>
    <n v="0"/>
    <n v="11"/>
    <n v="39"/>
    <n v="28"/>
    <n v="0"/>
    <n v="77"/>
    <n v="0"/>
    <n v="0"/>
    <n v="31"/>
    <n v="25"/>
    <n v="28"/>
  </r>
  <r>
    <x v="532"/>
    <x v="3"/>
    <x v="1094"/>
    <n v="1991"/>
    <n v="24"/>
    <x v="27"/>
    <s v="Spain"/>
    <n v="11000000"/>
    <n v="13200000"/>
    <x v="2"/>
    <n v="35"/>
    <n v="3072"/>
    <x v="4"/>
    <n v="2070"/>
    <x v="0"/>
    <x v="12"/>
    <x v="0"/>
    <n v="0"/>
    <n v="1"/>
    <n v="28"/>
    <n v="6"/>
    <n v="0"/>
    <n v="32"/>
    <n v="0"/>
    <n v="0"/>
    <n v="0"/>
    <n v="1"/>
    <n v="0"/>
    <n v="0"/>
    <n v="0"/>
    <n v="3"/>
    <n v="13"/>
    <n v="89"/>
    <n v="66"/>
    <n v="0"/>
    <n v="117"/>
    <n v="0"/>
    <n v="0"/>
    <n v="66"/>
    <n v="75"/>
    <n v="80"/>
  </r>
  <r>
    <x v="532"/>
    <x v="1"/>
    <x v="1095"/>
    <n v="1991"/>
    <n v="26"/>
    <x v="27"/>
    <s v="Spain"/>
    <n v="13200000"/>
    <n v="11000000"/>
    <x v="2"/>
    <n v="34"/>
    <n v="2901"/>
    <x v="4"/>
    <n v="1843"/>
    <x v="0"/>
    <x v="12"/>
    <x v="0"/>
    <n v="0"/>
    <n v="6"/>
    <n v="27"/>
    <n v="4"/>
    <n v="1"/>
    <n v="37"/>
    <n v="0"/>
    <n v="0"/>
    <n v="0"/>
    <n v="3"/>
    <n v="2"/>
    <n v="23"/>
    <n v="0"/>
    <n v="6"/>
    <n v="19"/>
    <n v="69"/>
    <n v="53"/>
    <n v="0"/>
    <n v="93"/>
    <n v="0"/>
    <n v="0"/>
    <n v="72"/>
    <n v="97"/>
    <n v="82"/>
  </r>
  <r>
    <x v="532"/>
    <x v="2"/>
    <x v="1096"/>
    <n v="1991"/>
    <n v="26"/>
    <x v="27"/>
    <s v="Spain"/>
    <n v="41800000"/>
    <n v="38500000"/>
    <x v="2"/>
    <n v="31"/>
    <n v="2139"/>
    <x v="4"/>
    <n v="1103"/>
    <x v="0"/>
    <x v="12"/>
    <x v="0"/>
    <n v="6"/>
    <n v="10"/>
    <n v="10"/>
    <n v="4"/>
    <n v="0"/>
    <n v="14"/>
    <n v="0"/>
    <n v="0"/>
    <n v="0"/>
    <n v="0"/>
    <n v="1"/>
    <n v="6"/>
    <n v="0"/>
    <n v="3"/>
    <n v="17"/>
    <n v="52"/>
    <n v="46"/>
    <n v="0"/>
    <n v="81"/>
    <n v="0"/>
    <n v="0"/>
    <n v="36"/>
    <n v="46"/>
    <n v="39"/>
  </r>
  <r>
    <x v="533"/>
    <x v="0"/>
    <x v="1097"/>
    <n v="1991"/>
    <n v="23"/>
    <x v="1"/>
    <s v="Brazil"/>
    <n v="4400000"/>
    <n v="11000000"/>
    <x v="2"/>
    <n v="27"/>
    <n v="1773"/>
    <x v="7"/>
    <n v="1040"/>
    <x v="6"/>
    <x v="5"/>
    <x v="0"/>
    <n v="7"/>
    <n v="12"/>
    <n v="52"/>
    <n v="16"/>
    <n v="0"/>
    <n v="6"/>
    <n v="0"/>
    <n v="1"/>
    <n v="1"/>
    <n v="2"/>
    <n v="6"/>
    <n v="4"/>
    <n v="7"/>
    <n v="38"/>
    <n v="2"/>
    <n v="13"/>
    <n v="18"/>
    <n v="0"/>
    <n v="62"/>
    <n v="0"/>
    <n v="0"/>
    <n v="21"/>
    <n v="12"/>
    <n v="22"/>
  </r>
  <r>
    <x v="534"/>
    <x v="3"/>
    <x v="1098"/>
    <n v="1990"/>
    <n v="26"/>
    <x v="10"/>
    <s v="Senegal"/>
    <n v="10800000"/>
    <n v="8100000"/>
    <x v="0"/>
    <n v="17"/>
    <n v="1095"/>
    <x v="6"/>
    <n v="235"/>
    <x v="3"/>
    <x v="6"/>
    <x v="0"/>
    <n v="5"/>
    <n v="3"/>
    <n v="26"/>
    <n v="8"/>
    <n v="0"/>
    <n v="11"/>
    <n v="0"/>
    <n v="0"/>
    <n v="0"/>
    <n v="11"/>
    <n v="0"/>
    <n v="2"/>
    <n v="0"/>
    <n v="13"/>
    <n v="0"/>
    <n v="0"/>
    <n v="17"/>
    <n v="0"/>
    <n v="10"/>
    <n v="0"/>
    <n v="0"/>
    <n v="13"/>
    <n v="25"/>
    <n v="44"/>
  </r>
  <r>
    <x v="534"/>
    <x v="1"/>
    <x v="1099"/>
    <n v="1990"/>
    <n v="27"/>
    <x v="4"/>
    <s v="Senegal"/>
    <n v="8100000"/>
    <n v="7200000"/>
    <x v="0"/>
    <n v="22"/>
    <n v="1081"/>
    <x v="9"/>
    <n v="250"/>
    <x v="5"/>
    <x v="4"/>
    <x v="0"/>
    <n v="12"/>
    <n v="6"/>
    <n v="37"/>
    <n v="18"/>
    <n v="3"/>
    <n v="4"/>
    <n v="1"/>
    <n v="0"/>
    <n v="0"/>
    <n v="20"/>
    <n v="2"/>
    <n v="19"/>
    <n v="1"/>
    <n v="7"/>
    <n v="2"/>
    <n v="2"/>
    <n v="31"/>
    <n v="0"/>
    <n v="10"/>
    <n v="0"/>
    <n v="0"/>
    <n v="6"/>
    <n v="0"/>
    <n v="68"/>
  </r>
  <r>
    <x v="534"/>
    <x v="2"/>
    <x v="1100"/>
    <n v="1990"/>
    <n v="28"/>
    <x v="24"/>
    <s v="Senegal"/>
    <n v="7200000"/>
    <n v="5400000"/>
    <x v="0"/>
    <n v="18"/>
    <n v="998"/>
    <x v="0"/>
    <n v="189"/>
    <x v="0"/>
    <x v="0"/>
    <x v="0"/>
    <n v="6"/>
    <n v="10"/>
    <n v="20"/>
    <n v="7"/>
    <n v="1"/>
    <n v="5"/>
    <n v="0"/>
    <n v="0"/>
    <n v="0"/>
    <n v="10"/>
    <n v="0"/>
    <n v="13"/>
    <n v="0"/>
    <n v="5"/>
    <n v="0"/>
    <n v="2"/>
    <n v="11"/>
    <n v="0"/>
    <n v="12"/>
    <n v="0"/>
    <n v="0"/>
    <n v="7"/>
    <n v="41"/>
    <n v="75"/>
  </r>
  <r>
    <x v="535"/>
    <x v="3"/>
    <x v="1101"/>
    <n v="1985"/>
    <n v="31"/>
    <x v="19"/>
    <s v="Argentina"/>
    <n v="9000000"/>
    <n v="6300000"/>
    <x v="1"/>
    <n v="20"/>
    <n v="1059"/>
    <x v="4"/>
    <n v="573"/>
    <x v="3"/>
    <x v="4"/>
    <x v="0"/>
    <n v="9"/>
    <n v="3"/>
    <n v="7"/>
    <n v="2"/>
    <n v="0"/>
    <n v="29"/>
    <n v="0"/>
    <n v="0"/>
    <n v="0"/>
    <n v="5"/>
    <n v="0"/>
    <n v="0"/>
    <n v="0"/>
    <n v="15"/>
    <n v="0"/>
    <n v="24"/>
    <n v="14"/>
    <n v="0"/>
    <n v="41"/>
    <n v="0"/>
    <n v="0"/>
    <n v="42"/>
    <n v="24"/>
    <n v="16"/>
  </r>
  <r>
    <x v="535"/>
    <x v="0"/>
    <x v="1102"/>
    <n v="1985"/>
    <n v="30"/>
    <x v="19"/>
    <s v="Argentina"/>
    <n v="16200000"/>
    <n v="9000000"/>
    <x v="1"/>
    <n v="13"/>
    <n v="1062"/>
    <x v="0"/>
    <n v="575"/>
    <x v="0"/>
    <x v="6"/>
    <x v="0"/>
    <n v="0"/>
    <n v="0"/>
    <n v="3"/>
    <n v="1"/>
    <n v="0"/>
    <n v="22"/>
    <n v="0"/>
    <n v="0"/>
    <n v="0"/>
    <n v="2"/>
    <n v="0"/>
    <n v="0"/>
    <n v="0"/>
    <n v="19"/>
    <n v="2"/>
    <n v="25"/>
    <n v="15"/>
    <n v="0"/>
    <n v="43"/>
    <n v="0"/>
    <n v="0"/>
    <n v="35"/>
    <n v="18"/>
    <n v="14"/>
  </r>
  <r>
    <x v="535"/>
    <x v="1"/>
    <x v="1103"/>
    <n v="1985"/>
    <n v="32"/>
    <x v="3"/>
    <s v="Argentina"/>
    <n v="6300000"/>
    <n v="4500000"/>
    <x v="1"/>
    <n v="37"/>
    <n v="3291"/>
    <x v="0"/>
    <n v="1153"/>
    <x v="3"/>
    <x v="10"/>
    <x v="0"/>
    <n v="0"/>
    <n v="2"/>
    <n v="1"/>
    <n v="1"/>
    <n v="0"/>
    <n v="79"/>
    <n v="0"/>
    <n v="0"/>
    <n v="0"/>
    <n v="0"/>
    <n v="1"/>
    <n v="0"/>
    <n v="0"/>
    <n v="71"/>
    <n v="13"/>
    <n v="61"/>
    <n v="33"/>
    <n v="0"/>
    <n v="96"/>
    <n v="0"/>
    <n v="1"/>
    <n v="124"/>
    <n v="58"/>
    <n v="57"/>
  </r>
  <r>
    <x v="535"/>
    <x v="2"/>
    <x v="1104"/>
    <n v="1985"/>
    <n v="33"/>
    <x v="3"/>
    <s v="Argentina"/>
    <n v="4500000"/>
    <n v="3150000"/>
    <x v="1"/>
    <n v="26"/>
    <n v="2091"/>
    <x v="0"/>
    <n v="860"/>
    <x v="3"/>
    <x v="5"/>
    <x v="0"/>
    <n v="3"/>
    <n v="3"/>
    <n v="7"/>
    <n v="0"/>
    <n v="0"/>
    <n v="51"/>
    <n v="0"/>
    <n v="0"/>
    <n v="0"/>
    <n v="0"/>
    <n v="0"/>
    <n v="7"/>
    <n v="0"/>
    <n v="48"/>
    <n v="15"/>
    <n v="48"/>
    <n v="17"/>
    <n v="0"/>
    <n v="47"/>
    <n v="0"/>
    <n v="0"/>
    <n v="86"/>
    <n v="47"/>
    <n v="53"/>
  </r>
  <r>
    <x v="536"/>
    <x v="0"/>
    <x v="1105"/>
    <n v="1990"/>
    <n v="25"/>
    <x v="8"/>
    <s v="Senegal"/>
    <n v="4500000"/>
    <n v="5850000"/>
    <x v="1"/>
    <n v="34"/>
    <n v="3014"/>
    <x v="0"/>
    <n v="1165"/>
    <x v="3"/>
    <x v="8"/>
    <x v="0"/>
    <n v="0"/>
    <n v="1"/>
    <n v="11"/>
    <n v="1"/>
    <n v="0"/>
    <n v="40"/>
    <n v="0"/>
    <n v="0"/>
    <n v="0"/>
    <n v="0"/>
    <n v="0"/>
    <n v="0"/>
    <n v="0"/>
    <n v="137"/>
    <n v="16"/>
    <n v="84"/>
    <n v="25"/>
    <n v="0"/>
    <n v="32"/>
    <n v="0"/>
    <n v="0"/>
    <n v="122"/>
    <n v="26"/>
    <n v="24"/>
  </r>
  <r>
    <x v="537"/>
    <x v="0"/>
    <x v="1106"/>
    <n v="1985"/>
    <n v="30"/>
    <x v="20"/>
    <s v="Senegal"/>
    <n v="7500000"/>
    <n v="4500000"/>
    <x v="0"/>
    <n v="21"/>
    <n v="1070"/>
    <x v="7"/>
    <n v="405"/>
    <x v="0"/>
    <x v="3"/>
    <x v="0"/>
    <n v="7"/>
    <n v="11"/>
    <n v="23"/>
    <n v="9"/>
    <n v="0"/>
    <n v="7"/>
    <n v="2"/>
    <n v="0"/>
    <n v="0"/>
    <n v="19"/>
    <n v="0"/>
    <n v="1"/>
    <n v="0"/>
    <n v="8"/>
    <n v="1"/>
    <n v="3"/>
    <n v="13"/>
    <n v="0"/>
    <n v="10"/>
    <n v="0"/>
    <n v="0"/>
    <n v="10"/>
    <n v="25"/>
    <n v="47"/>
  </r>
  <r>
    <x v="538"/>
    <x v="3"/>
    <x v="1107"/>
    <n v="1988"/>
    <n v="27"/>
    <x v="12"/>
    <s v="Senegal"/>
    <n v="4950000"/>
    <n v="5500000"/>
    <x v="1"/>
    <n v="18"/>
    <n v="1577"/>
    <x v="0"/>
    <n v="694"/>
    <x v="0"/>
    <x v="5"/>
    <x v="1"/>
    <n v="1"/>
    <n v="0"/>
    <n v="8"/>
    <n v="2"/>
    <n v="1"/>
    <n v="83"/>
    <n v="0"/>
    <n v="0"/>
    <n v="0"/>
    <n v="2"/>
    <n v="0"/>
    <n v="0"/>
    <n v="0"/>
    <n v="5"/>
    <n v="23"/>
    <n v="54"/>
    <n v="23"/>
    <n v="0"/>
    <n v="24"/>
    <n v="1"/>
    <n v="0"/>
    <n v="163"/>
    <n v="56"/>
    <n v="36"/>
  </r>
  <r>
    <x v="539"/>
    <x v="1"/>
    <x v="1108"/>
    <n v="1991"/>
    <n v="26"/>
    <x v="23"/>
    <s v="Germany"/>
    <n v="11000000"/>
    <n v="11000000"/>
    <x v="2"/>
    <n v="38"/>
    <n v="2947"/>
    <x v="8"/>
    <n v="1215"/>
    <x v="7"/>
    <x v="4"/>
    <x v="0"/>
    <n v="3"/>
    <n v="24"/>
    <n v="44"/>
    <n v="20"/>
    <n v="0"/>
    <n v="6"/>
    <n v="1"/>
    <n v="1"/>
    <n v="0"/>
    <n v="9"/>
    <n v="10"/>
    <n v="24"/>
    <n v="114"/>
    <n v="234"/>
    <n v="5"/>
    <n v="14"/>
    <n v="33"/>
    <n v="0"/>
    <n v="36"/>
    <n v="0"/>
    <n v="0"/>
    <n v="19"/>
    <n v="13"/>
    <n v="57"/>
  </r>
  <r>
    <x v="539"/>
    <x v="2"/>
    <x v="1109"/>
    <n v="1991"/>
    <n v="27"/>
    <x v="23"/>
    <s v="Germany"/>
    <n v="5500000"/>
    <n v="5500000"/>
    <x v="2"/>
    <n v="25"/>
    <n v="1876"/>
    <x v="7"/>
    <n v="810"/>
    <x v="6"/>
    <x v="0"/>
    <x v="0"/>
    <n v="1"/>
    <n v="15"/>
    <n v="24"/>
    <n v="9"/>
    <n v="0"/>
    <n v="7"/>
    <n v="1"/>
    <n v="0"/>
    <n v="0"/>
    <n v="5"/>
    <n v="2"/>
    <n v="15"/>
    <n v="61"/>
    <n v="142"/>
    <n v="8"/>
    <n v="13"/>
    <n v="11"/>
    <n v="1"/>
    <n v="28"/>
    <n v="0"/>
    <n v="0"/>
    <n v="22"/>
    <n v="18"/>
    <n v="37"/>
  </r>
  <r>
    <x v="540"/>
    <x v="0"/>
    <x v="1110"/>
    <n v="1993"/>
    <n v="21"/>
    <x v="21"/>
    <s v="England"/>
    <n v="5500000"/>
    <n v="5500000"/>
    <x v="2"/>
    <n v="13"/>
    <n v="355"/>
    <x v="0"/>
    <n v="90"/>
    <x v="0"/>
    <x v="0"/>
    <x v="0"/>
    <n v="11"/>
    <n v="2"/>
    <n v="10"/>
    <n v="4"/>
    <n v="1"/>
    <n v="2"/>
    <n v="0"/>
    <n v="0"/>
    <n v="0"/>
    <n v="3"/>
    <n v="0"/>
    <n v="1"/>
    <n v="0"/>
    <n v="4"/>
    <n v="0"/>
    <n v="2"/>
    <n v="8"/>
    <n v="0"/>
    <n v="5"/>
    <n v="0"/>
    <n v="0"/>
    <n v="3"/>
    <n v="8"/>
    <n v="15"/>
  </r>
  <r>
    <x v="540"/>
    <x v="3"/>
    <x v="1111"/>
    <n v="1993"/>
    <n v="22"/>
    <x v="2"/>
    <s v="England"/>
    <n v="77000000"/>
    <n v="82500000"/>
    <x v="2"/>
    <n v="14"/>
    <n v="315"/>
    <x v="4"/>
    <n v="81"/>
    <x v="0"/>
    <x v="3"/>
    <x v="0"/>
    <n v="12"/>
    <n v="0"/>
    <n v="7"/>
    <n v="3"/>
    <n v="0"/>
    <n v="1"/>
    <n v="1"/>
    <n v="0"/>
    <n v="0"/>
    <n v="2"/>
    <n v="0"/>
    <n v="1"/>
    <n v="0"/>
    <n v="4"/>
    <n v="0"/>
    <n v="4"/>
    <n v="12"/>
    <n v="0"/>
    <n v="9"/>
    <n v="0"/>
    <n v="0"/>
    <n v="3"/>
    <n v="4"/>
    <n v="8"/>
  </r>
  <r>
    <x v="541"/>
    <x v="1"/>
    <x v="1112"/>
    <n v="1990"/>
    <n v="26"/>
    <x v="8"/>
    <s v="Netherlands"/>
    <n v="8100000"/>
    <n v="8100000"/>
    <x v="1"/>
    <n v="28"/>
    <n v="2185"/>
    <x v="2"/>
    <n v="882"/>
    <x v="3"/>
    <x v="1"/>
    <x v="0"/>
    <n v="3"/>
    <n v="4"/>
    <n v="33"/>
    <n v="11"/>
    <n v="0"/>
    <n v="24"/>
    <n v="0"/>
    <n v="0"/>
    <n v="0"/>
    <n v="3"/>
    <n v="3"/>
    <n v="22"/>
    <n v="11"/>
    <n v="56"/>
    <n v="5"/>
    <n v="47"/>
    <n v="18"/>
    <n v="0"/>
    <n v="47"/>
    <n v="0"/>
    <n v="0"/>
    <n v="56"/>
    <n v="6"/>
    <n v="5"/>
  </r>
  <r>
    <x v="541"/>
    <x v="0"/>
    <x v="1113"/>
    <n v="1990"/>
    <n v="24"/>
    <x v="12"/>
    <s v="Netherlands"/>
    <n v="3150000"/>
    <n v="5400000"/>
    <x v="1"/>
    <n v="33"/>
    <n v="2970"/>
    <x v="6"/>
    <n v="1067"/>
    <x v="6"/>
    <x v="4"/>
    <x v="0"/>
    <n v="0"/>
    <n v="0"/>
    <n v="46"/>
    <n v="9"/>
    <n v="2"/>
    <n v="33"/>
    <n v="0"/>
    <n v="0"/>
    <n v="1"/>
    <n v="4"/>
    <n v="0"/>
    <n v="3"/>
    <n v="3"/>
    <n v="56"/>
    <n v="10"/>
    <n v="63"/>
    <n v="16"/>
    <n v="2"/>
    <n v="85"/>
    <n v="1"/>
    <n v="0"/>
    <n v="102"/>
    <n v="14"/>
    <n v="16"/>
  </r>
  <r>
    <x v="541"/>
    <x v="2"/>
    <x v="1114"/>
    <n v="1990"/>
    <n v="27"/>
    <x v="8"/>
    <s v="Netherlands"/>
    <n v="8100000"/>
    <n v="9000000"/>
    <x v="1"/>
    <n v="36"/>
    <n v="3197"/>
    <x v="7"/>
    <n v="1610"/>
    <x v="5"/>
    <x v="6"/>
    <x v="0"/>
    <n v="0"/>
    <n v="3"/>
    <n v="45"/>
    <n v="11"/>
    <n v="0"/>
    <n v="30"/>
    <n v="0"/>
    <n v="0"/>
    <n v="0"/>
    <n v="10"/>
    <n v="5"/>
    <n v="34"/>
    <n v="2"/>
    <n v="42"/>
    <n v="9"/>
    <n v="40"/>
    <n v="12"/>
    <n v="0"/>
    <n v="48"/>
    <n v="0"/>
    <n v="0"/>
    <n v="80"/>
    <n v="10"/>
    <n v="12"/>
  </r>
  <r>
    <x v="541"/>
    <x v="3"/>
    <x v="1115"/>
    <n v="1990"/>
    <n v="25"/>
    <x v="12"/>
    <s v="Netherlands"/>
    <n v="5400000"/>
    <n v="8100000"/>
    <x v="1"/>
    <n v="32"/>
    <n v="2498"/>
    <x v="2"/>
    <n v="1001"/>
    <x v="3"/>
    <x v="6"/>
    <x v="0"/>
    <n v="4"/>
    <n v="4"/>
    <n v="34"/>
    <n v="13"/>
    <n v="0"/>
    <n v="34"/>
    <n v="0"/>
    <n v="0"/>
    <n v="0"/>
    <n v="6"/>
    <n v="2"/>
    <n v="0"/>
    <n v="15"/>
    <n v="78"/>
    <n v="9"/>
    <n v="58"/>
    <n v="15"/>
    <n v="0"/>
    <n v="43"/>
    <n v="0"/>
    <n v="0"/>
    <n v="65"/>
    <n v="10"/>
    <n v="17"/>
  </r>
  <r>
    <x v="542"/>
    <x v="2"/>
    <x v="1116"/>
    <n v="1991"/>
    <n v="26"/>
    <x v="20"/>
    <s v="Wales"/>
    <n v="3850000"/>
    <n v="5500000"/>
    <x v="1"/>
    <n v="26"/>
    <n v="1987"/>
    <x v="0"/>
    <n v="758"/>
    <x v="0"/>
    <x v="3"/>
    <x v="0"/>
    <n v="5"/>
    <n v="1"/>
    <n v="9"/>
    <n v="1"/>
    <n v="0"/>
    <n v="73"/>
    <n v="0"/>
    <n v="0"/>
    <n v="0"/>
    <n v="1"/>
    <n v="0"/>
    <n v="8"/>
    <n v="1"/>
    <n v="32"/>
    <n v="10"/>
    <n v="37"/>
    <n v="11"/>
    <n v="0"/>
    <n v="34"/>
    <n v="0"/>
    <n v="0"/>
    <n v="123"/>
    <n v="61"/>
    <n v="27"/>
  </r>
  <r>
    <x v="542"/>
    <x v="1"/>
    <x v="1117"/>
    <n v="1991"/>
    <n v="26"/>
    <x v="20"/>
    <s v="Wales"/>
    <n v="3850000"/>
    <n v="3850000"/>
    <x v="1"/>
    <n v="20"/>
    <n v="1603"/>
    <x v="0"/>
    <n v="599"/>
    <x v="0"/>
    <x v="3"/>
    <x v="0"/>
    <n v="1"/>
    <n v="2"/>
    <n v="0"/>
    <n v="0"/>
    <n v="0"/>
    <n v="56"/>
    <n v="0"/>
    <n v="0"/>
    <n v="0"/>
    <n v="0"/>
    <n v="1"/>
    <n v="0"/>
    <n v="0"/>
    <n v="22"/>
    <n v="10"/>
    <n v="23"/>
    <n v="8"/>
    <n v="0"/>
    <n v="28"/>
    <n v="1"/>
    <n v="0"/>
    <n v="92"/>
    <n v="55"/>
    <n v="35"/>
  </r>
  <r>
    <x v="542"/>
    <x v="0"/>
    <x v="1118"/>
    <n v="1991"/>
    <n v="23"/>
    <x v="20"/>
    <s v="Wales"/>
    <n v="3850000"/>
    <n v="3850000"/>
    <x v="1"/>
    <n v="21"/>
    <n v="1896"/>
    <x v="4"/>
    <n v="673"/>
    <x v="0"/>
    <x v="6"/>
    <x v="0"/>
    <n v="0"/>
    <n v="5"/>
    <n v="5"/>
    <n v="1"/>
    <n v="1"/>
    <n v="56"/>
    <n v="0"/>
    <n v="0"/>
    <n v="0"/>
    <n v="0"/>
    <n v="0"/>
    <n v="0"/>
    <n v="1"/>
    <n v="34"/>
    <n v="12"/>
    <n v="42"/>
    <n v="13"/>
    <n v="0"/>
    <n v="54"/>
    <n v="0"/>
    <n v="0"/>
    <n v="88"/>
    <n v="47"/>
    <n v="31"/>
  </r>
  <r>
    <x v="543"/>
    <x v="3"/>
    <x v="1119"/>
    <n v="1993"/>
    <n v="23"/>
    <x v="22"/>
    <s v="France"/>
    <n v="82500000"/>
    <n v="99000000"/>
    <x v="2"/>
    <n v="30"/>
    <n v="2608"/>
    <x v="2"/>
    <n v="2178"/>
    <x v="2"/>
    <x v="1"/>
    <x v="0"/>
    <n v="1"/>
    <n v="3"/>
    <n v="92"/>
    <n v="32"/>
    <n v="6"/>
    <n v="32"/>
    <n v="2"/>
    <n v="0"/>
    <n v="0"/>
    <n v="3"/>
    <n v="28"/>
    <n v="5"/>
    <n v="1"/>
    <n v="39"/>
    <n v="4"/>
    <n v="33"/>
    <n v="62"/>
    <n v="0"/>
    <n v="53"/>
    <n v="0"/>
    <n v="0"/>
    <n v="42"/>
    <n v="83"/>
    <n v="54"/>
  </r>
  <r>
    <x v="543"/>
    <x v="1"/>
    <x v="1120"/>
    <n v="1993"/>
    <n v="24"/>
    <x v="22"/>
    <s v="France"/>
    <n v="99000000"/>
    <n v="110000000"/>
    <x v="2"/>
    <n v="27"/>
    <n v="2151"/>
    <x v="14"/>
    <n v="1721"/>
    <x v="9"/>
    <x v="2"/>
    <x v="1"/>
    <n v="2"/>
    <n v="5"/>
    <n v="76"/>
    <n v="18"/>
    <n v="2"/>
    <n v="14"/>
    <n v="1"/>
    <n v="0"/>
    <n v="0"/>
    <n v="3"/>
    <n v="15"/>
    <n v="58"/>
    <n v="0"/>
    <n v="28"/>
    <n v="0"/>
    <n v="21"/>
    <n v="44"/>
    <n v="0"/>
    <n v="33"/>
    <n v="0"/>
    <n v="0"/>
    <n v="25"/>
    <n v="51"/>
    <n v="30"/>
  </r>
  <r>
    <x v="543"/>
    <x v="2"/>
    <x v="1121"/>
    <n v="1993"/>
    <n v="25"/>
    <x v="22"/>
    <s v="France"/>
    <n v="8000000"/>
    <n v="8000000"/>
    <x v="2"/>
    <n v="35"/>
    <n v="3009"/>
    <x v="11"/>
    <n v="2068"/>
    <x v="11"/>
    <x v="8"/>
    <x v="0"/>
    <n v="1"/>
    <n v="6"/>
    <n v="105"/>
    <n v="50"/>
    <n v="3"/>
    <n v="25"/>
    <n v="0"/>
    <n v="7"/>
    <n v="0"/>
    <n v="5"/>
    <n v="15"/>
    <n v="55"/>
    <n v="0"/>
    <n v="28"/>
    <n v="9"/>
    <n v="18"/>
    <n v="54"/>
    <n v="0"/>
    <n v="47"/>
    <n v="0"/>
    <n v="0"/>
    <n v="36"/>
    <n v="59"/>
    <n v="61"/>
  </r>
  <r>
    <x v="544"/>
    <x v="0"/>
    <x v="1122"/>
    <n v="1987"/>
    <n v="28"/>
    <x v="1"/>
    <s v="Spain"/>
    <n v="15000000"/>
    <n v="20700000"/>
    <x v="0"/>
    <n v="29"/>
    <n v="2040"/>
    <x v="8"/>
    <n v="971"/>
    <x v="5"/>
    <x v="6"/>
    <x v="0"/>
    <n v="5"/>
    <n v="15"/>
    <n v="57"/>
    <n v="16"/>
    <n v="0"/>
    <n v="2"/>
    <n v="0"/>
    <n v="0"/>
    <n v="0"/>
    <n v="5"/>
    <n v="4"/>
    <n v="4"/>
    <n v="16"/>
    <n v="83"/>
    <n v="0"/>
    <n v="23"/>
    <n v="23"/>
    <n v="0"/>
    <n v="37"/>
    <n v="1"/>
    <n v="0"/>
    <n v="5"/>
    <n v="8"/>
    <n v="18"/>
  </r>
  <r>
    <x v="544"/>
    <x v="3"/>
    <x v="1123"/>
    <n v="1987"/>
    <n v="29"/>
    <x v="1"/>
    <s v="Spain"/>
    <n v="20700000"/>
    <n v="25200000"/>
    <x v="0"/>
    <n v="35"/>
    <n v="2151"/>
    <x v="3"/>
    <n v="947"/>
    <x v="11"/>
    <x v="8"/>
    <x v="0"/>
    <n v="9"/>
    <n v="20"/>
    <n v="59"/>
    <n v="17"/>
    <n v="2"/>
    <n v="3"/>
    <n v="2"/>
    <n v="0"/>
    <n v="0"/>
    <n v="8"/>
    <n v="15"/>
    <n v="2"/>
    <n v="21"/>
    <n v="72"/>
    <n v="1"/>
    <n v="21"/>
    <n v="33"/>
    <n v="0"/>
    <n v="48"/>
    <n v="0"/>
    <n v="0"/>
    <n v="11"/>
    <n v="7"/>
    <n v="21"/>
  </r>
  <r>
    <x v="544"/>
    <x v="1"/>
    <x v="1124"/>
    <n v="1987"/>
    <n v="30"/>
    <x v="1"/>
    <s v="Spain"/>
    <n v="25200000"/>
    <n v="22500000"/>
    <x v="0"/>
    <n v="31"/>
    <n v="1523"/>
    <x v="6"/>
    <n v="654"/>
    <x v="5"/>
    <x v="3"/>
    <x v="0"/>
    <n v="14"/>
    <n v="13"/>
    <n v="56"/>
    <n v="20"/>
    <n v="1"/>
    <n v="1"/>
    <n v="0"/>
    <n v="0"/>
    <n v="0"/>
    <n v="15"/>
    <n v="3"/>
    <n v="36"/>
    <n v="3"/>
    <n v="46"/>
    <n v="1"/>
    <n v="13"/>
    <n v="9"/>
    <n v="0"/>
    <n v="20"/>
    <n v="0"/>
    <n v="0"/>
    <n v="6"/>
    <n v="0"/>
    <n v="18"/>
  </r>
  <r>
    <x v="544"/>
    <x v="2"/>
    <x v="1125"/>
    <n v="1987"/>
    <n v="31"/>
    <x v="1"/>
    <s v="Spain"/>
    <n v="22500000"/>
    <n v="18000000"/>
    <x v="0"/>
    <n v="31"/>
    <n v="1780"/>
    <x v="9"/>
    <n v="1066"/>
    <x v="5"/>
    <x v="4"/>
    <x v="0"/>
    <n v="10"/>
    <n v="12"/>
    <n v="57"/>
    <n v="25"/>
    <n v="0"/>
    <n v="2"/>
    <n v="0"/>
    <n v="0"/>
    <n v="0"/>
    <n v="8"/>
    <n v="7"/>
    <n v="32"/>
    <n v="5"/>
    <n v="61"/>
    <n v="2"/>
    <n v="18"/>
    <n v="17"/>
    <n v="0"/>
    <n v="27"/>
    <n v="0"/>
    <n v="0"/>
    <n v="8"/>
    <n v="9"/>
    <n v="14"/>
  </r>
  <r>
    <x v="545"/>
    <x v="0"/>
    <x v="1126"/>
    <n v="1992"/>
    <n v="23"/>
    <x v="3"/>
    <s v="Equatorial Guinea"/>
    <n v="8000000"/>
    <n v="9000000"/>
    <x v="2"/>
    <n v="12"/>
    <n v="1079"/>
    <x v="0"/>
    <n v="476"/>
    <x v="3"/>
    <x v="4"/>
    <x v="0"/>
    <n v="13"/>
    <n v="4"/>
    <n v="8"/>
    <n v="1"/>
    <n v="0"/>
    <n v="10"/>
    <n v="0"/>
    <n v="0"/>
    <n v="0"/>
    <n v="0"/>
    <n v="1"/>
    <n v="0"/>
    <n v="0"/>
    <n v="4"/>
    <n v="11"/>
    <n v="36"/>
    <n v="20"/>
    <n v="0"/>
    <n v="42"/>
    <n v="0"/>
    <n v="0"/>
    <n v="21"/>
    <n v="31"/>
    <n v="18"/>
  </r>
  <r>
    <x v="545"/>
    <x v="3"/>
    <x v="1127"/>
    <n v="1992"/>
    <n v="24"/>
    <x v="3"/>
    <s v="Equatorial Guinea"/>
    <n v="9000000"/>
    <n v="8000000"/>
    <x v="2"/>
    <n v="22"/>
    <n v="1766"/>
    <x v="4"/>
    <n v="911"/>
    <x v="3"/>
    <x v="1"/>
    <x v="0"/>
    <n v="1"/>
    <n v="5"/>
    <n v="9"/>
    <n v="2"/>
    <n v="1"/>
    <n v="18"/>
    <n v="0"/>
    <n v="0"/>
    <n v="0"/>
    <n v="0"/>
    <n v="5"/>
    <n v="0"/>
    <n v="0"/>
    <n v="8"/>
    <n v="7"/>
    <n v="33"/>
    <n v="27"/>
    <n v="0"/>
    <n v="61"/>
    <n v="1"/>
    <n v="0"/>
    <n v="29"/>
    <n v="22"/>
    <n v="24"/>
  </r>
  <r>
    <x v="545"/>
    <x v="1"/>
    <x v="1128"/>
    <n v="1992"/>
    <n v="25"/>
    <x v="3"/>
    <s v="Equatorial Guinea"/>
    <n v="8000000"/>
    <n v="7000000"/>
    <x v="2"/>
    <n v="21"/>
    <n v="1562"/>
    <x v="5"/>
    <n v="757"/>
    <x v="0"/>
    <x v="6"/>
    <x v="0"/>
    <n v="3"/>
    <n v="4"/>
    <n v="13"/>
    <n v="5"/>
    <n v="1"/>
    <n v="9"/>
    <n v="0"/>
    <n v="0"/>
    <n v="0"/>
    <n v="0"/>
    <n v="2"/>
    <n v="8"/>
    <n v="0"/>
    <n v="8"/>
    <n v="16"/>
    <n v="24"/>
    <n v="27"/>
    <n v="0"/>
    <n v="53"/>
    <n v="0"/>
    <n v="0"/>
    <n v="19"/>
    <n v="20"/>
    <n v="27"/>
  </r>
  <r>
    <x v="545"/>
    <x v="2"/>
    <x v="1129"/>
    <n v="1992"/>
    <n v="26"/>
    <x v="3"/>
    <s v="Equatorial Guinea"/>
    <n v="7000000"/>
    <n v="25000000"/>
    <x v="2"/>
    <n v="24"/>
    <n v="1120"/>
    <x v="0"/>
    <n v="536"/>
    <x v="3"/>
    <x v="0"/>
    <x v="0"/>
    <n v="12"/>
    <n v="5"/>
    <n v="15"/>
    <n v="1"/>
    <n v="1"/>
    <n v="5"/>
    <n v="0"/>
    <n v="0"/>
    <n v="0"/>
    <n v="2"/>
    <n v="2"/>
    <n v="14"/>
    <n v="0"/>
    <n v="7"/>
    <n v="9"/>
    <n v="12"/>
    <n v="13"/>
    <n v="0"/>
    <n v="41"/>
    <n v="0"/>
    <n v="0"/>
    <n v="15"/>
    <n v="16"/>
    <n v="20"/>
  </r>
  <r>
    <x v="546"/>
    <x v="0"/>
    <x v="1130"/>
    <n v="1984"/>
    <n v="30"/>
    <x v="7"/>
    <s v="Germany"/>
    <n v="13500000"/>
    <n v="9000000"/>
    <x v="1"/>
    <n v="24"/>
    <n v="2049"/>
    <x v="0"/>
    <n v="1246"/>
    <x v="0"/>
    <x v="3"/>
    <x v="1"/>
    <n v="0"/>
    <n v="1"/>
    <n v="8"/>
    <n v="0"/>
    <n v="0"/>
    <n v="58"/>
    <n v="0"/>
    <n v="0"/>
    <n v="0"/>
    <n v="1"/>
    <n v="0"/>
    <n v="2"/>
    <n v="0"/>
    <n v="0"/>
    <n v="10"/>
    <n v="36"/>
    <n v="7"/>
    <n v="0"/>
    <n v="27"/>
    <n v="0"/>
    <n v="0"/>
    <n v="108"/>
    <n v="54"/>
    <n v="16"/>
  </r>
  <r>
    <x v="547"/>
    <x v="0"/>
    <x v="1131"/>
    <n v="1981"/>
    <n v="34"/>
    <x v="25"/>
    <s v="England"/>
    <n v="1350000"/>
    <n v="1350000"/>
    <x v="0"/>
    <n v="11"/>
    <n v="457"/>
    <x v="0"/>
    <n v="152"/>
    <x v="0"/>
    <x v="0"/>
    <x v="0"/>
    <n v="7"/>
    <n v="0"/>
    <n v="7"/>
    <n v="3"/>
    <n v="0"/>
    <n v="7"/>
    <n v="0"/>
    <n v="0"/>
    <n v="0"/>
    <n v="9"/>
    <n v="0"/>
    <n v="0"/>
    <n v="0"/>
    <n v="1"/>
    <n v="0"/>
    <n v="4"/>
    <n v="13"/>
    <n v="0"/>
    <n v="3"/>
    <n v="0"/>
    <n v="0"/>
    <n v="9"/>
    <n v="50"/>
    <n v="33"/>
  </r>
  <r>
    <x v="547"/>
    <x v="3"/>
    <x v="1132"/>
    <n v="1981"/>
    <n v="35"/>
    <x v="25"/>
    <s v="England"/>
    <n v="1350000"/>
    <n v="1350000"/>
    <x v="0"/>
    <n v="27"/>
    <n v="1335"/>
    <x v="8"/>
    <n v="496"/>
    <x v="5"/>
    <x v="6"/>
    <x v="0"/>
    <n v="14"/>
    <n v="5"/>
    <n v="37"/>
    <n v="16"/>
    <n v="0"/>
    <n v="21"/>
    <n v="3"/>
    <n v="0"/>
    <n v="0"/>
    <n v="7"/>
    <n v="2"/>
    <n v="5"/>
    <n v="0"/>
    <n v="0"/>
    <n v="4"/>
    <n v="3"/>
    <n v="26"/>
    <n v="0"/>
    <n v="4"/>
    <n v="0"/>
    <n v="0"/>
    <n v="26"/>
    <n v="171"/>
    <n v="70"/>
  </r>
  <r>
    <x v="547"/>
    <x v="1"/>
    <x v="1133"/>
    <n v="1981"/>
    <n v="36"/>
    <x v="25"/>
    <s v="England"/>
    <n v="1350000"/>
    <n v="900000"/>
    <x v="0"/>
    <n v="31"/>
    <n v="1555"/>
    <x v="2"/>
    <n v="634"/>
    <x v="5"/>
    <x v="5"/>
    <x v="0"/>
    <n v="17"/>
    <n v="4"/>
    <n v="23"/>
    <n v="9"/>
    <n v="2"/>
    <n v="28"/>
    <n v="3"/>
    <n v="0"/>
    <n v="0"/>
    <n v="14"/>
    <n v="1"/>
    <n v="14"/>
    <n v="0"/>
    <n v="3"/>
    <n v="4"/>
    <n v="1"/>
    <n v="40"/>
    <n v="0"/>
    <n v="2"/>
    <n v="0"/>
    <n v="0"/>
    <n v="31"/>
    <n v="243"/>
    <n v="132"/>
  </r>
  <r>
    <x v="548"/>
    <x v="0"/>
    <x v="1134"/>
    <n v="1985"/>
    <n v="30"/>
    <x v="25"/>
    <s v="Scotland"/>
    <n v="1800000"/>
    <n v="1350000"/>
    <x v="1"/>
    <n v="11"/>
    <n v="816"/>
    <x v="0"/>
    <n v="300"/>
    <x v="3"/>
    <x v="3"/>
    <x v="0"/>
    <n v="2"/>
    <n v="1"/>
    <n v="7"/>
    <n v="2"/>
    <n v="0"/>
    <n v="12"/>
    <n v="0"/>
    <n v="0"/>
    <n v="0"/>
    <n v="0"/>
    <n v="1"/>
    <n v="0"/>
    <n v="0"/>
    <n v="14"/>
    <n v="8"/>
    <n v="18"/>
    <n v="12"/>
    <n v="1"/>
    <n v="31"/>
    <n v="0"/>
    <n v="0"/>
    <n v="32"/>
    <n v="12"/>
    <n v="3"/>
  </r>
  <r>
    <x v="548"/>
    <x v="2"/>
    <x v="1135"/>
    <n v="1985"/>
    <n v="33"/>
    <x v="5"/>
    <s v="Scotland"/>
    <n v="1350000"/>
    <n v="1350000"/>
    <x v="1"/>
    <n v="19"/>
    <n v="1672"/>
    <x v="0"/>
    <n v="555"/>
    <x v="0"/>
    <x v="10"/>
    <x v="0"/>
    <n v="0"/>
    <n v="2"/>
    <n v="12"/>
    <n v="1"/>
    <n v="0"/>
    <n v="28"/>
    <n v="0"/>
    <n v="0"/>
    <n v="0"/>
    <n v="0"/>
    <n v="0"/>
    <n v="11"/>
    <n v="0"/>
    <n v="37"/>
    <n v="12"/>
    <n v="31"/>
    <n v="22"/>
    <n v="1"/>
    <n v="32"/>
    <n v="0"/>
    <n v="1"/>
    <n v="66"/>
    <n v="32"/>
    <n v="28"/>
  </r>
  <r>
    <x v="548"/>
    <x v="1"/>
    <x v="1136"/>
    <n v="1985"/>
    <n v="32"/>
    <x v="5"/>
    <s v="Scotland"/>
    <n v="1350000"/>
    <n v="1350000"/>
    <x v="1"/>
    <n v="13"/>
    <n v="1125"/>
    <x v="0"/>
    <n v="418"/>
    <x v="0"/>
    <x v="2"/>
    <x v="0"/>
    <n v="0"/>
    <n v="1"/>
    <n v="2"/>
    <n v="2"/>
    <n v="0"/>
    <n v="32"/>
    <n v="0"/>
    <n v="0"/>
    <n v="0"/>
    <n v="0"/>
    <n v="0"/>
    <n v="0"/>
    <n v="0"/>
    <n v="19"/>
    <n v="6"/>
    <n v="22"/>
    <n v="22"/>
    <n v="0"/>
    <n v="17"/>
    <n v="0"/>
    <n v="0"/>
    <n v="66"/>
    <n v="29"/>
    <n v="27"/>
  </r>
  <r>
    <x v="548"/>
    <x v="3"/>
    <x v="1137"/>
    <n v="1985"/>
    <n v="31"/>
    <x v="25"/>
    <s v="Scotland"/>
    <n v="1350000"/>
    <n v="1350000"/>
    <x v="1"/>
    <n v="15"/>
    <n v="1170"/>
    <x v="0"/>
    <n v="397"/>
    <x v="0"/>
    <x v="5"/>
    <x v="1"/>
    <n v="1"/>
    <n v="3"/>
    <n v="11"/>
    <n v="2"/>
    <n v="0"/>
    <n v="10"/>
    <n v="0"/>
    <n v="0"/>
    <n v="0"/>
    <n v="0"/>
    <n v="0"/>
    <n v="0"/>
    <n v="0"/>
    <n v="28"/>
    <n v="6"/>
    <n v="27"/>
    <n v="25"/>
    <n v="0"/>
    <n v="32"/>
    <n v="0"/>
    <n v="0"/>
    <n v="27"/>
    <n v="8"/>
    <n v="16"/>
  </r>
  <r>
    <x v="549"/>
    <x v="2"/>
    <x v="1138"/>
    <n v="2000"/>
    <n v="18"/>
    <x v="19"/>
    <s v="England"/>
    <n v="1100000"/>
    <n v="2750000"/>
    <x v="2"/>
    <n v="13"/>
    <n v="329"/>
    <x v="4"/>
    <n v="231"/>
    <x v="0"/>
    <x v="0"/>
    <x v="0"/>
    <n v="10"/>
    <n v="2"/>
    <n v="14"/>
    <n v="6"/>
    <n v="1"/>
    <n v="0"/>
    <n v="1"/>
    <n v="0"/>
    <n v="0"/>
    <n v="0"/>
    <n v="3"/>
    <n v="8"/>
    <n v="3"/>
    <n v="4"/>
    <n v="0"/>
    <n v="4"/>
    <n v="4"/>
    <n v="0"/>
    <n v="7"/>
    <n v="0"/>
    <n v="0"/>
    <n v="1"/>
    <n v="2"/>
    <n v="7"/>
  </r>
  <r>
    <x v="550"/>
    <x v="3"/>
    <x v="1139"/>
    <n v="1982"/>
    <n v="33"/>
    <x v="4"/>
    <s v="England"/>
    <n v="3100000"/>
    <n v="1800000"/>
    <x v="1"/>
    <n v="27"/>
    <n v="2249"/>
    <x v="7"/>
    <n v="1216"/>
    <x v="5"/>
    <x v="5"/>
    <x v="0"/>
    <n v="2"/>
    <n v="2"/>
    <n v="14"/>
    <n v="6"/>
    <n v="0"/>
    <n v="127"/>
    <n v="2"/>
    <n v="0"/>
    <n v="0"/>
    <n v="0"/>
    <n v="0"/>
    <n v="0"/>
    <n v="0"/>
    <n v="1"/>
    <n v="24"/>
    <n v="41"/>
    <n v="13"/>
    <n v="2"/>
    <n v="43"/>
    <n v="0"/>
    <n v="0"/>
    <n v="208"/>
    <n v="90"/>
    <n v="54"/>
  </r>
  <r>
    <x v="550"/>
    <x v="1"/>
    <x v="1140"/>
    <n v="1982"/>
    <n v="35"/>
    <x v="4"/>
    <s v="England"/>
    <n v="1800000"/>
    <n v="1350000"/>
    <x v="1"/>
    <n v="25"/>
    <n v="2065"/>
    <x v="0"/>
    <n v="966"/>
    <x v="0"/>
    <x v="4"/>
    <x v="0"/>
    <n v="2"/>
    <n v="2"/>
    <n v="2"/>
    <n v="2"/>
    <n v="0"/>
    <n v="89"/>
    <n v="0"/>
    <n v="0"/>
    <n v="0"/>
    <n v="0"/>
    <n v="0"/>
    <n v="0"/>
    <n v="0"/>
    <n v="4"/>
    <n v="20"/>
    <n v="39"/>
    <n v="8"/>
    <n v="0"/>
    <n v="33"/>
    <n v="0"/>
    <n v="0"/>
    <n v="177"/>
    <n v="67"/>
    <n v="42"/>
  </r>
  <r>
    <x v="550"/>
    <x v="0"/>
    <x v="1141"/>
    <n v="1982"/>
    <n v="32"/>
    <x v="4"/>
    <s v="England"/>
    <n v="4000000"/>
    <n v="3100000"/>
    <x v="1"/>
    <n v="21"/>
    <n v="1851"/>
    <x v="0"/>
    <n v="1036"/>
    <x v="0"/>
    <x v="0"/>
    <x v="0"/>
    <n v="0"/>
    <n v="2"/>
    <n v="9"/>
    <n v="1"/>
    <n v="1"/>
    <n v="92"/>
    <n v="0"/>
    <n v="0"/>
    <n v="0"/>
    <n v="0"/>
    <n v="0"/>
    <n v="2"/>
    <n v="0"/>
    <n v="3"/>
    <n v="21"/>
    <n v="50"/>
    <n v="9"/>
    <n v="0"/>
    <n v="39"/>
    <n v="3"/>
    <n v="0"/>
    <n v="170"/>
    <n v="58"/>
    <n v="38"/>
  </r>
  <r>
    <x v="551"/>
    <x v="0"/>
    <x v="1142"/>
    <n v="1992"/>
    <n v="23"/>
    <x v="22"/>
    <s v="England"/>
    <n v="13500000"/>
    <n v="12600000"/>
    <x v="1"/>
    <n v="10"/>
    <n v="528"/>
    <x v="0"/>
    <n v="320"/>
    <x v="0"/>
    <x v="0"/>
    <x v="0"/>
    <n v="4"/>
    <n v="2"/>
    <n v="1"/>
    <n v="0"/>
    <n v="0"/>
    <n v="14"/>
    <n v="0"/>
    <n v="0"/>
    <n v="0"/>
    <n v="0"/>
    <n v="0"/>
    <n v="0"/>
    <n v="0"/>
    <n v="3"/>
    <n v="1"/>
    <n v="13"/>
    <n v="4"/>
    <n v="0"/>
    <n v="9"/>
    <n v="0"/>
    <n v="0"/>
    <n v="24"/>
    <n v="20"/>
    <n v="4"/>
  </r>
  <r>
    <x v="551"/>
    <x v="1"/>
    <x v="1143"/>
    <n v="1992"/>
    <n v="25"/>
    <x v="22"/>
    <s v="England"/>
    <n v="12600000"/>
    <n v="18000000"/>
    <x v="1"/>
    <n v="23"/>
    <n v="1975"/>
    <x v="0"/>
    <n v="1083"/>
    <x v="0"/>
    <x v="4"/>
    <x v="0"/>
    <n v="0"/>
    <n v="2"/>
    <n v="0"/>
    <n v="0"/>
    <n v="1"/>
    <n v="80"/>
    <n v="0"/>
    <n v="0"/>
    <n v="0"/>
    <n v="0"/>
    <n v="0"/>
    <n v="0"/>
    <n v="0"/>
    <n v="2"/>
    <n v="17"/>
    <n v="41"/>
    <n v="10"/>
    <n v="0"/>
    <n v="25"/>
    <n v="0"/>
    <n v="1"/>
    <n v="129"/>
    <n v="57"/>
    <n v="22"/>
  </r>
  <r>
    <x v="551"/>
    <x v="2"/>
    <x v="1144"/>
    <n v="1992"/>
    <n v="26"/>
    <x v="22"/>
    <s v="England"/>
    <n v="18000000"/>
    <n v="18000000"/>
    <x v="1"/>
    <n v="18"/>
    <n v="1262"/>
    <x v="0"/>
    <n v="754"/>
    <x v="3"/>
    <x v="3"/>
    <x v="0"/>
    <n v="3"/>
    <n v="3"/>
    <n v="5"/>
    <n v="2"/>
    <n v="0"/>
    <n v="28"/>
    <n v="0"/>
    <n v="0"/>
    <n v="0"/>
    <n v="0"/>
    <n v="0"/>
    <n v="3"/>
    <n v="0"/>
    <n v="1"/>
    <n v="11"/>
    <n v="23"/>
    <n v="8"/>
    <n v="1"/>
    <n v="19"/>
    <n v="0"/>
    <n v="0"/>
    <n v="62"/>
    <n v="46"/>
    <n v="18"/>
  </r>
  <r>
    <x v="551"/>
    <x v="3"/>
    <x v="1145"/>
    <n v="1992"/>
    <n v="24"/>
    <x v="22"/>
    <s v="England"/>
    <n v="12600000"/>
    <n v="12600000"/>
    <x v="1"/>
    <n v="18"/>
    <n v="1585"/>
    <x v="0"/>
    <n v="791"/>
    <x v="0"/>
    <x v="4"/>
    <x v="0"/>
    <n v="0"/>
    <n v="1"/>
    <n v="3"/>
    <n v="0"/>
    <n v="0"/>
    <n v="88"/>
    <n v="0"/>
    <n v="0"/>
    <n v="0"/>
    <n v="0"/>
    <n v="0"/>
    <n v="0"/>
    <n v="0"/>
    <n v="1"/>
    <n v="16"/>
    <n v="27"/>
    <n v="9"/>
    <n v="1"/>
    <n v="34"/>
    <n v="0"/>
    <n v="0"/>
    <n v="138"/>
    <n v="46"/>
    <n v="21"/>
  </r>
  <r>
    <x v="552"/>
    <x v="1"/>
    <x v="1146"/>
    <n v="1996"/>
    <n v="21"/>
    <x v="6"/>
    <s v="Denmark"/>
    <n v="2750000"/>
    <n v="7700000"/>
    <x v="2"/>
    <n v="16"/>
    <n v="760"/>
    <x v="0"/>
    <n v="371"/>
    <x v="0"/>
    <x v="6"/>
    <x v="0"/>
    <n v="8"/>
    <n v="4"/>
    <n v="2"/>
    <n v="2"/>
    <n v="0"/>
    <n v="7"/>
    <n v="0"/>
    <n v="0"/>
    <n v="0"/>
    <n v="1"/>
    <n v="1"/>
    <n v="0"/>
    <n v="0"/>
    <n v="12"/>
    <n v="1"/>
    <n v="18"/>
    <n v="14"/>
    <n v="0"/>
    <n v="25"/>
    <n v="0"/>
    <n v="0"/>
    <n v="13"/>
    <n v="25"/>
    <n v="12"/>
  </r>
  <r>
    <x v="552"/>
    <x v="2"/>
    <x v="1147"/>
    <n v="1996"/>
    <n v="22"/>
    <x v="6"/>
    <s v="Denmark"/>
    <n v="71500000"/>
    <n v="110000000"/>
    <x v="2"/>
    <n v="27"/>
    <n v="2190"/>
    <x v="5"/>
    <n v="1074"/>
    <x v="0"/>
    <x v="1"/>
    <x v="0"/>
    <n v="2"/>
    <n v="6"/>
    <n v="42"/>
    <n v="9"/>
    <n v="3"/>
    <n v="23"/>
    <n v="1"/>
    <n v="0"/>
    <n v="0"/>
    <n v="2"/>
    <n v="0"/>
    <n v="33"/>
    <n v="2"/>
    <n v="56"/>
    <n v="16"/>
    <n v="53"/>
    <n v="37"/>
    <n v="0"/>
    <n v="74"/>
    <n v="0"/>
    <n v="0"/>
    <n v="40"/>
    <n v="88"/>
    <n v="30"/>
  </r>
  <r>
    <x v="553"/>
    <x v="0"/>
    <x v="1148"/>
    <n v="1989"/>
    <n v="26"/>
    <x v="25"/>
    <s v="Germany"/>
    <n v="4500000"/>
    <n v="6750000"/>
    <x v="1"/>
    <n v="31"/>
    <n v="2685"/>
    <x v="0"/>
    <n v="1220"/>
    <x v="0"/>
    <x v="4"/>
    <x v="0"/>
    <n v="0"/>
    <n v="0"/>
    <n v="2"/>
    <n v="0"/>
    <n v="0"/>
    <n v="88"/>
    <n v="0"/>
    <n v="0"/>
    <n v="0"/>
    <n v="0"/>
    <n v="0"/>
    <n v="0"/>
    <n v="0"/>
    <n v="0"/>
    <n v="19"/>
    <n v="75"/>
    <n v="17"/>
    <n v="1"/>
    <n v="74"/>
    <n v="0"/>
    <n v="0"/>
    <n v="164"/>
    <n v="71"/>
    <n v="42"/>
  </r>
  <r>
    <x v="554"/>
    <x v="0"/>
    <x v="1149"/>
    <n v="1992"/>
    <n v="23"/>
    <x v="13"/>
    <s v="Brazil"/>
    <n v="22000000"/>
    <n v="31500000"/>
    <x v="0"/>
    <n v="26"/>
    <n v="2003"/>
    <x v="9"/>
    <n v="1092"/>
    <x v="8"/>
    <x v="4"/>
    <x v="1"/>
    <n v="2"/>
    <n v="11"/>
    <n v="111"/>
    <n v="30"/>
    <n v="3"/>
    <n v="1"/>
    <n v="0"/>
    <n v="0"/>
    <n v="0"/>
    <n v="5"/>
    <n v="15"/>
    <n v="3"/>
    <n v="36"/>
    <n v="57"/>
    <n v="1"/>
    <n v="17"/>
    <n v="10"/>
    <n v="0"/>
    <n v="35"/>
    <n v="0"/>
    <n v="0"/>
    <n v="7"/>
    <n v="5"/>
    <n v="23"/>
  </r>
  <r>
    <x v="554"/>
    <x v="3"/>
    <x v="1150"/>
    <n v="1992"/>
    <n v="24"/>
    <x v="13"/>
    <s v="Brazil"/>
    <n v="31500000"/>
    <n v="40500000"/>
    <x v="0"/>
    <n v="31"/>
    <n v="2243"/>
    <x v="11"/>
    <n v="1402"/>
    <x v="4"/>
    <x v="4"/>
    <x v="0"/>
    <n v="3"/>
    <n v="19"/>
    <n v="106"/>
    <n v="38"/>
    <n v="1"/>
    <n v="1"/>
    <n v="0"/>
    <n v="0"/>
    <n v="3"/>
    <n v="4"/>
    <n v="15"/>
    <n v="4"/>
    <n v="92"/>
    <n v="126"/>
    <n v="0"/>
    <n v="18"/>
    <n v="18"/>
    <n v="0"/>
    <n v="35"/>
    <n v="0"/>
    <n v="0"/>
    <n v="5"/>
    <n v="6"/>
    <n v="32"/>
  </r>
  <r>
    <x v="554"/>
    <x v="1"/>
    <x v="1151"/>
    <n v="1992"/>
    <n v="25"/>
    <x v="13"/>
    <s v="Brazil"/>
    <n v="11000000"/>
    <n v="16500000"/>
    <x v="2"/>
    <n v="14"/>
    <n v="1116"/>
    <x v="8"/>
    <n v="690"/>
    <x v="1"/>
    <x v="0"/>
    <x v="0"/>
    <n v="1"/>
    <n v="8"/>
    <n v="54"/>
    <n v="17"/>
    <n v="2"/>
    <n v="1"/>
    <n v="1"/>
    <n v="0"/>
    <n v="2"/>
    <n v="4"/>
    <n v="17"/>
    <n v="37"/>
    <n v="53"/>
    <n v="58"/>
    <n v="0"/>
    <n v="10"/>
    <n v="5"/>
    <n v="0"/>
    <n v="17"/>
    <n v="0"/>
    <n v="0"/>
    <n v="2"/>
    <n v="1"/>
    <n v="7"/>
  </r>
  <r>
    <x v="555"/>
    <x v="1"/>
    <x v="1152"/>
    <n v="1989"/>
    <n v="28"/>
    <x v="7"/>
    <s v="Gabon"/>
    <n v="71500000"/>
    <n v="82500000"/>
    <x v="0"/>
    <n v="13"/>
    <n v="1058"/>
    <x v="15"/>
    <n v="317"/>
    <x v="2"/>
    <x v="0"/>
    <x v="0"/>
    <n v="1"/>
    <n v="2"/>
    <n v="31"/>
    <n v="19"/>
    <n v="0"/>
    <n v="2"/>
    <n v="0"/>
    <n v="1"/>
    <n v="0"/>
    <n v="10"/>
    <n v="1"/>
    <n v="12"/>
    <n v="0"/>
    <n v="16"/>
    <n v="1"/>
    <n v="3"/>
    <n v="1"/>
    <n v="0"/>
    <n v="5"/>
    <n v="0"/>
    <n v="0"/>
    <n v="7"/>
    <n v="8"/>
    <n v="28"/>
  </r>
  <r>
    <x v="555"/>
    <x v="2"/>
    <x v="1153"/>
    <n v="1989"/>
    <n v="29"/>
    <x v="7"/>
    <s v="Gabon"/>
    <n v="82500000"/>
    <n v="77000000"/>
    <x v="0"/>
    <n v="36"/>
    <n v="2731"/>
    <x v="25"/>
    <n v="692"/>
    <x v="8"/>
    <x v="0"/>
    <x v="0"/>
    <n v="6"/>
    <n v="11"/>
    <n v="94"/>
    <n v="40"/>
    <n v="4"/>
    <n v="6"/>
    <n v="0"/>
    <n v="4"/>
    <n v="0"/>
    <n v="23"/>
    <n v="3"/>
    <n v="54"/>
    <n v="0"/>
    <n v="43"/>
    <n v="0"/>
    <n v="8"/>
    <n v="13"/>
    <n v="0"/>
    <n v="21"/>
    <n v="0"/>
    <n v="0"/>
    <n v="18"/>
    <n v="32"/>
    <n v="83"/>
  </r>
  <r>
    <x v="556"/>
    <x v="2"/>
    <x v="1154"/>
    <n v="1995"/>
    <n v="23"/>
    <x v="27"/>
    <s v="Denmark"/>
    <n v="8800000"/>
    <n v="8800000"/>
    <x v="2"/>
    <n v="31"/>
    <n v="2764"/>
    <x v="6"/>
    <n v="1793"/>
    <x v="6"/>
    <x v="0"/>
    <x v="2"/>
    <n v="0"/>
    <n v="2"/>
    <n v="53"/>
    <n v="19"/>
    <n v="1"/>
    <n v="14"/>
    <n v="0"/>
    <n v="0"/>
    <n v="0"/>
    <n v="0"/>
    <n v="7"/>
    <n v="34"/>
    <n v="2"/>
    <n v="29"/>
    <n v="8"/>
    <n v="60"/>
    <n v="47"/>
    <n v="0"/>
    <n v="71"/>
    <n v="1"/>
    <n v="0"/>
    <n v="28"/>
    <n v="48"/>
    <n v="30"/>
  </r>
  <r>
    <x v="556"/>
    <x v="3"/>
    <x v="1155"/>
    <n v="1995"/>
    <n v="21"/>
    <x v="27"/>
    <s v="Denmark"/>
    <n v="8800000"/>
    <n v="11000000"/>
    <x v="2"/>
    <n v="22"/>
    <n v="1299"/>
    <x v="0"/>
    <n v="1001"/>
    <x v="0"/>
    <x v="4"/>
    <x v="0"/>
    <n v="8"/>
    <n v="6"/>
    <n v="28"/>
    <n v="4"/>
    <n v="2"/>
    <n v="16"/>
    <n v="0"/>
    <n v="0"/>
    <n v="0"/>
    <n v="0"/>
    <n v="4"/>
    <n v="1"/>
    <n v="0"/>
    <n v="20"/>
    <n v="5"/>
    <n v="33"/>
    <n v="19"/>
    <n v="0"/>
    <n v="44"/>
    <n v="0"/>
    <n v="0"/>
    <n v="25"/>
    <n v="17"/>
    <n v="12"/>
  </r>
  <r>
    <x v="556"/>
    <x v="1"/>
    <x v="1156"/>
    <n v="1995"/>
    <n v="22"/>
    <x v="27"/>
    <s v="Denmark"/>
    <n v="4400000"/>
    <n v="8800000"/>
    <x v="2"/>
    <n v="23"/>
    <n v="1671"/>
    <x v="0"/>
    <n v="1108"/>
    <x v="0"/>
    <x v="8"/>
    <x v="0"/>
    <n v="4"/>
    <n v="5"/>
    <n v="16"/>
    <n v="6"/>
    <n v="1"/>
    <n v="15"/>
    <n v="0"/>
    <n v="0"/>
    <n v="0"/>
    <n v="0"/>
    <n v="5"/>
    <n v="10"/>
    <n v="0"/>
    <n v="12"/>
    <n v="3"/>
    <n v="37"/>
    <n v="32"/>
    <n v="0"/>
    <n v="45"/>
    <n v="1"/>
    <n v="0"/>
    <n v="24"/>
    <n v="28"/>
    <n v="28"/>
  </r>
  <r>
    <x v="557"/>
    <x v="2"/>
    <x v="1157"/>
    <n v="1997"/>
    <n v="21"/>
    <x v="16"/>
    <s v="Portugal"/>
    <n v="22500000"/>
    <n v="40500000"/>
    <x v="2"/>
    <n v="35"/>
    <n v="3009"/>
    <x v="6"/>
    <n v="1940"/>
    <x v="6"/>
    <x v="0"/>
    <x v="0"/>
    <n v="1"/>
    <n v="3"/>
    <n v="74"/>
    <n v="16"/>
    <n v="0"/>
    <n v="16"/>
    <n v="0"/>
    <n v="2"/>
    <n v="2"/>
    <n v="0"/>
    <n v="11"/>
    <n v="58"/>
    <n v="2"/>
    <n v="26"/>
    <n v="18"/>
    <n v="73"/>
    <n v="37"/>
    <n v="0"/>
    <n v="75"/>
    <n v="0"/>
    <n v="0"/>
    <n v="44"/>
    <n v="31"/>
    <n v="35"/>
  </r>
  <r>
    <x v="558"/>
    <x v="2"/>
    <x v="1158"/>
    <n v="1999"/>
    <n v="19"/>
    <x v="16"/>
    <s v="Portugal"/>
    <n v="1800000"/>
    <n v="6300000"/>
    <x v="1"/>
    <n v="17"/>
    <n v="706"/>
    <x v="0"/>
    <n v="286"/>
    <x v="0"/>
    <x v="0"/>
    <x v="0"/>
    <n v="10"/>
    <n v="3"/>
    <n v="4"/>
    <n v="3"/>
    <n v="0"/>
    <n v="7"/>
    <n v="0"/>
    <n v="0"/>
    <n v="0"/>
    <n v="1"/>
    <n v="1"/>
    <n v="1"/>
    <n v="2"/>
    <n v="52"/>
    <n v="2"/>
    <n v="14"/>
    <n v="12"/>
    <n v="0"/>
    <n v="14"/>
    <n v="0"/>
    <n v="0"/>
    <n v="13"/>
    <n v="9"/>
    <n v="17"/>
  </r>
  <r>
    <x v="559"/>
    <x v="2"/>
    <x v="1159"/>
    <n v="1991"/>
    <n v="27"/>
    <x v="16"/>
    <s v="Mexico"/>
    <n v="16500000"/>
    <n v="31500000"/>
    <x v="0"/>
    <n v="38"/>
    <n v="3122"/>
    <x v="11"/>
    <n v="1059"/>
    <x v="4"/>
    <x v="0"/>
    <x v="0"/>
    <n v="2"/>
    <n v="16"/>
    <n v="111"/>
    <n v="35"/>
    <n v="3"/>
    <n v="31"/>
    <n v="3"/>
    <n v="2"/>
    <n v="0"/>
    <n v="33"/>
    <n v="13"/>
    <n v="76"/>
    <n v="0"/>
    <n v="27"/>
    <n v="3"/>
    <n v="26"/>
    <n v="42"/>
    <n v="0"/>
    <n v="30"/>
    <n v="0"/>
    <n v="0"/>
    <n v="39"/>
    <n v="78"/>
    <n v="107"/>
  </r>
  <r>
    <x v="560"/>
    <x v="2"/>
    <x v="1160"/>
    <n v="1992"/>
    <n v="26"/>
    <x v="17"/>
    <s v="Algeria"/>
    <n v="4500000"/>
    <n v="5400000"/>
    <x v="2"/>
    <n v="19"/>
    <n v="735"/>
    <x v="4"/>
    <n v="422"/>
    <x v="0"/>
    <x v="6"/>
    <x v="0"/>
    <n v="11"/>
    <n v="6"/>
    <n v="19"/>
    <n v="5"/>
    <n v="1"/>
    <n v="2"/>
    <n v="0"/>
    <n v="0"/>
    <n v="0"/>
    <n v="0"/>
    <n v="6"/>
    <n v="14"/>
    <n v="25"/>
    <n v="45"/>
    <n v="1"/>
    <n v="7"/>
    <n v="13"/>
    <n v="0"/>
    <n v="14"/>
    <n v="0"/>
    <n v="0"/>
    <n v="3"/>
    <n v="10"/>
    <n v="7"/>
  </r>
  <r>
    <x v="561"/>
    <x v="0"/>
    <x v="1161"/>
    <n v="1986"/>
    <n v="29"/>
    <x v="1"/>
    <s v="Colombia"/>
    <n v="31500000"/>
    <n v="13500000"/>
    <x v="0"/>
    <n v="10"/>
    <n v="228"/>
    <x v="4"/>
    <n v="84"/>
    <x v="0"/>
    <x v="3"/>
    <x v="0"/>
    <n v="9"/>
    <n v="0"/>
    <n v="11"/>
    <n v="0"/>
    <n v="0"/>
    <n v="1"/>
    <n v="1"/>
    <n v="0"/>
    <n v="0"/>
    <n v="2"/>
    <n v="0"/>
    <n v="0"/>
    <n v="0"/>
    <n v="0"/>
    <n v="0"/>
    <n v="3"/>
    <n v="7"/>
    <n v="0"/>
    <n v="2"/>
    <n v="0"/>
    <n v="0"/>
    <n v="1"/>
    <n v="10"/>
    <n v="14"/>
  </r>
  <r>
    <x v="562"/>
    <x v="3"/>
    <x v="1162"/>
    <n v="1985"/>
    <n v="31"/>
    <x v="13"/>
    <s v="Estonia"/>
    <n v="3600000"/>
    <n v="3150000"/>
    <x v="1"/>
    <n v="20"/>
    <n v="1408"/>
    <x v="0"/>
    <n v="938"/>
    <x v="0"/>
    <x v="6"/>
    <x v="0"/>
    <n v="5"/>
    <n v="0"/>
    <n v="4"/>
    <n v="2"/>
    <n v="0"/>
    <n v="48"/>
    <n v="0"/>
    <n v="0"/>
    <n v="0"/>
    <n v="0"/>
    <n v="1"/>
    <n v="0"/>
    <n v="0"/>
    <n v="1"/>
    <n v="9"/>
    <n v="14"/>
    <n v="15"/>
    <n v="0"/>
    <n v="25"/>
    <n v="1"/>
    <n v="0"/>
    <n v="92"/>
    <n v="38"/>
    <n v="33"/>
  </r>
  <r>
    <x v="562"/>
    <x v="1"/>
    <x v="1163"/>
    <n v="1985"/>
    <n v="32"/>
    <x v="13"/>
    <s v="Estonia"/>
    <n v="3150000"/>
    <n v="3150000"/>
    <x v="1"/>
    <n v="19"/>
    <n v="1449"/>
    <x v="4"/>
    <n v="1198"/>
    <x v="0"/>
    <x v="0"/>
    <x v="0"/>
    <n v="3"/>
    <n v="0"/>
    <n v="1"/>
    <n v="1"/>
    <n v="0"/>
    <n v="38"/>
    <n v="1"/>
    <n v="0"/>
    <n v="0"/>
    <n v="0"/>
    <n v="1"/>
    <n v="0"/>
    <n v="0"/>
    <n v="1"/>
    <n v="5"/>
    <n v="15"/>
    <n v="7"/>
    <n v="0"/>
    <n v="14"/>
    <n v="0"/>
    <n v="0"/>
    <n v="82"/>
    <n v="39"/>
    <n v="40"/>
  </r>
  <r>
    <x v="563"/>
    <x v="0"/>
    <x v="1164"/>
    <n v="1994"/>
    <n v="20"/>
    <x v="19"/>
    <s v="England"/>
    <n v="34000000"/>
    <n v="40500000"/>
    <x v="0"/>
    <n v="31"/>
    <n v="1925"/>
    <x v="14"/>
    <n v="846"/>
    <x v="5"/>
    <x v="3"/>
    <x v="0"/>
    <n v="8"/>
    <n v="15"/>
    <n v="52"/>
    <n v="22"/>
    <n v="0"/>
    <n v="2"/>
    <n v="0"/>
    <n v="0"/>
    <n v="0"/>
    <n v="5"/>
    <n v="4"/>
    <n v="6"/>
    <n v="5"/>
    <n v="58"/>
    <n v="0"/>
    <n v="16"/>
    <n v="26"/>
    <n v="0"/>
    <n v="34"/>
    <n v="0"/>
    <n v="0"/>
    <n v="3"/>
    <n v="8"/>
    <n v="22"/>
  </r>
  <r>
    <x v="563"/>
    <x v="3"/>
    <x v="1165"/>
    <n v="1994"/>
    <n v="21"/>
    <x v="19"/>
    <s v="England"/>
    <n v="40500000"/>
    <n v="40500000"/>
    <x v="0"/>
    <n v="33"/>
    <n v="2515"/>
    <x v="8"/>
    <n v="1033"/>
    <x v="1"/>
    <x v="1"/>
    <x v="0"/>
    <n v="4"/>
    <n v="13"/>
    <n v="64"/>
    <n v="22"/>
    <n v="3"/>
    <n v="0"/>
    <n v="0"/>
    <n v="0"/>
    <n v="0"/>
    <n v="16"/>
    <n v="4"/>
    <n v="5"/>
    <n v="5"/>
    <n v="84"/>
    <n v="1"/>
    <n v="16"/>
    <n v="36"/>
    <n v="0"/>
    <n v="24"/>
    <n v="0"/>
    <n v="0"/>
    <n v="3"/>
    <n v="12"/>
    <n v="27"/>
  </r>
  <r>
    <x v="563"/>
    <x v="1"/>
    <x v="1166"/>
    <n v="1994"/>
    <n v="23"/>
    <x v="19"/>
    <s v="England"/>
    <n v="40500000"/>
    <n v="81000000"/>
    <x v="0"/>
    <n v="33"/>
    <n v="2592"/>
    <x v="17"/>
    <n v="1170"/>
    <x v="10"/>
    <x v="6"/>
    <x v="1"/>
    <n v="4"/>
    <n v="9"/>
    <n v="87"/>
    <n v="35"/>
    <n v="4"/>
    <n v="5"/>
    <n v="0"/>
    <n v="1"/>
    <n v="0"/>
    <n v="19"/>
    <n v="9"/>
    <n v="52"/>
    <n v="6"/>
    <n v="39"/>
    <n v="0"/>
    <n v="9"/>
    <n v="39"/>
    <n v="0"/>
    <n v="19"/>
    <n v="0"/>
    <n v="0"/>
    <n v="7"/>
    <n v="8"/>
    <n v="24"/>
  </r>
  <r>
    <x v="563"/>
    <x v="2"/>
    <x v="1167"/>
    <n v="1994"/>
    <n v="23"/>
    <x v="19"/>
    <s v="England"/>
    <n v="81000000"/>
    <n v="126000000"/>
    <x v="0"/>
    <n v="34"/>
    <n v="2776"/>
    <x v="23"/>
    <n v="1263"/>
    <x v="9"/>
    <x v="6"/>
    <x v="0"/>
    <n v="3"/>
    <n v="9"/>
    <n v="77"/>
    <n v="39"/>
    <n v="3"/>
    <n v="1"/>
    <n v="2"/>
    <n v="0"/>
    <n v="0"/>
    <n v="13"/>
    <n v="6"/>
    <n v="38"/>
    <n v="19"/>
    <n v="75"/>
    <n v="3"/>
    <n v="17"/>
    <n v="40"/>
    <n v="0"/>
    <n v="32"/>
    <n v="0"/>
    <n v="0"/>
    <n v="4"/>
    <n v="15"/>
    <n v="28"/>
  </r>
  <r>
    <x v="564"/>
    <x v="1"/>
    <x v="1168"/>
    <n v="1991"/>
    <n v="26"/>
    <x v="6"/>
    <s v="Netherlands"/>
    <n v="1800000"/>
    <n v="3600000"/>
    <x v="2"/>
    <n v="33"/>
    <n v="2144"/>
    <x v="7"/>
    <n v="633"/>
    <x v="0"/>
    <x v="6"/>
    <x v="1"/>
    <n v="7"/>
    <n v="15"/>
    <n v="43"/>
    <n v="15"/>
    <n v="1"/>
    <n v="6"/>
    <n v="0"/>
    <n v="1"/>
    <n v="0"/>
    <n v="3"/>
    <n v="3"/>
    <n v="28"/>
    <n v="5"/>
    <n v="84"/>
    <n v="1"/>
    <n v="21"/>
    <n v="29"/>
    <n v="0"/>
    <n v="41"/>
    <n v="1"/>
    <n v="0"/>
    <n v="7"/>
    <n v="13"/>
    <n v="29"/>
  </r>
  <r>
    <x v="565"/>
    <x v="3"/>
    <x v="1169"/>
    <n v="1997"/>
    <n v="19"/>
    <x v="25"/>
    <s v="Egypt"/>
    <n v="1650000"/>
    <n v="5500000"/>
    <x v="2"/>
    <n v="17"/>
    <n v="848"/>
    <x v="0"/>
    <n v="299"/>
    <x v="3"/>
    <x v="4"/>
    <x v="0"/>
    <n v="9"/>
    <n v="3"/>
    <n v="4"/>
    <n v="1"/>
    <n v="1"/>
    <n v="0"/>
    <n v="0"/>
    <n v="0"/>
    <n v="0"/>
    <n v="3"/>
    <n v="0"/>
    <n v="1"/>
    <n v="0"/>
    <n v="7"/>
    <n v="1"/>
    <n v="8"/>
    <n v="10"/>
    <n v="0"/>
    <n v="22"/>
    <n v="0"/>
    <n v="0"/>
    <n v="0"/>
    <n v="3"/>
    <n v="8"/>
  </r>
  <r>
    <x v="565"/>
    <x v="1"/>
    <x v="1170"/>
    <n v="1997"/>
    <n v="20"/>
    <x v="25"/>
    <s v="Egypt"/>
    <n v="5500000"/>
    <n v="7700000"/>
    <x v="2"/>
    <n v="24"/>
    <n v="1234"/>
    <x v="5"/>
    <n v="421"/>
    <x v="0"/>
    <x v="4"/>
    <x v="0"/>
    <n v="12"/>
    <n v="7"/>
    <n v="13"/>
    <n v="6"/>
    <n v="0"/>
    <n v="7"/>
    <n v="0"/>
    <n v="0"/>
    <n v="0"/>
    <n v="3"/>
    <n v="1"/>
    <n v="7"/>
    <n v="0"/>
    <n v="16"/>
    <n v="0"/>
    <n v="14"/>
    <n v="14"/>
    <n v="0"/>
    <n v="32"/>
    <n v="0"/>
    <n v="0"/>
    <n v="12"/>
    <n v="11"/>
    <n v="17"/>
  </r>
  <r>
    <x v="566"/>
    <x v="0"/>
    <x v="1171"/>
    <n v="1987"/>
    <n v="28"/>
    <x v="1"/>
    <s v="Brazil"/>
    <n v="27500000"/>
    <n v="16500000"/>
    <x v="2"/>
    <n v="12"/>
    <n v="607"/>
    <x v="5"/>
    <n v="309"/>
    <x v="0"/>
    <x v="3"/>
    <x v="0"/>
    <n v="5"/>
    <n v="4"/>
    <n v="10"/>
    <n v="5"/>
    <n v="0"/>
    <n v="2"/>
    <n v="0"/>
    <n v="0"/>
    <n v="0"/>
    <n v="0"/>
    <n v="2"/>
    <n v="1"/>
    <n v="0"/>
    <n v="5"/>
    <n v="1"/>
    <n v="14"/>
    <n v="21"/>
    <n v="0"/>
    <n v="23"/>
    <n v="0"/>
    <n v="0"/>
    <n v="7"/>
    <n v="9"/>
    <n v="18"/>
  </r>
  <r>
    <x v="567"/>
    <x v="3"/>
    <x v="1172"/>
    <n v="1991"/>
    <n v="25"/>
    <x v="4"/>
    <s v="Argentina"/>
    <n v="10800000"/>
    <n v="10800000"/>
    <x v="1"/>
    <n v="23"/>
    <n v="1539"/>
    <x v="0"/>
    <n v="794"/>
    <x v="3"/>
    <x v="0"/>
    <x v="0"/>
    <n v="7"/>
    <n v="0"/>
    <n v="12"/>
    <n v="2"/>
    <n v="0"/>
    <n v="70"/>
    <n v="0"/>
    <n v="0"/>
    <n v="0"/>
    <n v="1"/>
    <n v="0"/>
    <n v="1"/>
    <n v="0"/>
    <n v="5"/>
    <n v="8"/>
    <n v="31"/>
    <n v="10"/>
    <n v="0"/>
    <n v="26"/>
    <n v="0"/>
    <n v="0"/>
    <n v="111"/>
    <n v="46"/>
    <n v="27"/>
  </r>
  <r>
    <x v="567"/>
    <x v="0"/>
    <x v="1173"/>
    <n v="1991"/>
    <n v="24"/>
    <x v="4"/>
    <s v="Argentina"/>
    <n v="5400000"/>
    <n v="10800000"/>
    <x v="1"/>
    <n v="28"/>
    <n v="2191"/>
    <x v="6"/>
    <n v="1238"/>
    <x v="3"/>
    <x v="5"/>
    <x v="1"/>
    <n v="4"/>
    <n v="0"/>
    <n v="24"/>
    <n v="9"/>
    <n v="0"/>
    <n v="99"/>
    <n v="2"/>
    <n v="0"/>
    <n v="0"/>
    <n v="2"/>
    <n v="0"/>
    <n v="3"/>
    <n v="0"/>
    <n v="6"/>
    <n v="11"/>
    <n v="66"/>
    <n v="8"/>
    <n v="0"/>
    <n v="41"/>
    <n v="0"/>
    <n v="0"/>
    <n v="217"/>
    <n v="76"/>
    <n v="45"/>
  </r>
  <r>
    <x v="568"/>
    <x v="1"/>
    <x v="1174"/>
    <n v="1997"/>
    <n v="20"/>
    <x v="0"/>
    <s v="Portugal"/>
    <n v="19800000"/>
    <n v="18000000"/>
    <x v="2"/>
    <n v="12"/>
    <n v="703"/>
    <x v="0"/>
    <n v="379"/>
    <x v="0"/>
    <x v="3"/>
    <x v="0"/>
    <n v="3"/>
    <n v="5"/>
    <n v="12"/>
    <n v="0"/>
    <n v="0"/>
    <n v="2"/>
    <n v="0"/>
    <n v="0"/>
    <n v="0"/>
    <n v="0"/>
    <n v="1"/>
    <n v="12"/>
    <n v="11"/>
    <n v="32"/>
    <n v="1"/>
    <n v="7"/>
    <n v="8"/>
    <n v="0"/>
    <n v="12"/>
    <n v="0"/>
    <n v="0"/>
    <n v="4"/>
    <n v="2"/>
    <n v="13"/>
  </r>
  <r>
    <x v="569"/>
    <x v="2"/>
    <x v="1175"/>
    <n v="1993"/>
    <n v="24"/>
    <x v="17"/>
    <s v="Portugal"/>
    <n v="18000000"/>
    <n v="22500000"/>
    <x v="2"/>
    <n v="35"/>
    <n v="3125"/>
    <x v="5"/>
    <n v="1532"/>
    <x v="1"/>
    <x v="1"/>
    <x v="0"/>
    <n v="0"/>
    <n v="2"/>
    <n v="25"/>
    <n v="9"/>
    <n v="1"/>
    <n v="55"/>
    <n v="0"/>
    <n v="0"/>
    <n v="0"/>
    <n v="2"/>
    <n v="3"/>
    <n v="16"/>
    <n v="0"/>
    <n v="104"/>
    <n v="6"/>
    <n v="60"/>
    <n v="41"/>
    <n v="0"/>
    <n v="118"/>
    <n v="0"/>
    <n v="0"/>
    <n v="106"/>
    <n v="66"/>
    <n v="75"/>
  </r>
  <r>
    <x v="570"/>
    <x v="1"/>
    <x v="1176"/>
    <n v="1997"/>
    <n v="20"/>
    <x v="9"/>
    <s v="Brazil"/>
    <n v="2200000"/>
    <n v="22500000"/>
    <x v="0"/>
    <n v="38"/>
    <n v="2827"/>
    <x v="2"/>
    <n v="804"/>
    <x v="2"/>
    <x v="5"/>
    <x v="0"/>
    <n v="6"/>
    <n v="10"/>
    <n v="95"/>
    <n v="22"/>
    <n v="2"/>
    <n v="20"/>
    <n v="1"/>
    <n v="0"/>
    <n v="0"/>
    <n v="21"/>
    <n v="2"/>
    <n v="73"/>
    <n v="1"/>
    <n v="51"/>
    <n v="5"/>
    <n v="24"/>
    <n v="37"/>
    <n v="0"/>
    <n v="64"/>
    <n v="0"/>
    <n v="0"/>
    <n v="29"/>
    <n v="120"/>
    <n v="162"/>
  </r>
  <r>
    <x v="570"/>
    <x v="2"/>
    <x v="1177"/>
    <n v="1997"/>
    <n v="21"/>
    <x v="4"/>
    <s v="Brazil"/>
    <n v="22500000"/>
    <n v="45000000"/>
    <x v="0"/>
    <n v="35"/>
    <n v="2678"/>
    <x v="11"/>
    <n v="793"/>
    <x v="3"/>
    <x v="2"/>
    <x v="1"/>
    <n v="3"/>
    <n v="16"/>
    <n v="83"/>
    <n v="29"/>
    <n v="2"/>
    <n v="29"/>
    <n v="2"/>
    <n v="0"/>
    <n v="0"/>
    <n v="17"/>
    <n v="4"/>
    <n v="54"/>
    <n v="0"/>
    <n v="47"/>
    <n v="2"/>
    <n v="16"/>
    <n v="32"/>
    <n v="0"/>
    <n v="49"/>
    <n v="0"/>
    <n v="0"/>
    <n v="39"/>
    <n v="70"/>
    <n v="154"/>
  </r>
  <r>
    <x v="571"/>
    <x v="0"/>
    <x v="1178"/>
    <n v="1982"/>
    <n v="33"/>
    <x v="18"/>
    <s v="England"/>
    <n v="3300000"/>
    <n v="2250000"/>
    <x v="0"/>
    <n v="19"/>
    <n v="617"/>
    <x v="4"/>
    <n v="272"/>
    <x v="3"/>
    <x v="4"/>
    <x v="0"/>
    <n v="14"/>
    <n v="3"/>
    <n v="14"/>
    <n v="4"/>
    <n v="0"/>
    <n v="5"/>
    <n v="0"/>
    <n v="1"/>
    <n v="0"/>
    <n v="2"/>
    <n v="1"/>
    <n v="0"/>
    <n v="0"/>
    <n v="4"/>
    <n v="0"/>
    <n v="0"/>
    <n v="6"/>
    <n v="0"/>
    <n v="0"/>
    <n v="0"/>
    <n v="0"/>
    <n v="6"/>
    <n v="20"/>
    <n v="37"/>
  </r>
  <r>
    <x v="572"/>
    <x v="0"/>
    <x v="1179"/>
    <n v="1988"/>
    <n v="26"/>
    <x v="17"/>
    <s v="Belgium"/>
    <n v="2250000"/>
    <n v="1800000"/>
    <x v="1"/>
    <n v="12"/>
    <n v="655"/>
    <x v="4"/>
    <n v="218"/>
    <x v="0"/>
    <x v="3"/>
    <x v="0"/>
    <n v="5"/>
    <n v="3"/>
    <n v="2"/>
    <n v="1"/>
    <n v="0"/>
    <n v="12"/>
    <n v="0"/>
    <n v="0"/>
    <n v="0"/>
    <n v="0"/>
    <n v="0"/>
    <n v="0"/>
    <n v="0"/>
    <n v="15"/>
    <n v="11"/>
    <n v="21"/>
    <n v="6"/>
    <n v="0"/>
    <n v="25"/>
    <n v="0"/>
    <n v="0"/>
    <n v="25"/>
    <n v="13"/>
    <n v="16"/>
  </r>
  <r>
    <x v="573"/>
    <x v="0"/>
    <x v="1180"/>
    <n v="1991"/>
    <n v="24"/>
    <x v="17"/>
    <s v="Algeria"/>
    <n v="7700000"/>
    <n v="18000000"/>
    <x v="0"/>
    <n v="37"/>
    <n v="3052"/>
    <x v="23"/>
    <n v="1034"/>
    <x v="10"/>
    <x v="3"/>
    <x v="0"/>
    <n v="1"/>
    <n v="24"/>
    <n v="86"/>
    <n v="39"/>
    <n v="2"/>
    <n v="6"/>
    <n v="1"/>
    <n v="4"/>
    <n v="0"/>
    <n v="4"/>
    <n v="18"/>
    <n v="5"/>
    <n v="35"/>
    <n v="114"/>
    <n v="4"/>
    <n v="38"/>
    <n v="19"/>
    <n v="0"/>
    <n v="53"/>
    <n v="0"/>
    <n v="0"/>
    <n v="14"/>
    <n v="35"/>
    <n v="65"/>
  </r>
  <r>
    <x v="573"/>
    <x v="3"/>
    <x v="1181"/>
    <n v="1991"/>
    <n v="25"/>
    <x v="17"/>
    <s v="Algeria"/>
    <n v="18000000"/>
    <n v="27000000"/>
    <x v="0"/>
    <n v="36"/>
    <n v="2835"/>
    <x v="14"/>
    <n v="1065"/>
    <x v="6"/>
    <x v="5"/>
    <x v="0"/>
    <n v="3"/>
    <n v="15"/>
    <n v="76"/>
    <n v="29"/>
    <n v="2"/>
    <n v="7"/>
    <n v="0"/>
    <n v="3"/>
    <n v="0"/>
    <n v="8"/>
    <n v="9"/>
    <n v="5"/>
    <n v="54"/>
    <n v="154"/>
    <n v="2"/>
    <n v="29"/>
    <n v="25"/>
    <n v="0"/>
    <n v="36"/>
    <n v="0"/>
    <n v="0"/>
    <n v="15"/>
    <n v="22"/>
    <n v="59"/>
  </r>
  <r>
    <x v="573"/>
    <x v="1"/>
    <x v="1182"/>
    <n v="1991"/>
    <n v="26"/>
    <x v="17"/>
    <s v="Algeria"/>
    <n v="27000000"/>
    <n v="45000000"/>
    <x v="0"/>
    <n v="36"/>
    <n v="2960"/>
    <x v="13"/>
    <n v="1276"/>
    <x v="9"/>
    <x v="4"/>
    <x v="0"/>
    <n v="2"/>
    <n v="12"/>
    <n v="73"/>
    <n v="36"/>
    <n v="0"/>
    <n v="5"/>
    <n v="1"/>
    <n v="0"/>
    <n v="1"/>
    <n v="10"/>
    <n v="18"/>
    <n v="37"/>
    <n v="93"/>
    <n v="158"/>
    <n v="1"/>
    <n v="18"/>
    <n v="23"/>
    <n v="0"/>
    <n v="39"/>
    <n v="0"/>
    <n v="0"/>
    <n v="9"/>
    <n v="28"/>
    <n v="52"/>
  </r>
  <r>
    <x v="573"/>
    <x v="2"/>
    <x v="1183"/>
    <n v="1991"/>
    <n v="27"/>
    <x v="19"/>
    <s v="Algeria"/>
    <n v="55000000"/>
    <n v="66000000"/>
    <x v="2"/>
    <n v="27"/>
    <n v="1337"/>
    <x v="8"/>
    <n v="798"/>
    <x v="2"/>
    <x v="0"/>
    <x v="0"/>
    <n v="13"/>
    <n v="9"/>
    <n v="54"/>
    <n v="25"/>
    <n v="2"/>
    <n v="0"/>
    <n v="0"/>
    <n v="0"/>
    <n v="0"/>
    <n v="9"/>
    <n v="11"/>
    <n v="29"/>
    <n v="44"/>
    <n v="73"/>
    <n v="1"/>
    <n v="9"/>
    <n v="10"/>
    <n v="0"/>
    <n v="14"/>
    <n v="0"/>
    <n v="0"/>
    <n v="2"/>
    <n v="19"/>
    <n v="24"/>
  </r>
  <r>
    <x v="574"/>
    <x v="2"/>
    <x v="1184"/>
    <n v="1995"/>
    <n v="22"/>
    <x v="7"/>
    <s v="England"/>
    <n v="6300000"/>
    <n v="10800000"/>
    <x v="1"/>
    <n v="10"/>
    <n v="807"/>
    <x v="0"/>
    <n v="614"/>
    <x v="0"/>
    <x v="3"/>
    <x v="0"/>
    <n v="1"/>
    <n v="1"/>
    <n v="2"/>
    <n v="0"/>
    <n v="0"/>
    <n v="21"/>
    <n v="0"/>
    <n v="0"/>
    <n v="0"/>
    <n v="0"/>
    <n v="0"/>
    <n v="2"/>
    <n v="0"/>
    <n v="1"/>
    <n v="7"/>
    <n v="12"/>
    <n v="6"/>
    <n v="0"/>
    <n v="11"/>
    <n v="0"/>
    <n v="0"/>
    <n v="37"/>
    <n v="21"/>
    <n v="9"/>
  </r>
  <r>
    <x v="574"/>
    <x v="1"/>
    <x v="1185"/>
    <n v="1995"/>
    <n v="22"/>
    <x v="7"/>
    <s v="England"/>
    <n v="6300000"/>
    <n v="6300000"/>
    <x v="1"/>
    <n v="12"/>
    <n v="820"/>
    <x v="0"/>
    <n v="603"/>
    <x v="0"/>
    <x v="6"/>
    <x v="0"/>
    <n v="3"/>
    <n v="1"/>
    <n v="0"/>
    <n v="0"/>
    <n v="0"/>
    <n v="18"/>
    <n v="0"/>
    <n v="0"/>
    <n v="0"/>
    <n v="0"/>
    <n v="1"/>
    <n v="0"/>
    <n v="0"/>
    <n v="0"/>
    <n v="10"/>
    <n v="21"/>
    <n v="9"/>
    <n v="1"/>
    <n v="19"/>
    <n v="0"/>
    <n v="0"/>
    <n v="39"/>
    <n v="28"/>
    <n v="20"/>
  </r>
  <r>
    <x v="575"/>
    <x v="0"/>
    <x v="1186"/>
    <n v="1992"/>
    <n v="23"/>
    <x v="21"/>
    <s v="Ireland"/>
    <n v="2200000"/>
    <n v="5400000"/>
    <x v="0"/>
    <n v="36"/>
    <n v="2987"/>
    <x v="7"/>
    <n v="1138"/>
    <x v="0"/>
    <x v="6"/>
    <x v="0"/>
    <n v="2"/>
    <n v="6"/>
    <n v="53"/>
    <n v="19"/>
    <n v="2"/>
    <n v="42"/>
    <n v="0"/>
    <n v="0"/>
    <n v="0"/>
    <n v="4"/>
    <n v="4"/>
    <n v="0"/>
    <n v="88"/>
    <n v="243"/>
    <n v="3"/>
    <n v="57"/>
    <n v="41"/>
    <n v="1"/>
    <n v="101"/>
    <n v="1"/>
    <n v="0"/>
    <n v="89"/>
    <n v="42"/>
    <n v="26"/>
  </r>
  <r>
    <x v="575"/>
    <x v="3"/>
    <x v="1187"/>
    <n v="1992"/>
    <n v="24"/>
    <x v="5"/>
    <s v="Ireland"/>
    <n v="5400000"/>
    <n v="9000000"/>
    <x v="2"/>
    <n v="14"/>
    <n v="716"/>
    <x v="4"/>
    <n v="222"/>
    <x v="5"/>
    <x v="3"/>
    <x v="0"/>
    <n v="7"/>
    <n v="4"/>
    <n v="19"/>
    <n v="3"/>
    <n v="1"/>
    <n v="4"/>
    <n v="0"/>
    <n v="0"/>
    <n v="1"/>
    <n v="0"/>
    <n v="0"/>
    <n v="0"/>
    <n v="27"/>
    <n v="62"/>
    <n v="2"/>
    <n v="11"/>
    <n v="8"/>
    <n v="0"/>
    <n v="21"/>
    <n v="0"/>
    <n v="0"/>
    <n v="7"/>
    <n v="9"/>
    <n v="7"/>
  </r>
  <r>
    <x v="575"/>
    <x v="1"/>
    <x v="1188"/>
    <n v="1992"/>
    <n v="25"/>
    <x v="5"/>
    <s v="Ireland"/>
    <n v="9000000"/>
    <n v="9000000"/>
    <x v="2"/>
    <n v="15"/>
    <n v="1279"/>
    <x v="4"/>
    <n v="454"/>
    <x v="5"/>
    <x v="6"/>
    <x v="0"/>
    <n v="0"/>
    <n v="2"/>
    <n v="24"/>
    <n v="6"/>
    <n v="1"/>
    <n v="11"/>
    <n v="0"/>
    <n v="0"/>
    <n v="0"/>
    <n v="3"/>
    <n v="4"/>
    <n v="18"/>
    <n v="67"/>
    <n v="123"/>
    <n v="3"/>
    <n v="7"/>
    <n v="20"/>
    <n v="0"/>
    <n v="32"/>
    <n v="0"/>
    <n v="0"/>
    <n v="25"/>
    <n v="9"/>
    <n v="12"/>
  </r>
  <r>
    <x v="575"/>
    <x v="2"/>
    <x v="1189"/>
    <n v="1992"/>
    <n v="26"/>
    <x v="5"/>
    <s v="Ireland"/>
    <n v="9000000"/>
    <n v="7200000"/>
    <x v="2"/>
    <n v="16"/>
    <n v="715"/>
    <x v="0"/>
    <n v="223"/>
    <x v="3"/>
    <x v="6"/>
    <x v="1"/>
    <n v="10"/>
    <n v="4"/>
    <n v="12"/>
    <n v="2"/>
    <n v="0"/>
    <n v="5"/>
    <n v="0"/>
    <n v="0"/>
    <n v="0"/>
    <n v="0"/>
    <n v="1"/>
    <n v="10"/>
    <n v="20"/>
    <n v="53"/>
    <n v="1"/>
    <n v="7"/>
    <n v="12"/>
    <n v="0"/>
    <n v="15"/>
    <n v="0"/>
    <n v="0"/>
    <n v="15"/>
    <n v="11"/>
    <n v="8"/>
  </r>
  <r>
    <x v="576"/>
    <x v="0"/>
    <x v="1190"/>
    <n v="1984"/>
    <n v="30"/>
    <x v="17"/>
    <s v="Germany"/>
    <n v="4500000"/>
    <n v="5400000"/>
    <x v="1"/>
    <n v="35"/>
    <n v="3150"/>
    <x v="7"/>
    <n v="810"/>
    <x v="0"/>
    <x v="9"/>
    <x v="0"/>
    <n v="0"/>
    <n v="0"/>
    <n v="28"/>
    <n v="6"/>
    <n v="0"/>
    <n v="132"/>
    <n v="2"/>
    <n v="0"/>
    <n v="0"/>
    <n v="3"/>
    <n v="0"/>
    <n v="4"/>
    <n v="0"/>
    <n v="0"/>
    <n v="34"/>
    <n v="76"/>
    <n v="35"/>
    <n v="0"/>
    <n v="41"/>
    <n v="0"/>
    <n v="0"/>
    <n v="258"/>
    <n v="116"/>
    <n v="67"/>
  </r>
  <r>
    <x v="576"/>
    <x v="3"/>
    <x v="1191"/>
    <n v="1984"/>
    <n v="31"/>
    <x v="17"/>
    <s v="Germany"/>
    <n v="5400000"/>
    <n v="4500000"/>
    <x v="1"/>
    <n v="33"/>
    <n v="2929"/>
    <x v="5"/>
    <n v="701"/>
    <x v="5"/>
    <x v="10"/>
    <x v="0"/>
    <n v="0"/>
    <n v="3"/>
    <n v="26"/>
    <n v="9"/>
    <n v="1"/>
    <n v="116"/>
    <n v="2"/>
    <n v="0"/>
    <n v="0"/>
    <n v="0"/>
    <n v="0"/>
    <n v="1"/>
    <n v="0"/>
    <n v="0"/>
    <n v="37"/>
    <n v="45"/>
    <n v="45"/>
    <n v="1"/>
    <n v="28"/>
    <n v="0"/>
    <n v="2"/>
    <n v="220"/>
    <n v="94"/>
    <n v="80"/>
  </r>
  <r>
    <x v="577"/>
    <x v="3"/>
    <x v="1192"/>
    <n v="1987"/>
    <n v="28"/>
    <x v="10"/>
    <s v="Scotland"/>
    <n v="4500000"/>
    <n v="7200000"/>
    <x v="2"/>
    <n v="35"/>
    <n v="2550"/>
    <x v="8"/>
    <n v="1008"/>
    <x v="8"/>
    <x v="4"/>
    <x v="0"/>
    <n v="8"/>
    <n v="9"/>
    <n v="50"/>
    <n v="19"/>
    <n v="1"/>
    <n v="11"/>
    <n v="0"/>
    <n v="2"/>
    <n v="2"/>
    <n v="7"/>
    <n v="7"/>
    <n v="1"/>
    <n v="111"/>
    <n v="211"/>
    <n v="2"/>
    <n v="15"/>
    <n v="46"/>
    <n v="0"/>
    <n v="38"/>
    <n v="0"/>
    <n v="0"/>
    <n v="20"/>
    <n v="22"/>
    <n v="52"/>
  </r>
  <r>
    <x v="577"/>
    <x v="2"/>
    <x v="1193"/>
    <n v="1987"/>
    <n v="30"/>
    <x v="3"/>
    <s v="Scotland"/>
    <n v="6300000"/>
    <n v="6300000"/>
    <x v="2"/>
    <n v="33"/>
    <n v="2221"/>
    <x v="5"/>
    <n v="969"/>
    <x v="8"/>
    <x v="7"/>
    <x v="0"/>
    <n v="8"/>
    <n v="10"/>
    <n v="30"/>
    <n v="7"/>
    <n v="0"/>
    <n v="8"/>
    <n v="0"/>
    <n v="0"/>
    <n v="0"/>
    <n v="3"/>
    <n v="9"/>
    <n v="23"/>
    <n v="115"/>
    <n v="170"/>
    <n v="4"/>
    <n v="11"/>
    <n v="36"/>
    <n v="0"/>
    <n v="44"/>
    <n v="0"/>
    <n v="0"/>
    <n v="18"/>
    <n v="25"/>
    <n v="35"/>
  </r>
  <r>
    <x v="578"/>
    <x v="0"/>
    <x v="1194"/>
    <n v="1991"/>
    <n v="23"/>
    <x v="13"/>
    <s v="Brazil"/>
    <n v="27500000"/>
    <n v="31500000"/>
    <x v="0"/>
    <n v="22"/>
    <n v="1981"/>
    <x v="15"/>
    <n v="998"/>
    <x v="4"/>
    <x v="3"/>
    <x v="0"/>
    <n v="7"/>
    <n v="17"/>
    <n v="63"/>
    <n v="25"/>
    <n v="4"/>
    <n v="8"/>
    <n v="1"/>
    <n v="0"/>
    <n v="0"/>
    <n v="15"/>
    <n v="10"/>
    <n v="6"/>
    <n v="11"/>
    <n v="38"/>
    <n v="2"/>
    <n v="16"/>
    <n v="29"/>
    <n v="0"/>
    <n v="67"/>
    <n v="1"/>
    <n v="0"/>
    <n v="12"/>
    <n v="9"/>
    <n v="62"/>
  </r>
  <r>
    <x v="578"/>
    <x v="3"/>
    <x v="1195"/>
    <n v="1991"/>
    <n v="24"/>
    <x v="13"/>
    <s v="Brazil"/>
    <n v="31500000"/>
    <n v="34500000"/>
    <x v="0"/>
    <n v="35"/>
    <n v="3068"/>
    <x v="1"/>
    <n v="1543"/>
    <x v="4"/>
    <x v="2"/>
    <x v="0"/>
    <n v="1"/>
    <n v="7"/>
    <n v="100"/>
    <n v="45"/>
    <n v="0"/>
    <n v="12"/>
    <n v="3"/>
    <n v="0"/>
    <n v="0"/>
    <n v="19"/>
    <n v="9"/>
    <n v="9"/>
    <n v="5"/>
    <n v="60"/>
    <n v="3"/>
    <n v="26"/>
    <n v="51"/>
    <n v="0"/>
    <n v="58"/>
    <n v="0"/>
    <n v="0"/>
    <n v="14"/>
    <n v="64"/>
    <n v="142"/>
  </r>
  <r>
    <x v="578"/>
    <x v="1"/>
    <x v="1196"/>
    <n v="1991"/>
    <n v="25"/>
    <x v="13"/>
    <s v="Brazil"/>
    <n v="34500000"/>
    <n v="72000000"/>
    <x v="0"/>
    <n v="37"/>
    <n v="2776"/>
    <x v="16"/>
    <n v="1169"/>
    <x v="4"/>
    <x v="3"/>
    <x v="0"/>
    <n v="5"/>
    <n v="20"/>
    <n v="84"/>
    <n v="38"/>
    <n v="1"/>
    <n v="6"/>
    <n v="3"/>
    <n v="1"/>
    <n v="0"/>
    <n v="13"/>
    <n v="17"/>
    <n v="46"/>
    <n v="1"/>
    <n v="43"/>
    <n v="2"/>
    <n v="18"/>
    <n v="57"/>
    <n v="0"/>
    <n v="65"/>
    <n v="0"/>
    <n v="0"/>
    <n v="9"/>
    <n v="46"/>
    <n v="136"/>
  </r>
  <r>
    <x v="578"/>
    <x v="2"/>
    <x v="1197"/>
    <n v="1991"/>
    <n v="26"/>
    <x v="13"/>
    <s v="Brazil"/>
    <n v="72000000"/>
    <n v="72000000"/>
    <x v="0"/>
    <n v="34"/>
    <n v="2617"/>
    <x v="13"/>
    <n v="1279"/>
    <x v="1"/>
    <x v="0"/>
    <x v="0"/>
    <n v="3"/>
    <n v="16"/>
    <n v="75"/>
    <n v="34"/>
    <n v="1"/>
    <n v="13"/>
    <n v="3"/>
    <n v="1"/>
    <n v="0"/>
    <n v="7"/>
    <n v="16"/>
    <n v="41"/>
    <n v="2"/>
    <n v="9"/>
    <n v="1"/>
    <n v="6"/>
    <n v="38"/>
    <n v="0"/>
    <n v="29"/>
    <n v="0"/>
    <n v="0"/>
    <n v="15"/>
    <n v="30"/>
    <n v="76"/>
  </r>
  <r>
    <x v="579"/>
    <x v="3"/>
    <x v="1198"/>
    <n v="1991"/>
    <n v="25"/>
    <x v="9"/>
    <s v="Argentina"/>
    <n v="17600000"/>
    <n v="16500000"/>
    <x v="2"/>
    <n v="13"/>
    <n v="1040"/>
    <x v="5"/>
    <n v="420"/>
    <x v="5"/>
    <x v="4"/>
    <x v="0"/>
    <n v="1"/>
    <n v="3"/>
    <n v="9"/>
    <n v="4"/>
    <n v="1"/>
    <n v="1"/>
    <n v="0"/>
    <n v="0"/>
    <n v="0"/>
    <n v="2"/>
    <n v="0"/>
    <n v="2"/>
    <n v="11"/>
    <n v="32"/>
    <n v="0"/>
    <n v="8"/>
    <n v="8"/>
    <n v="0"/>
    <n v="8"/>
    <n v="0"/>
    <n v="0"/>
    <n v="3"/>
    <n v="2"/>
    <n v="5"/>
  </r>
  <r>
    <x v="579"/>
    <x v="1"/>
    <x v="1199"/>
    <n v="1991"/>
    <n v="26"/>
    <x v="9"/>
    <s v="Argentina"/>
    <n v="16500000"/>
    <n v="11000000"/>
    <x v="2"/>
    <n v="32"/>
    <n v="1622"/>
    <x v="2"/>
    <n v="676"/>
    <x v="5"/>
    <x v="6"/>
    <x v="0"/>
    <n v="14"/>
    <n v="12"/>
    <n v="33"/>
    <n v="13"/>
    <n v="1"/>
    <n v="1"/>
    <n v="0"/>
    <n v="0"/>
    <n v="0"/>
    <n v="2"/>
    <n v="1"/>
    <n v="20"/>
    <n v="20"/>
    <n v="49"/>
    <n v="0"/>
    <n v="9"/>
    <n v="18"/>
    <n v="0"/>
    <n v="10"/>
    <n v="0"/>
    <n v="0"/>
    <n v="3"/>
    <n v="3"/>
    <n v="17"/>
  </r>
  <r>
    <x v="579"/>
    <x v="2"/>
    <x v="1200"/>
    <n v="1991"/>
    <n v="27"/>
    <x v="9"/>
    <s v="Argentina"/>
    <n v="11000000"/>
    <n v="14300000"/>
    <x v="2"/>
    <n v="33"/>
    <n v="2821"/>
    <x v="14"/>
    <n v="1121"/>
    <x v="3"/>
    <x v="6"/>
    <x v="0"/>
    <n v="0"/>
    <n v="10"/>
    <n v="57"/>
    <n v="21"/>
    <n v="4"/>
    <n v="10"/>
    <n v="0"/>
    <n v="0"/>
    <n v="0"/>
    <n v="3"/>
    <n v="3"/>
    <n v="36"/>
    <n v="17"/>
    <n v="40"/>
    <n v="0"/>
    <n v="23"/>
    <n v="27"/>
    <n v="0"/>
    <n v="21"/>
    <n v="1"/>
    <n v="0"/>
    <n v="20"/>
    <n v="4"/>
    <n v="19"/>
  </r>
  <r>
    <x v="580"/>
    <x v="0"/>
    <x v="1201"/>
    <n v="1995"/>
    <n v="19"/>
    <x v="20"/>
    <s v="England"/>
    <n v="1000000"/>
    <n v="1000000"/>
    <x v="2"/>
    <n v="10"/>
    <n v="377"/>
    <x v="4"/>
    <n v="119"/>
    <x v="3"/>
    <x v="3"/>
    <x v="0"/>
    <n v="7"/>
    <n v="1"/>
    <n v="2"/>
    <n v="1"/>
    <n v="0"/>
    <n v="5"/>
    <n v="0"/>
    <n v="0"/>
    <n v="0"/>
    <n v="0"/>
    <n v="0"/>
    <n v="0"/>
    <n v="0"/>
    <n v="12"/>
    <n v="2"/>
    <n v="6"/>
    <n v="9"/>
    <n v="0"/>
    <n v="13"/>
    <n v="1"/>
    <n v="0"/>
    <n v="10"/>
    <n v="4"/>
    <n v="6"/>
  </r>
  <r>
    <x v="581"/>
    <x v="2"/>
    <x v="1202"/>
    <n v="1990"/>
    <n v="28"/>
    <x v="16"/>
    <s v="Morocco"/>
    <n v="5400000"/>
    <n v="4500000"/>
    <x v="1"/>
    <n v="19"/>
    <n v="1144"/>
    <x v="5"/>
    <n v="737"/>
    <x v="0"/>
    <x v="0"/>
    <x v="0"/>
    <n v="7"/>
    <n v="2"/>
    <n v="11"/>
    <n v="5"/>
    <n v="0"/>
    <n v="30"/>
    <n v="0"/>
    <n v="0"/>
    <n v="0"/>
    <n v="0"/>
    <n v="0"/>
    <n v="6"/>
    <n v="0"/>
    <n v="9"/>
    <n v="12"/>
    <n v="26"/>
    <n v="27"/>
    <n v="0"/>
    <n v="39"/>
    <n v="0"/>
    <n v="0"/>
    <n v="58"/>
    <n v="60"/>
    <n v="28"/>
  </r>
  <r>
    <x v="582"/>
    <x v="0"/>
    <x v="1203"/>
    <n v="1993"/>
    <n v="22"/>
    <x v="4"/>
    <s v="Belgium"/>
    <n v="30800000"/>
    <n v="36000000"/>
    <x v="0"/>
    <n v="37"/>
    <n v="3174"/>
    <x v="17"/>
    <n v="1098"/>
    <x v="1"/>
    <x v="6"/>
    <x v="0"/>
    <n v="1"/>
    <n v="8"/>
    <n v="118"/>
    <n v="48"/>
    <n v="7"/>
    <n v="4"/>
    <n v="4"/>
    <n v="1"/>
    <n v="0"/>
    <n v="16"/>
    <n v="7"/>
    <n v="18"/>
    <n v="0"/>
    <n v="31"/>
    <n v="3"/>
    <n v="0"/>
    <n v="30"/>
    <n v="0"/>
    <n v="13"/>
    <n v="0"/>
    <n v="0"/>
    <n v="5"/>
    <n v="93"/>
    <n v="144"/>
  </r>
  <r>
    <x v="582"/>
    <x v="3"/>
    <x v="1204"/>
    <n v="1993"/>
    <n v="23"/>
    <x v="4"/>
    <s v="Belgium"/>
    <n v="36000000"/>
    <n v="45000000"/>
    <x v="0"/>
    <n v="37"/>
    <n v="3267"/>
    <x v="20"/>
    <n v="965"/>
    <x v="1"/>
    <x v="6"/>
    <x v="0"/>
    <n v="1"/>
    <n v="2"/>
    <n v="110"/>
    <n v="55"/>
    <n v="3"/>
    <n v="16"/>
    <n v="6"/>
    <n v="1"/>
    <n v="1"/>
    <n v="36"/>
    <n v="9"/>
    <n v="8"/>
    <n v="0"/>
    <n v="45"/>
    <n v="4"/>
    <n v="0"/>
    <n v="33"/>
    <n v="0"/>
    <n v="9"/>
    <n v="0"/>
    <n v="0"/>
    <n v="27"/>
    <n v="136"/>
    <n v="185"/>
  </r>
  <r>
    <x v="582"/>
    <x v="1"/>
    <x v="1205"/>
    <n v="1993"/>
    <n v="24"/>
    <x v="22"/>
    <s v="Belgium"/>
    <n v="45000000"/>
    <n v="81000000"/>
    <x v="0"/>
    <n v="34"/>
    <n v="2869"/>
    <x v="19"/>
    <n v="721"/>
    <x v="4"/>
    <x v="5"/>
    <x v="0"/>
    <n v="1"/>
    <n v="3"/>
    <n v="86"/>
    <n v="43"/>
    <n v="1"/>
    <n v="15"/>
    <n v="3"/>
    <n v="0"/>
    <n v="0"/>
    <n v="18"/>
    <n v="11"/>
    <n v="43"/>
    <n v="0"/>
    <n v="36"/>
    <n v="2"/>
    <n v="3"/>
    <n v="31"/>
    <n v="0"/>
    <n v="7"/>
    <n v="1"/>
    <n v="0"/>
    <n v="21"/>
    <n v="109"/>
    <n v="100"/>
  </r>
  <r>
    <x v="582"/>
    <x v="2"/>
    <x v="1206"/>
    <n v="1993"/>
    <n v="25"/>
    <x v="22"/>
    <s v="Belgium"/>
    <n v="81000000"/>
    <n v="67500000"/>
    <x v="0"/>
    <n v="32"/>
    <n v="2130"/>
    <x v="13"/>
    <n v="534"/>
    <x v="0"/>
    <x v="5"/>
    <x v="0"/>
    <n v="10"/>
    <n v="4"/>
    <n v="55"/>
    <n v="32"/>
    <n v="2"/>
    <n v="13"/>
    <n v="2"/>
    <n v="0"/>
    <n v="0"/>
    <n v="23"/>
    <n v="5"/>
    <n v="23"/>
    <n v="0"/>
    <n v="46"/>
    <n v="1"/>
    <n v="2"/>
    <n v="18"/>
    <n v="0"/>
    <n v="8"/>
    <n v="0"/>
    <n v="0"/>
    <n v="19"/>
    <n v="93"/>
    <n v="85"/>
  </r>
  <r>
    <x v="583"/>
    <x v="1"/>
    <x v="1207"/>
    <n v="1989"/>
    <n v="28"/>
    <x v="0"/>
    <s v="Spain"/>
    <n v="10800000"/>
    <n v="7200000"/>
    <x v="2"/>
    <n v="11"/>
    <n v="757"/>
    <x v="0"/>
    <n v="486"/>
    <x v="0"/>
    <x v="6"/>
    <x v="0"/>
    <n v="2"/>
    <n v="5"/>
    <n v="1"/>
    <n v="1"/>
    <n v="0"/>
    <n v="3"/>
    <n v="0"/>
    <n v="0"/>
    <n v="0"/>
    <n v="0"/>
    <n v="0"/>
    <n v="0"/>
    <n v="0"/>
    <n v="1"/>
    <n v="0"/>
    <n v="13"/>
    <n v="14"/>
    <n v="0"/>
    <n v="20"/>
    <n v="0"/>
    <n v="0"/>
    <n v="6"/>
    <n v="2"/>
    <n v="3"/>
  </r>
  <r>
    <x v="584"/>
    <x v="0"/>
    <x v="1208"/>
    <n v="1993"/>
    <n v="21"/>
    <x v="4"/>
    <s v="England"/>
    <n v="15000000"/>
    <n v="22000000"/>
    <x v="2"/>
    <n v="38"/>
    <n v="3085"/>
    <x v="9"/>
    <n v="1802"/>
    <x v="7"/>
    <x v="5"/>
    <x v="0"/>
    <n v="2"/>
    <n v="14"/>
    <n v="95"/>
    <n v="29"/>
    <n v="5"/>
    <n v="15"/>
    <n v="0"/>
    <n v="2"/>
    <n v="0"/>
    <n v="5"/>
    <n v="19"/>
    <n v="7"/>
    <n v="70"/>
    <n v="110"/>
    <n v="5"/>
    <n v="17"/>
    <n v="29"/>
    <n v="0"/>
    <n v="34"/>
    <n v="0"/>
    <n v="0"/>
    <n v="18"/>
    <n v="29"/>
    <n v="31"/>
  </r>
  <r>
    <x v="584"/>
    <x v="3"/>
    <x v="1209"/>
    <n v="1993"/>
    <n v="22"/>
    <x v="4"/>
    <s v="England"/>
    <n v="22000000"/>
    <n v="25000000"/>
    <x v="2"/>
    <n v="36"/>
    <n v="2905"/>
    <x v="2"/>
    <n v="1651"/>
    <x v="7"/>
    <x v="2"/>
    <x v="0"/>
    <n v="4"/>
    <n v="13"/>
    <n v="89"/>
    <n v="30"/>
    <n v="1"/>
    <n v="29"/>
    <n v="1"/>
    <n v="0"/>
    <n v="1"/>
    <n v="8"/>
    <n v="10"/>
    <n v="5"/>
    <n v="63"/>
    <n v="113"/>
    <n v="6"/>
    <n v="10"/>
    <n v="49"/>
    <n v="0"/>
    <n v="30"/>
    <n v="0"/>
    <n v="0"/>
    <n v="35"/>
    <n v="42"/>
    <n v="40"/>
  </r>
  <r>
    <x v="584"/>
    <x v="2"/>
    <x v="1210"/>
    <n v="1993"/>
    <n v="24"/>
    <x v="1"/>
    <s v="England"/>
    <n v="25000000"/>
    <n v="30000000"/>
    <x v="2"/>
    <n v="27"/>
    <n v="1241"/>
    <x v="7"/>
    <n v="954"/>
    <x v="8"/>
    <x v="3"/>
    <x v="0"/>
    <n v="14"/>
    <n v="10"/>
    <n v="41"/>
    <n v="9"/>
    <n v="1"/>
    <n v="8"/>
    <n v="0"/>
    <n v="0"/>
    <n v="0"/>
    <n v="0"/>
    <n v="4"/>
    <n v="32"/>
    <n v="0"/>
    <n v="7"/>
    <n v="1"/>
    <n v="8"/>
    <n v="14"/>
    <n v="0"/>
    <n v="15"/>
    <n v="1"/>
    <n v="0"/>
    <n v="13"/>
    <n v="19"/>
    <n v="8"/>
  </r>
  <r>
    <x v="585"/>
    <x v="1"/>
    <x v="1211"/>
    <n v="1996"/>
    <n v="21"/>
    <x v="8"/>
    <s v="England"/>
    <n v="5500000"/>
    <n v="16500000"/>
    <x v="2"/>
    <n v="24"/>
    <n v="1875"/>
    <x v="5"/>
    <n v="723"/>
    <x v="6"/>
    <x v="3"/>
    <x v="0"/>
    <n v="3"/>
    <n v="4"/>
    <n v="32"/>
    <n v="7"/>
    <n v="1"/>
    <n v="16"/>
    <n v="0"/>
    <n v="0"/>
    <n v="0"/>
    <n v="3"/>
    <n v="1"/>
    <n v="25"/>
    <n v="0"/>
    <n v="12"/>
    <n v="2"/>
    <n v="22"/>
    <n v="17"/>
    <n v="0"/>
    <n v="21"/>
    <n v="0"/>
    <n v="0"/>
    <n v="26"/>
    <n v="0"/>
    <n v="55"/>
  </r>
  <r>
    <x v="585"/>
    <x v="0"/>
    <x v="1212"/>
    <n v="1996"/>
    <n v="19"/>
    <x v="1"/>
    <s v="England"/>
    <n v="2200000"/>
    <n v="5500000"/>
    <x v="2"/>
    <n v="13"/>
    <n v="407"/>
    <x v="4"/>
    <n v="243"/>
    <x v="0"/>
    <x v="0"/>
    <x v="0"/>
    <n v="9"/>
    <n v="2"/>
    <n v="12"/>
    <n v="3"/>
    <n v="0"/>
    <n v="2"/>
    <n v="0"/>
    <n v="0"/>
    <n v="0"/>
    <n v="1"/>
    <n v="1"/>
    <n v="0"/>
    <n v="0"/>
    <n v="1"/>
    <n v="0"/>
    <n v="5"/>
    <n v="4"/>
    <n v="0"/>
    <n v="11"/>
    <n v="0"/>
    <n v="0"/>
    <n v="4"/>
    <n v="7"/>
    <n v="8"/>
  </r>
  <r>
    <x v="585"/>
    <x v="2"/>
    <x v="1213"/>
    <n v="1996"/>
    <n v="22"/>
    <x v="1"/>
    <s v="England"/>
    <n v="16500000"/>
    <n v="33000000"/>
    <x v="2"/>
    <n v="24"/>
    <n v="983"/>
    <x v="14"/>
    <n v="610"/>
    <x v="5"/>
    <x v="0"/>
    <x v="0"/>
    <n v="18"/>
    <n v="3"/>
    <n v="28"/>
    <n v="8"/>
    <n v="0"/>
    <n v="5"/>
    <n v="2"/>
    <n v="0"/>
    <n v="0"/>
    <n v="2"/>
    <n v="2"/>
    <n v="20"/>
    <n v="2"/>
    <n v="2"/>
    <n v="4"/>
    <n v="11"/>
    <n v="10"/>
    <n v="0"/>
    <n v="18"/>
    <n v="0"/>
    <n v="0"/>
    <n v="5"/>
    <n v="21"/>
    <n v="21"/>
  </r>
  <r>
    <x v="586"/>
    <x v="0"/>
    <x v="1214"/>
    <n v="1988"/>
    <n v="26"/>
    <x v="15"/>
    <s v="Benin"/>
    <n v="6300000"/>
    <n v="6300000"/>
    <x v="0"/>
    <n v="18"/>
    <n v="1657"/>
    <x v="2"/>
    <n v="597"/>
    <x v="0"/>
    <x v="4"/>
    <x v="0"/>
    <n v="18"/>
    <n v="3"/>
    <n v="61"/>
    <n v="18"/>
    <n v="2"/>
    <n v="20"/>
    <n v="3"/>
    <n v="0"/>
    <n v="0"/>
    <n v="6"/>
    <n v="0"/>
    <n v="6"/>
    <n v="0"/>
    <n v="2"/>
    <n v="3"/>
    <n v="6"/>
    <n v="24"/>
    <n v="0"/>
    <n v="11"/>
    <n v="0"/>
    <n v="0"/>
    <n v="29"/>
    <n v="208"/>
    <n v="147"/>
  </r>
  <r>
    <x v="586"/>
    <x v="3"/>
    <x v="1215"/>
    <n v="1988"/>
    <n v="27"/>
    <x v="2"/>
    <s v="Benin"/>
    <n v="6300000"/>
    <n v="6300000"/>
    <x v="0"/>
    <n v="16"/>
    <n v="525"/>
    <x v="4"/>
    <n v="218"/>
    <x v="0"/>
    <x v="6"/>
    <x v="0"/>
    <n v="12"/>
    <n v="3"/>
    <n v="16"/>
    <n v="5"/>
    <n v="1"/>
    <n v="7"/>
    <n v="0"/>
    <n v="0"/>
    <n v="0"/>
    <n v="3"/>
    <n v="0"/>
    <n v="1"/>
    <n v="0"/>
    <n v="2"/>
    <n v="1"/>
    <n v="2"/>
    <n v="8"/>
    <n v="0"/>
    <n v="6"/>
    <n v="0"/>
    <n v="0"/>
    <n v="9"/>
    <n v="81"/>
    <n v="33"/>
  </r>
  <r>
    <x v="587"/>
    <x v="0"/>
    <x v="1216"/>
    <n v="1986"/>
    <n v="29"/>
    <x v="21"/>
    <s v="Scotland"/>
    <n v="2700000"/>
    <n v="2700000"/>
    <x v="1"/>
    <n v="30"/>
    <n v="2698"/>
    <x v="7"/>
    <n v="1118"/>
    <x v="0"/>
    <x v="5"/>
    <x v="1"/>
    <n v="0"/>
    <n v="0"/>
    <n v="18"/>
    <n v="6"/>
    <n v="0"/>
    <n v="116"/>
    <n v="0"/>
    <n v="0"/>
    <n v="0"/>
    <n v="0"/>
    <n v="0"/>
    <n v="0"/>
    <n v="0"/>
    <n v="18"/>
    <n v="23"/>
    <n v="37"/>
    <n v="32"/>
    <n v="0"/>
    <n v="41"/>
    <n v="1"/>
    <n v="0"/>
    <n v="201"/>
    <n v="46"/>
    <n v="32"/>
  </r>
  <r>
    <x v="588"/>
    <x v="2"/>
    <x v="1217"/>
    <n v="1986"/>
    <n v="31"/>
    <x v="11"/>
    <s v="Netherlands"/>
    <n v="5400000"/>
    <n v="4500000"/>
    <x v="2"/>
    <n v="16"/>
    <n v="1260"/>
    <x v="2"/>
    <n v="469"/>
    <x v="6"/>
    <x v="6"/>
    <x v="0"/>
    <n v="1"/>
    <n v="10"/>
    <n v="27"/>
    <n v="9"/>
    <n v="2"/>
    <n v="7"/>
    <n v="0"/>
    <n v="0"/>
    <n v="0"/>
    <n v="9"/>
    <n v="3"/>
    <n v="18"/>
    <n v="15"/>
    <n v="38"/>
    <n v="0"/>
    <n v="6"/>
    <n v="14"/>
    <n v="0"/>
    <n v="8"/>
    <n v="0"/>
    <n v="0"/>
    <n v="10"/>
    <n v="15"/>
    <n v="19"/>
  </r>
  <r>
    <x v="589"/>
    <x v="0"/>
    <x v="1218"/>
    <n v="1990"/>
    <n v="25"/>
    <x v="21"/>
    <s v="England"/>
    <n v="1350000"/>
    <n v="1800000"/>
    <x v="1"/>
    <n v="22"/>
    <n v="1838"/>
    <x v="0"/>
    <n v="562"/>
    <x v="0"/>
    <x v="1"/>
    <x v="0"/>
    <n v="2"/>
    <n v="2"/>
    <n v="8"/>
    <n v="3"/>
    <n v="0"/>
    <n v="99"/>
    <n v="0"/>
    <n v="0"/>
    <n v="0"/>
    <n v="1"/>
    <n v="0"/>
    <n v="0"/>
    <n v="0"/>
    <n v="0"/>
    <n v="14"/>
    <n v="36"/>
    <n v="14"/>
    <n v="0"/>
    <n v="20"/>
    <n v="0"/>
    <n v="1"/>
    <n v="172"/>
    <n v="58"/>
    <n v="33"/>
  </r>
  <r>
    <x v="589"/>
    <x v="2"/>
    <x v="1219"/>
    <n v="1990"/>
    <n v="28"/>
    <x v="16"/>
    <s v="England"/>
    <n v="1800000"/>
    <n v="1800000"/>
    <x v="1"/>
    <n v="34"/>
    <n v="3060"/>
    <x v="4"/>
    <n v="1346"/>
    <x v="0"/>
    <x v="11"/>
    <x v="0"/>
    <n v="0"/>
    <n v="0"/>
    <n v="15"/>
    <n v="4"/>
    <n v="0"/>
    <n v="75"/>
    <n v="1"/>
    <n v="0"/>
    <n v="0"/>
    <n v="1"/>
    <n v="1"/>
    <n v="11"/>
    <n v="0"/>
    <n v="1"/>
    <n v="21"/>
    <n v="43"/>
    <n v="37"/>
    <n v="0"/>
    <n v="58"/>
    <n v="1"/>
    <n v="0"/>
    <n v="124"/>
    <n v="123"/>
    <n v="94"/>
  </r>
  <r>
    <x v="590"/>
    <x v="0"/>
    <x v="1220"/>
    <n v="1989"/>
    <n v="25"/>
    <x v="27"/>
    <s v="England"/>
    <n v="9000000"/>
    <n v="12600000"/>
    <x v="1"/>
    <n v="32"/>
    <n v="2880"/>
    <x v="4"/>
    <n v="1121"/>
    <x v="6"/>
    <x v="8"/>
    <x v="0"/>
    <n v="0"/>
    <n v="0"/>
    <n v="12"/>
    <n v="2"/>
    <n v="0"/>
    <n v="47"/>
    <n v="0"/>
    <n v="1"/>
    <n v="0"/>
    <n v="0"/>
    <n v="1"/>
    <n v="1"/>
    <n v="52"/>
    <n v="146"/>
    <n v="7"/>
    <n v="72"/>
    <n v="30"/>
    <n v="0"/>
    <n v="43"/>
    <n v="0"/>
    <n v="0"/>
    <n v="88"/>
    <n v="37"/>
    <n v="32"/>
  </r>
  <r>
    <x v="590"/>
    <x v="3"/>
    <x v="1221"/>
    <n v="1989"/>
    <n v="26"/>
    <x v="27"/>
    <s v="England"/>
    <n v="12600000"/>
    <n v="18000000"/>
    <x v="1"/>
    <n v="28"/>
    <n v="2508"/>
    <x v="5"/>
    <n v="1307"/>
    <x v="2"/>
    <x v="6"/>
    <x v="0"/>
    <n v="0"/>
    <n v="1"/>
    <n v="19"/>
    <n v="6"/>
    <n v="0"/>
    <n v="30"/>
    <n v="1"/>
    <n v="0"/>
    <n v="0"/>
    <n v="2"/>
    <n v="2"/>
    <n v="0"/>
    <n v="12"/>
    <n v="99"/>
    <n v="10"/>
    <n v="45"/>
    <n v="24"/>
    <n v="0"/>
    <n v="37"/>
    <n v="0"/>
    <n v="0"/>
    <n v="46"/>
    <n v="42"/>
    <n v="44"/>
  </r>
  <r>
    <x v="590"/>
    <x v="2"/>
    <x v="1222"/>
    <n v="1989"/>
    <n v="28"/>
    <x v="27"/>
    <s v="England"/>
    <n v="18000000"/>
    <n v="13500000"/>
    <x v="1"/>
    <n v="24"/>
    <n v="2160"/>
    <x v="4"/>
    <n v="774"/>
    <x v="0"/>
    <x v="9"/>
    <x v="0"/>
    <n v="0"/>
    <n v="0"/>
    <n v="16"/>
    <n v="2"/>
    <n v="1"/>
    <n v="17"/>
    <n v="0"/>
    <n v="0"/>
    <n v="0"/>
    <n v="0"/>
    <n v="1"/>
    <n v="14"/>
    <n v="30"/>
    <n v="93"/>
    <n v="5"/>
    <n v="27"/>
    <n v="26"/>
    <n v="0"/>
    <n v="46"/>
    <n v="0"/>
    <n v="0"/>
    <n v="44"/>
    <n v="38"/>
    <n v="44"/>
  </r>
  <r>
    <x v="590"/>
    <x v="1"/>
    <x v="1223"/>
    <n v="1989"/>
    <n v="28"/>
    <x v="27"/>
    <s v="England"/>
    <n v="18000000"/>
    <n v="18000000"/>
    <x v="1"/>
    <n v="35"/>
    <n v="3136"/>
    <x v="0"/>
    <n v="1480"/>
    <x v="2"/>
    <x v="4"/>
    <x v="0"/>
    <n v="0"/>
    <n v="2"/>
    <n v="20"/>
    <n v="3"/>
    <n v="2"/>
    <n v="28"/>
    <n v="0"/>
    <n v="0"/>
    <n v="0"/>
    <n v="1"/>
    <n v="1"/>
    <n v="17"/>
    <n v="33"/>
    <n v="136"/>
    <n v="9"/>
    <n v="44"/>
    <n v="32"/>
    <n v="0"/>
    <n v="48"/>
    <n v="0"/>
    <n v="0"/>
    <n v="60"/>
    <n v="44"/>
    <n v="52"/>
  </r>
  <r>
    <x v="591"/>
    <x v="3"/>
    <x v="1224"/>
    <n v="1994"/>
    <n v="22"/>
    <x v="14"/>
    <s v="Scotland"/>
    <n v="450000"/>
    <n v="4500000"/>
    <x v="2"/>
    <n v="28"/>
    <n v="1767"/>
    <x v="7"/>
    <n v="670"/>
    <x v="8"/>
    <x v="6"/>
    <x v="0"/>
    <n v="9"/>
    <n v="13"/>
    <n v="24"/>
    <n v="12"/>
    <n v="0"/>
    <n v="7"/>
    <n v="0"/>
    <n v="0"/>
    <n v="0"/>
    <n v="2"/>
    <n v="5"/>
    <n v="0"/>
    <n v="59"/>
    <n v="122"/>
    <n v="1"/>
    <n v="10"/>
    <n v="18"/>
    <n v="0"/>
    <n v="15"/>
    <n v="0"/>
    <n v="0"/>
    <n v="15"/>
    <n v="5"/>
    <n v="17"/>
  </r>
  <r>
    <x v="591"/>
    <x v="1"/>
    <x v="1225"/>
    <n v="1994"/>
    <n v="23"/>
    <x v="14"/>
    <s v="Scotland"/>
    <n v="4500000"/>
    <n v="5400000"/>
    <x v="2"/>
    <n v="26"/>
    <n v="2009"/>
    <x v="2"/>
    <n v="816"/>
    <x v="6"/>
    <x v="0"/>
    <x v="0"/>
    <n v="3"/>
    <n v="8"/>
    <n v="30"/>
    <n v="12"/>
    <n v="0"/>
    <n v="12"/>
    <n v="0"/>
    <n v="0"/>
    <n v="0"/>
    <n v="0"/>
    <n v="3"/>
    <n v="18"/>
    <n v="59"/>
    <n v="138"/>
    <n v="4"/>
    <n v="17"/>
    <n v="6"/>
    <n v="0"/>
    <n v="11"/>
    <n v="0"/>
    <n v="0"/>
    <n v="29"/>
    <n v="9"/>
    <n v="26"/>
  </r>
  <r>
    <x v="591"/>
    <x v="2"/>
    <x v="1226"/>
    <n v="1994"/>
    <n v="24"/>
    <x v="14"/>
    <s v="Scotland"/>
    <n v="5400000"/>
    <n v="27000000"/>
    <x v="2"/>
    <n v="38"/>
    <n v="3171"/>
    <x v="8"/>
    <n v="1195"/>
    <x v="18"/>
    <x v="4"/>
    <x v="0"/>
    <n v="3"/>
    <n v="10"/>
    <n v="51"/>
    <n v="25"/>
    <n v="1"/>
    <n v="4"/>
    <n v="0"/>
    <n v="0"/>
    <n v="0"/>
    <n v="10"/>
    <n v="6"/>
    <n v="26"/>
    <n v="116"/>
    <n v="271"/>
    <n v="6"/>
    <n v="22"/>
    <n v="6"/>
    <n v="0"/>
    <n v="19"/>
    <n v="0"/>
    <n v="0"/>
    <n v="19"/>
    <n v="11"/>
    <n v="28"/>
  </r>
  <r>
    <x v="592"/>
    <x v="2"/>
    <x v="1227"/>
    <n v="1992"/>
    <n v="25"/>
    <x v="3"/>
    <s v="England"/>
    <n v="3600000"/>
    <n v="4500000"/>
    <x v="1"/>
    <n v="15"/>
    <n v="1085"/>
    <x v="4"/>
    <n v="436"/>
    <x v="0"/>
    <x v="2"/>
    <x v="0"/>
    <n v="3"/>
    <n v="2"/>
    <n v="5"/>
    <n v="2"/>
    <n v="0"/>
    <n v="22"/>
    <n v="0"/>
    <n v="0"/>
    <n v="0"/>
    <n v="1"/>
    <n v="0"/>
    <n v="3"/>
    <n v="0"/>
    <n v="20"/>
    <n v="5"/>
    <n v="13"/>
    <n v="9"/>
    <n v="1"/>
    <n v="38"/>
    <n v="1"/>
    <n v="0"/>
    <n v="39"/>
    <n v="20"/>
    <n v="12"/>
  </r>
  <r>
    <x v="593"/>
    <x v="0"/>
    <x v="1228"/>
    <n v="1991"/>
    <n v="24"/>
    <x v="26"/>
    <s v="England"/>
    <n v="8250000"/>
    <n v="8250000"/>
    <x v="2"/>
    <n v="22"/>
    <n v="798"/>
    <x v="4"/>
    <n v="526"/>
    <x v="0"/>
    <x v="6"/>
    <x v="0"/>
    <n v="14"/>
    <n v="7"/>
    <n v="20"/>
    <n v="9"/>
    <n v="1"/>
    <n v="4"/>
    <n v="0"/>
    <n v="0"/>
    <n v="0"/>
    <n v="0"/>
    <n v="1"/>
    <n v="5"/>
    <n v="4"/>
    <n v="13"/>
    <n v="3"/>
    <n v="9"/>
    <n v="9"/>
    <n v="0"/>
    <n v="25"/>
    <n v="1"/>
    <n v="0"/>
    <n v="9"/>
    <n v="11"/>
    <n v="7"/>
  </r>
  <r>
    <x v="593"/>
    <x v="3"/>
    <x v="1229"/>
    <n v="1991"/>
    <n v="25"/>
    <x v="10"/>
    <s v="England"/>
    <n v="8250000"/>
    <n v="9350000"/>
    <x v="2"/>
    <n v="16"/>
    <n v="928"/>
    <x v="0"/>
    <n v="378"/>
    <x v="0"/>
    <x v="5"/>
    <x v="0"/>
    <n v="5"/>
    <n v="7"/>
    <n v="17"/>
    <n v="4"/>
    <n v="0"/>
    <n v="1"/>
    <n v="0"/>
    <n v="0"/>
    <n v="0"/>
    <n v="0"/>
    <n v="1"/>
    <n v="0"/>
    <n v="3"/>
    <n v="25"/>
    <n v="4"/>
    <n v="14"/>
    <n v="9"/>
    <n v="0"/>
    <n v="13"/>
    <n v="0"/>
    <n v="0"/>
    <n v="10"/>
    <n v="4"/>
    <n v="13"/>
  </r>
  <r>
    <x v="594"/>
    <x v="2"/>
    <x v="1230"/>
    <n v="2000"/>
    <n v="18"/>
    <x v="11"/>
    <s v="England"/>
    <n v="31500000"/>
    <n v="31500000"/>
    <x v="1"/>
    <n v="35"/>
    <n v="2294"/>
    <x v="5"/>
    <n v="687"/>
    <x v="1"/>
    <x v="0"/>
    <x v="0"/>
    <n v="9"/>
    <n v="7"/>
    <n v="28"/>
    <n v="11"/>
    <n v="0"/>
    <n v="11"/>
    <n v="0"/>
    <n v="0"/>
    <n v="0"/>
    <n v="15"/>
    <n v="5"/>
    <n v="17"/>
    <n v="27"/>
    <n v="66"/>
    <n v="2"/>
    <n v="19"/>
    <n v="20"/>
    <n v="0"/>
    <n v="23"/>
    <n v="0"/>
    <n v="0"/>
    <n v="38"/>
    <n v="18"/>
    <n v="40"/>
  </r>
  <r>
    <x v="595"/>
    <x v="0"/>
    <x v="1231"/>
    <n v="1987"/>
    <n v="27"/>
    <x v="25"/>
    <s v="England"/>
    <n v="8100000"/>
    <n v="9900000"/>
    <x v="1"/>
    <n v="20"/>
    <n v="1697"/>
    <x v="0"/>
    <n v="592"/>
    <x v="0"/>
    <x v="4"/>
    <x v="0"/>
    <n v="0"/>
    <n v="1"/>
    <n v="8"/>
    <n v="0"/>
    <n v="0"/>
    <n v="46"/>
    <n v="0"/>
    <n v="0"/>
    <n v="0"/>
    <n v="3"/>
    <n v="0"/>
    <n v="0"/>
    <n v="0"/>
    <n v="0"/>
    <n v="19"/>
    <n v="39"/>
    <n v="18"/>
    <n v="0"/>
    <n v="43"/>
    <n v="0"/>
    <n v="0"/>
    <n v="94"/>
    <n v="50"/>
    <n v="25"/>
  </r>
  <r>
    <x v="595"/>
    <x v="1"/>
    <x v="1232"/>
    <n v="1987"/>
    <n v="30"/>
    <x v="25"/>
    <s v="England"/>
    <n v="9900000"/>
    <n v="9000000"/>
    <x v="1"/>
    <n v="27"/>
    <n v="2372"/>
    <x v="4"/>
    <n v="665"/>
    <x v="3"/>
    <x v="4"/>
    <x v="0"/>
    <n v="0"/>
    <n v="1"/>
    <n v="24"/>
    <n v="8"/>
    <n v="1"/>
    <n v="135"/>
    <n v="1"/>
    <n v="0"/>
    <n v="0"/>
    <n v="4"/>
    <n v="0"/>
    <n v="16"/>
    <n v="0"/>
    <n v="0"/>
    <n v="23"/>
    <n v="40"/>
    <n v="26"/>
    <n v="3"/>
    <n v="36"/>
    <n v="1"/>
    <n v="1"/>
    <n v="215"/>
    <n v="154"/>
    <n v="79"/>
  </r>
  <r>
    <x v="595"/>
    <x v="3"/>
    <x v="1233"/>
    <n v="1987"/>
    <n v="28"/>
    <x v="25"/>
    <s v="England"/>
    <n v="9900000"/>
    <n v="9900000"/>
    <x v="1"/>
    <n v="35"/>
    <n v="3150"/>
    <x v="4"/>
    <n v="996"/>
    <x v="3"/>
    <x v="8"/>
    <x v="0"/>
    <n v="0"/>
    <n v="0"/>
    <n v="20"/>
    <n v="7"/>
    <n v="1"/>
    <n v="135"/>
    <n v="0"/>
    <n v="0"/>
    <n v="0"/>
    <n v="2"/>
    <n v="0"/>
    <n v="0"/>
    <n v="0"/>
    <n v="1"/>
    <n v="32"/>
    <n v="58"/>
    <n v="34"/>
    <n v="0"/>
    <n v="46"/>
    <n v="2"/>
    <n v="2"/>
    <n v="227"/>
    <n v="129"/>
    <n v="73"/>
  </r>
  <r>
    <x v="596"/>
    <x v="0"/>
    <x v="1234"/>
    <n v="1987"/>
    <n v="27"/>
    <x v="18"/>
    <s v="Cameroon"/>
    <n v="1800000"/>
    <n v="675000"/>
    <x v="1"/>
    <n v="32"/>
    <n v="2789"/>
    <x v="4"/>
    <n v="882"/>
    <x v="0"/>
    <x v="5"/>
    <x v="0"/>
    <n v="2"/>
    <n v="1"/>
    <n v="20"/>
    <n v="3"/>
    <n v="0"/>
    <n v="166"/>
    <n v="0"/>
    <n v="0"/>
    <n v="0"/>
    <n v="3"/>
    <n v="0"/>
    <n v="1"/>
    <n v="0"/>
    <n v="2"/>
    <n v="19"/>
    <n v="53"/>
    <n v="25"/>
    <n v="1"/>
    <n v="27"/>
    <n v="2"/>
    <n v="0"/>
    <n v="256"/>
    <n v="95"/>
    <n v="41"/>
  </r>
  <r>
    <x v="597"/>
    <x v="0"/>
    <x v="1235"/>
    <n v="1992"/>
    <n v="23"/>
    <x v="27"/>
    <s v="Senegal"/>
    <n v="19800000"/>
    <n v="27000000"/>
    <x v="0"/>
    <n v="28"/>
    <n v="2386"/>
    <x v="4"/>
    <n v="1044"/>
    <x v="6"/>
    <x v="5"/>
    <x v="0"/>
    <n v="1"/>
    <n v="4"/>
    <n v="27"/>
    <n v="6"/>
    <n v="1"/>
    <n v="35"/>
    <n v="1"/>
    <n v="0"/>
    <n v="0"/>
    <n v="8"/>
    <n v="0"/>
    <n v="3"/>
    <n v="0"/>
    <n v="93"/>
    <n v="11"/>
    <n v="36"/>
    <n v="20"/>
    <n v="0"/>
    <n v="58"/>
    <n v="0"/>
    <n v="1"/>
    <n v="71"/>
    <n v="13"/>
    <n v="22"/>
  </r>
  <r>
    <x v="597"/>
    <x v="1"/>
    <x v="1236"/>
    <n v="1992"/>
    <n v="25"/>
    <x v="13"/>
    <s v="Senegal"/>
    <n v="36000000"/>
    <n v="63000000"/>
    <x v="0"/>
    <n v="29"/>
    <n v="2206"/>
    <x v="15"/>
    <n v="962"/>
    <x v="4"/>
    <x v="6"/>
    <x v="1"/>
    <n v="1"/>
    <n v="18"/>
    <n v="70"/>
    <n v="26"/>
    <n v="3"/>
    <n v="6"/>
    <n v="0"/>
    <n v="0"/>
    <n v="0"/>
    <n v="12"/>
    <n v="10"/>
    <n v="44"/>
    <n v="1"/>
    <n v="32"/>
    <n v="0"/>
    <n v="9"/>
    <n v="24"/>
    <n v="0"/>
    <n v="28"/>
    <n v="0"/>
    <n v="0"/>
    <n v="7"/>
    <n v="27"/>
    <n v="61"/>
  </r>
  <r>
    <x v="597"/>
    <x v="2"/>
    <x v="1237"/>
    <n v="1992"/>
    <n v="26"/>
    <x v="13"/>
    <s v="Senegal"/>
    <n v="63000000"/>
    <n v="108000000"/>
    <x v="0"/>
    <n v="36"/>
    <n v="3085"/>
    <x v="25"/>
    <n v="1184"/>
    <x v="3"/>
    <x v="0"/>
    <x v="0"/>
    <n v="1"/>
    <n v="10"/>
    <n v="87"/>
    <n v="42"/>
    <n v="5"/>
    <n v="2"/>
    <n v="6"/>
    <n v="0"/>
    <n v="0"/>
    <n v="25"/>
    <n v="14"/>
    <n v="45"/>
    <n v="2"/>
    <n v="39"/>
    <n v="4"/>
    <n v="15"/>
    <n v="34"/>
    <n v="0"/>
    <n v="34"/>
    <n v="0"/>
    <n v="0"/>
    <n v="8"/>
    <n v="37"/>
    <n v="76"/>
  </r>
  <r>
    <x v="597"/>
    <x v="3"/>
    <x v="1238"/>
    <n v="1992"/>
    <n v="24"/>
    <x v="13"/>
    <s v="Senegal"/>
    <n v="27000000"/>
    <n v="36000000"/>
    <x v="0"/>
    <n v="27"/>
    <n v="2240"/>
    <x v="11"/>
    <n v="1020"/>
    <x v="8"/>
    <x v="5"/>
    <x v="0"/>
    <n v="1"/>
    <n v="13"/>
    <n v="57"/>
    <n v="24"/>
    <n v="2"/>
    <n v="5"/>
    <n v="1"/>
    <n v="0"/>
    <n v="0"/>
    <n v="13"/>
    <n v="3"/>
    <n v="3"/>
    <n v="1"/>
    <n v="41"/>
    <n v="0"/>
    <n v="8"/>
    <n v="32"/>
    <n v="0"/>
    <n v="23"/>
    <n v="0"/>
    <n v="0"/>
    <n v="10"/>
    <n v="42"/>
    <n v="75"/>
  </r>
  <r>
    <x v="598"/>
    <x v="3"/>
    <x v="1239"/>
    <n v="1993"/>
    <n v="22"/>
    <x v="25"/>
    <s v="Burundi"/>
    <n v="13500000"/>
    <n v="13500000"/>
    <x v="0"/>
    <n v="17"/>
    <n v="966"/>
    <x v="0"/>
    <n v="168"/>
    <x v="0"/>
    <x v="3"/>
    <x v="0"/>
    <n v="6"/>
    <n v="9"/>
    <n v="19"/>
    <n v="9"/>
    <n v="0"/>
    <n v="1"/>
    <n v="0"/>
    <n v="0"/>
    <n v="0"/>
    <n v="8"/>
    <n v="1"/>
    <n v="4"/>
    <n v="0"/>
    <n v="1"/>
    <n v="1"/>
    <n v="1"/>
    <n v="20"/>
    <n v="0"/>
    <n v="9"/>
    <n v="0"/>
    <n v="0"/>
    <n v="2"/>
    <n v="4"/>
    <n v="29"/>
  </r>
  <r>
    <x v="598"/>
    <x v="1"/>
    <x v="1240"/>
    <n v="1993"/>
    <n v="24"/>
    <x v="25"/>
    <s v="Burundi"/>
    <n v="13500000"/>
    <n v="7200000"/>
    <x v="0"/>
    <n v="15"/>
    <n v="485"/>
    <x v="0"/>
    <n v="95"/>
    <x v="3"/>
    <x v="0"/>
    <x v="0"/>
    <n v="12"/>
    <n v="2"/>
    <n v="10"/>
    <n v="4"/>
    <n v="0"/>
    <n v="0"/>
    <n v="0"/>
    <n v="0"/>
    <n v="0"/>
    <n v="4"/>
    <n v="1"/>
    <n v="6"/>
    <n v="0"/>
    <n v="4"/>
    <n v="1"/>
    <n v="1"/>
    <n v="6"/>
    <n v="0"/>
    <n v="2"/>
    <n v="0"/>
    <n v="0"/>
    <n v="2"/>
    <n v="6"/>
    <n v="19"/>
  </r>
  <r>
    <x v="599"/>
    <x v="3"/>
    <x v="1241"/>
    <n v="1989"/>
    <n v="26"/>
    <x v="18"/>
    <s v="Venezuela"/>
    <n v="18700000"/>
    <n v="13500000"/>
    <x v="0"/>
    <n v="38"/>
    <n v="2895"/>
    <x v="9"/>
    <n v="722"/>
    <x v="5"/>
    <x v="4"/>
    <x v="0"/>
    <n v="6"/>
    <n v="11"/>
    <n v="94"/>
    <n v="26"/>
    <n v="2"/>
    <n v="32"/>
    <n v="5"/>
    <n v="0"/>
    <n v="0"/>
    <n v="29"/>
    <n v="6"/>
    <n v="8"/>
    <n v="0"/>
    <n v="9"/>
    <n v="2"/>
    <n v="7"/>
    <n v="41"/>
    <n v="0"/>
    <n v="18"/>
    <n v="1"/>
    <n v="0"/>
    <n v="41"/>
    <n v="107"/>
    <n v="216"/>
  </r>
  <r>
    <x v="599"/>
    <x v="1"/>
    <x v="1242"/>
    <n v="1989"/>
    <n v="28"/>
    <x v="18"/>
    <s v="Venezuela"/>
    <n v="13500000"/>
    <n v="11700000"/>
    <x v="0"/>
    <n v="36"/>
    <n v="2771"/>
    <x v="8"/>
    <n v="833"/>
    <x v="6"/>
    <x v="5"/>
    <x v="0"/>
    <n v="4"/>
    <n v="9"/>
    <n v="79"/>
    <n v="29"/>
    <n v="2"/>
    <n v="17"/>
    <n v="1"/>
    <n v="0"/>
    <n v="0"/>
    <n v="28"/>
    <n v="4"/>
    <n v="50"/>
    <n v="0"/>
    <n v="35"/>
    <n v="0"/>
    <n v="15"/>
    <n v="42"/>
    <n v="0"/>
    <n v="14"/>
    <n v="0"/>
    <n v="0"/>
    <n v="20"/>
    <n v="165"/>
    <n v="208"/>
  </r>
  <r>
    <x v="599"/>
    <x v="2"/>
    <x v="1243"/>
    <n v="1989"/>
    <n v="28"/>
    <x v="20"/>
    <s v="Venezuela"/>
    <n v="11700000"/>
    <n v="13500000"/>
    <x v="0"/>
    <n v="32"/>
    <n v="2608"/>
    <x v="1"/>
    <n v="735"/>
    <x v="4"/>
    <x v="0"/>
    <x v="0"/>
    <n v="2"/>
    <n v="8"/>
    <n v="89"/>
    <n v="29"/>
    <n v="6"/>
    <n v="26"/>
    <n v="2"/>
    <n v="0"/>
    <n v="1"/>
    <n v="20"/>
    <n v="4"/>
    <n v="60"/>
    <n v="0"/>
    <n v="14"/>
    <n v="3"/>
    <n v="5"/>
    <n v="22"/>
    <n v="0"/>
    <n v="8"/>
    <n v="0"/>
    <n v="0"/>
    <n v="38"/>
    <n v="146"/>
    <n v="234"/>
  </r>
  <r>
    <x v="599"/>
    <x v="0"/>
    <x v="1244"/>
    <n v="1989"/>
    <n v="25"/>
    <x v="18"/>
    <s v="Venezuela"/>
    <n v="15300000"/>
    <n v="15300000"/>
    <x v="0"/>
    <n v="37"/>
    <n v="2604"/>
    <x v="1"/>
    <n v="964"/>
    <x v="1"/>
    <x v="5"/>
    <x v="2"/>
    <n v="7"/>
    <n v="15"/>
    <n v="86"/>
    <n v="34"/>
    <n v="1"/>
    <n v="6"/>
    <n v="1"/>
    <n v="0"/>
    <n v="0"/>
    <n v="27"/>
    <n v="5"/>
    <n v="12"/>
    <n v="1"/>
    <n v="68"/>
    <n v="0"/>
    <n v="35"/>
    <n v="44"/>
    <n v="0"/>
    <n v="54"/>
    <n v="0"/>
    <n v="0"/>
    <n v="14"/>
    <n v="29"/>
    <n v="47"/>
  </r>
  <r>
    <x v="600"/>
    <x v="3"/>
    <x v="1245"/>
    <n v="1993"/>
    <n v="22"/>
    <x v="3"/>
    <s v="England"/>
    <n v="3850000"/>
    <n v="4950000"/>
    <x v="2"/>
    <n v="18"/>
    <n v="1247"/>
    <x v="0"/>
    <n v="435"/>
    <x v="3"/>
    <x v="2"/>
    <x v="1"/>
    <n v="5"/>
    <n v="2"/>
    <n v="8"/>
    <n v="0"/>
    <n v="0"/>
    <n v="34"/>
    <n v="0"/>
    <n v="0"/>
    <n v="0"/>
    <n v="2"/>
    <n v="1"/>
    <n v="0"/>
    <n v="0"/>
    <n v="27"/>
    <n v="4"/>
    <n v="42"/>
    <n v="21"/>
    <n v="0"/>
    <n v="24"/>
    <n v="0"/>
    <n v="0"/>
    <n v="59"/>
    <n v="23"/>
    <n v="22"/>
  </r>
  <r>
    <x v="600"/>
    <x v="0"/>
    <x v="1246"/>
    <n v="1993"/>
    <n v="21"/>
    <x v="3"/>
    <s v="Burundi"/>
    <n v="4500000"/>
    <n v="4500000"/>
    <x v="2"/>
    <n v="19"/>
    <n v="1741"/>
    <x v="6"/>
    <n v="457"/>
    <x v="0"/>
    <x v="0"/>
    <x v="0"/>
    <n v="14"/>
    <n v="10"/>
    <n v="35"/>
    <n v="11"/>
    <n v="1"/>
    <n v="1"/>
    <n v="0"/>
    <n v="0"/>
    <n v="0"/>
    <n v="10"/>
    <n v="1"/>
    <n v="7"/>
    <n v="10"/>
    <n v="22"/>
    <n v="1"/>
    <n v="7"/>
    <n v="18"/>
    <n v="0"/>
    <n v="18"/>
    <n v="0"/>
    <n v="0"/>
    <n v="1"/>
    <n v="10"/>
    <n v="25"/>
  </r>
  <r>
    <x v="601"/>
    <x v="1"/>
    <x v="1247"/>
    <n v="1990"/>
    <n v="27"/>
    <x v="0"/>
    <s v="England"/>
    <n v="2750000"/>
    <n v="8800000"/>
    <x v="2"/>
    <n v="29"/>
    <n v="2042"/>
    <x v="7"/>
    <n v="786"/>
    <x v="3"/>
    <x v="4"/>
    <x v="0"/>
    <n v="6"/>
    <n v="7"/>
    <n v="19"/>
    <n v="7"/>
    <n v="0"/>
    <n v="17"/>
    <n v="0"/>
    <n v="0"/>
    <n v="0"/>
    <n v="3"/>
    <n v="2"/>
    <n v="12"/>
    <n v="24"/>
    <n v="55"/>
    <n v="7"/>
    <n v="29"/>
    <n v="10"/>
    <n v="0"/>
    <n v="34"/>
    <n v="0"/>
    <n v="0"/>
    <n v="30"/>
    <n v="37"/>
    <n v="36"/>
  </r>
  <r>
    <x v="601"/>
    <x v="3"/>
    <x v="1248"/>
    <n v="1990"/>
    <n v="25"/>
    <x v="10"/>
    <s v="England"/>
    <n v="1650000"/>
    <n v="2750000"/>
    <x v="2"/>
    <n v="37"/>
    <n v="3188"/>
    <x v="7"/>
    <n v="1537"/>
    <x v="3"/>
    <x v="10"/>
    <x v="1"/>
    <n v="1"/>
    <n v="6"/>
    <n v="42"/>
    <n v="7"/>
    <n v="0"/>
    <n v="24"/>
    <n v="0"/>
    <n v="0"/>
    <n v="0"/>
    <n v="1"/>
    <n v="2"/>
    <n v="1"/>
    <n v="18"/>
    <n v="62"/>
    <n v="9"/>
    <n v="54"/>
    <n v="22"/>
    <n v="0"/>
    <n v="89"/>
    <n v="0"/>
    <n v="0"/>
    <n v="66"/>
    <n v="39"/>
    <n v="38"/>
  </r>
  <r>
    <x v="602"/>
    <x v="1"/>
    <x v="1249"/>
    <n v="1998"/>
    <n v="19"/>
    <x v="18"/>
    <s v="England"/>
    <n v="250000"/>
    <n v="1500000"/>
    <x v="2"/>
    <n v="10"/>
    <n v="539"/>
    <x v="4"/>
    <n v="166"/>
    <x v="0"/>
    <x v="6"/>
    <x v="0"/>
    <n v="3"/>
    <n v="6"/>
    <n v="1"/>
    <n v="1"/>
    <n v="0"/>
    <n v="6"/>
    <n v="0"/>
    <n v="0"/>
    <n v="0"/>
    <n v="0"/>
    <n v="0"/>
    <n v="0"/>
    <n v="2"/>
    <n v="8"/>
    <n v="1"/>
    <n v="11"/>
    <n v="11"/>
    <n v="0"/>
    <n v="14"/>
    <n v="0"/>
    <n v="0"/>
    <n v="7"/>
    <n v="8"/>
    <n v="9"/>
  </r>
  <r>
    <x v="603"/>
    <x v="3"/>
    <x v="1250"/>
    <n v="1995"/>
    <n v="21"/>
    <x v="27"/>
    <s v="England"/>
    <n v="250000"/>
    <n v="750000"/>
    <x v="2"/>
    <n v="13"/>
    <n v="608"/>
    <x v="0"/>
    <n v="301"/>
    <x v="0"/>
    <x v="0"/>
    <x v="0"/>
    <n v="8"/>
    <n v="0"/>
    <n v="1"/>
    <n v="0"/>
    <n v="0"/>
    <n v="13"/>
    <n v="0"/>
    <n v="0"/>
    <n v="0"/>
    <n v="0"/>
    <n v="0"/>
    <n v="0"/>
    <n v="0"/>
    <n v="37"/>
    <n v="4"/>
    <n v="15"/>
    <n v="3"/>
    <n v="0"/>
    <n v="16"/>
    <n v="0"/>
    <n v="0"/>
    <n v="25"/>
    <n v="21"/>
    <n v="11"/>
  </r>
  <r>
    <x v="604"/>
    <x v="3"/>
    <x v="1251"/>
    <n v="1989"/>
    <n v="26"/>
    <x v="5"/>
    <s v="Wales"/>
    <n v="3850000"/>
    <n v="4400000"/>
    <x v="0"/>
    <n v="37"/>
    <n v="2055"/>
    <x v="15"/>
    <n v="602"/>
    <x v="6"/>
    <x v="0"/>
    <x v="0"/>
    <n v="16"/>
    <n v="7"/>
    <n v="57"/>
    <n v="23"/>
    <n v="0"/>
    <n v="27"/>
    <n v="2"/>
    <n v="2"/>
    <n v="0"/>
    <n v="23"/>
    <n v="3"/>
    <n v="3"/>
    <n v="0"/>
    <n v="7"/>
    <n v="8"/>
    <n v="5"/>
    <n v="24"/>
    <n v="0"/>
    <n v="7"/>
    <n v="0"/>
    <n v="0"/>
    <n v="31"/>
    <n v="212"/>
    <n v="209"/>
  </r>
  <r>
    <x v="604"/>
    <x v="1"/>
    <x v="1252"/>
    <n v="1989"/>
    <n v="28"/>
    <x v="5"/>
    <s v="Wales"/>
    <n v="4000000"/>
    <n v="5400000"/>
    <x v="0"/>
    <n v="30"/>
    <n v="980"/>
    <x v="6"/>
    <n v="265"/>
    <x v="3"/>
    <x v="6"/>
    <x v="0"/>
    <n v="23"/>
    <n v="3"/>
    <n v="33"/>
    <n v="8"/>
    <n v="1"/>
    <n v="13"/>
    <n v="2"/>
    <n v="0"/>
    <n v="0"/>
    <n v="12"/>
    <n v="0"/>
    <n v="25"/>
    <n v="0"/>
    <n v="1"/>
    <n v="2"/>
    <n v="3"/>
    <n v="20"/>
    <n v="0"/>
    <n v="3"/>
    <n v="0"/>
    <n v="0"/>
    <n v="14"/>
    <n v="124"/>
    <n v="98"/>
  </r>
  <r>
    <x v="604"/>
    <x v="2"/>
    <x v="1253"/>
    <n v="1989"/>
    <n v="28"/>
    <x v="5"/>
    <s v="Wales"/>
    <n v="5400000"/>
    <n v="4500000"/>
    <x v="0"/>
    <n v="20"/>
    <n v="914"/>
    <x v="7"/>
    <n v="268"/>
    <x v="0"/>
    <x v="0"/>
    <x v="0"/>
    <n v="10"/>
    <n v="8"/>
    <n v="22"/>
    <n v="7"/>
    <n v="0"/>
    <n v="15"/>
    <n v="3"/>
    <n v="0"/>
    <n v="0"/>
    <n v="7"/>
    <n v="0"/>
    <n v="15"/>
    <n v="0"/>
    <n v="0"/>
    <n v="1"/>
    <n v="0"/>
    <n v="14"/>
    <n v="0"/>
    <n v="4"/>
    <n v="0"/>
    <n v="0"/>
    <n v="17"/>
    <n v="125"/>
    <n v="108"/>
  </r>
  <r>
    <x v="605"/>
    <x v="0"/>
    <x v="1254"/>
    <n v="1987"/>
    <n v="28"/>
    <x v="19"/>
    <s v="Venezuela"/>
    <n v="23100000"/>
    <n v="13500000"/>
    <x v="0"/>
    <n v="34"/>
    <n v="2564"/>
    <x v="3"/>
    <n v="630"/>
    <x v="5"/>
    <x v="3"/>
    <x v="0"/>
    <n v="4"/>
    <n v="15"/>
    <n v="71"/>
    <n v="21"/>
    <n v="0"/>
    <n v="35"/>
    <n v="4"/>
    <n v="0"/>
    <n v="0"/>
    <n v="26"/>
    <n v="1"/>
    <n v="7"/>
    <n v="0"/>
    <n v="32"/>
    <n v="0"/>
    <n v="14"/>
    <n v="35"/>
    <n v="0"/>
    <n v="9"/>
    <n v="0"/>
    <n v="0"/>
    <n v="45"/>
    <n v="91"/>
    <n v="163"/>
  </r>
  <r>
    <x v="606"/>
    <x v="0"/>
    <x v="1255"/>
    <n v="1984"/>
    <n v="30"/>
    <x v="7"/>
    <s v="Spain"/>
    <n v="23400000"/>
    <n v="18000000"/>
    <x v="2"/>
    <n v="12"/>
    <n v="535"/>
    <x v="5"/>
    <n v="416"/>
    <x v="5"/>
    <x v="6"/>
    <x v="0"/>
    <n v="8"/>
    <n v="2"/>
    <n v="14"/>
    <n v="7"/>
    <n v="0"/>
    <n v="0"/>
    <n v="0"/>
    <n v="0"/>
    <n v="0"/>
    <n v="0"/>
    <n v="5"/>
    <n v="3"/>
    <n v="7"/>
    <n v="17"/>
    <n v="0"/>
    <n v="2"/>
    <n v="4"/>
    <n v="0"/>
    <n v="11"/>
    <n v="0"/>
    <n v="0"/>
    <n v="0"/>
    <n v="0"/>
    <n v="7"/>
  </r>
  <r>
    <x v="607"/>
    <x v="3"/>
    <x v="1256"/>
    <n v="1988"/>
    <n v="27"/>
    <x v="5"/>
    <s v="Canada"/>
    <n v="3300000"/>
    <n v="3300000"/>
    <x v="2"/>
    <n v="31"/>
    <n v="2104"/>
    <x v="4"/>
    <n v="621"/>
    <x v="0"/>
    <x v="6"/>
    <x v="0"/>
    <n v="8"/>
    <n v="13"/>
    <n v="44"/>
    <n v="7"/>
    <n v="0"/>
    <n v="11"/>
    <n v="0"/>
    <n v="0"/>
    <n v="0"/>
    <n v="3"/>
    <n v="4"/>
    <n v="2"/>
    <n v="45"/>
    <n v="70"/>
    <n v="7"/>
    <n v="33"/>
    <n v="37"/>
    <n v="0"/>
    <n v="36"/>
    <n v="0"/>
    <n v="0"/>
    <n v="27"/>
    <n v="23"/>
    <n v="41"/>
  </r>
  <r>
    <x v="607"/>
    <x v="1"/>
    <x v="1257"/>
    <n v="1988"/>
    <n v="29"/>
    <x v="5"/>
    <s v="Canada"/>
    <n v="3300000"/>
    <n v="3300000"/>
    <x v="2"/>
    <n v="18"/>
    <n v="1335"/>
    <x v="5"/>
    <n v="353"/>
    <x v="3"/>
    <x v="6"/>
    <x v="0"/>
    <n v="3"/>
    <n v="6"/>
    <n v="18"/>
    <n v="7"/>
    <n v="1"/>
    <n v="9"/>
    <n v="0"/>
    <n v="0"/>
    <n v="0"/>
    <n v="1"/>
    <n v="1"/>
    <n v="11"/>
    <n v="1"/>
    <n v="8"/>
    <n v="1"/>
    <n v="12"/>
    <n v="21"/>
    <n v="0"/>
    <n v="36"/>
    <n v="0"/>
    <n v="0"/>
    <n v="20"/>
    <n v="12"/>
    <n v="31"/>
  </r>
  <r>
    <x v="608"/>
    <x v="0"/>
    <x v="1258"/>
    <n v="1987"/>
    <n v="28"/>
    <x v="8"/>
    <s v="England"/>
    <n v="2700000"/>
    <n v="4500000"/>
    <x v="1"/>
    <n v="12"/>
    <n v="379"/>
    <x v="0"/>
    <n v="138"/>
    <x v="0"/>
    <x v="0"/>
    <x v="0"/>
    <n v="7"/>
    <n v="3"/>
    <n v="3"/>
    <n v="0"/>
    <n v="0"/>
    <n v="4"/>
    <n v="0"/>
    <n v="0"/>
    <n v="0"/>
    <n v="0"/>
    <n v="0"/>
    <n v="0"/>
    <n v="0"/>
    <n v="3"/>
    <n v="3"/>
    <n v="13"/>
    <n v="5"/>
    <n v="0"/>
    <n v="10"/>
    <n v="0"/>
    <n v="0"/>
    <n v="12"/>
    <n v="15"/>
    <n v="7"/>
  </r>
  <r>
    <x v="608"/>
    <x v="2"/>
    <x v="1259"/>
    <n v="1987"/>
    <n v="31"/>
    <x v="8"/>
    <s v="England"/>
    <n v="4500000"/>
    <n v="3600000"/>
    <x v="1"/>
    <n v="10"/>
    <n v="661"/>
    <x v="0"/>
    <n v="264"/>
    <x v="3"/>
    <x v="3"/>
    <x v="0"/>
    <n v="3"/>
    <n v="0"/>
    <n v="6"/>
    <n v="1"/>
    <n v="0"/>
    <n v="25"/>
    <n v="0"/>
    <n v="0"/>
    <n v="0"/>
    <n v="0"/>
    <n v="0"/>
    <n v="5"/>
    <n v="0"/>
    <n v="0"/>
    <n v="12"/>
    <n v="5"/>
    <n v="4"/>
    <n v="0"/>
    <n v="6"/>
    <n v="0"/>
    <n v="0"/>
    <n v="44"/>
    <n v="26"/>
    <n v="16"/>
  </r>
  <r>
    <x v="608"/>
    <x v="1"/>
    <x v="1260"/>
    <n v="1987"/>
    <n v="30"/>
    <x v="8"/>
    <s v="England"/>
    <n v="4500000"/>
    <n v="4500000"/>
    <x v="1"/>
    <n v="17"/>
    <n v="1435"/>
    <x v="4"/>
    <n v="566"/>
    <x v="0"/>
    <x v="5"/>
    <x v="0"/>
    <n v="1"/>
    <n v="1"/>
    <n v="19"/>
    <n v="5"/>
    <n v="0"/>
    <n v="60"/>
    <n v="0"/>
    <n v="0"/>
    <n v="0"/>
    <n v="2"/>
    <n v="1"/>
    <n v="14"/>
    <n v="0"/>
    <n v="2"/>
    <n v="14"/>
    <n v="23"/>
    <n v="12"/>
    <n v="0"/>
    <n v="10"/>
    <n v="1"/>
    <n v="0"/>
    <n v="97"/>
    <n v="49"/>
    <n v="33"/>
  </r>
  <r>
    <x v="608"/>
    <x v="3"/>
    <x v="1261"/>
    <n v="1987"/>
    <n v="29"/>
    <x v="8"/>
    <s v="England"/>
    <n v="4500000"/>
    <n v="4500000"/>
    <x v="1"/>
    <n v="23"/>
    <n v="1744"/>
    <x v="7"/>
    <n v="608"/>
    <x v="3"/>
    <x v="4"/>
    <x v="0"/>
    <n v="4"/>
    <n v="1"/>
    <n v="21"/>
    <n v="10"/>
    <n v="0"/>
    <n v="65"/>
    <n v="2"/>
    <n v="0"/>
    <n v="0"/>
    <n v="0"/>
    <n v="0"/>
    <n v="0"/>
    <n v="0"/>
    <n v="3"/>
    <n v="19"/>
    <n v="32"/>
    <n v="14"/>
    <n v="0"/>
    <n v="17"/>
    <n v="0"/>
    <n v="0"/>
    <n v="102"/>
    <n v="68"/>
    <n v="52"/>
  </r>
  <r>
    <x v="609"/>
    <x v="1"/>
    <x v="1262"/>
    <n v="1991"/>
    <n v="26"/>
    <x v="6"/>
    <s v="England"/>
    <n v="2750000"/>
    <n v="3300000"/>
    <x v="1"/>
    <n v="22"/>
    <n v="1115"/>
    <x v="0"/>
    <n v="493"/>
    <x v="3"/>
    <x v="6"/>
    <x v="0"/>
    <n v="10"/>
    <n v="6"/>
    <n v="2"/>
    <n v="2"/>
    <n v="0"/>
    <n v="13"/>
    <n v="0"/>
    <n v="0"/>
    <n v="0"/>
    <n v="0"/>
    <n v="0"/>
    <n v="0"/>
    <n v="0"/>
    <n v="46"/>
    <n v="2"/>
    <n v="26"/>
    <n v="19"/>
    <n v="0"/>
    <n v="39"/>
    <n v="2"/>
    <n v="0"/>
    <n v="38"/>
    <n v="14"/>
    <n v="13"/>
  </r>
  <r>
    <x v="610"/>
    <x v="1"/>
    <x v="1263"/>
    <n v="1996"/>
    <n v="21"/>
    <x v="22"/>
    <s v="Scotland"/>
    <n v="900000"/>
    <n v="6300000"/>
    <x v="2"/>
    <n v="13"/>
    <n v="629"/>
    <x v="0"/>
    <n v="343"/>
    <x v="0"/>
    <x v="4"/>
    <x v="0"/>
    <n v="6"/>
    <n v="1"/>
    <n v="0"/>
    <n v="0"/>
    <n v="0"/>
    <n v="8"/>
    <n v="0"/>
    <n v="0"/>
    <n v="0"/>
    <n v="0"/>
    <n v="1"/>
    <n v="0"/>
    <n v="0"/>
    <n v="4"/>
    <n v="0"/>
    <n v="13"/>
    <n v="7"/>
    <n v="0"/>
    <n v="11"/>
    <n v="0"/>
    <n v="0"/>
    <n v="9"/>
    <n v="12"/>
    <n v="10"/>
  </r>
  <r>
    <x v="610"/>
    <x v="2"/>
    <x v="1264"/>
    <n v="1996"/>
    <n v="21"/>
    <x v="22"/>
    <s v="Scotland"/>
    <n v="6300000"/>
    <n v="10800000"/>
    <x v="2"/>
    <n v="16"/>
    <n v="862"/>
    <x v="5"/>
    <n v="449"/>
    <x v="0"/>
    <x v="3"/>
    <x v="0"/>
    <n v="7"/>
    <n v="1"/>
    <n v="15"/>
    <n v="6"/>
    <n v="0"/>
    <n v="8"/>
    <n v="0"/>
    <n v="0"/>
    <n v="0"/>
    <n v="1"/>
    <n v="1"/>
    <n v="9"/>
    <n v="0"/>
    <n v="2"/>
    <n v="4"/>
    <n v="15"/>
    <n v="11"/>
    <n v="0"/>
    <n v="10"/>
    <n v="0"/>
    <n v="0"/>
    <n v="16"/>
    <n v="34"/>
    <n v="26"/>
  </r>
  <r>
    <x v="611"/>
    <x v="0"/>
    <x v="1265"/>
    <n v="1989"/>
    <n v="26"/>
    <x v="15"/>
    <s v="Spain"/>
    <n v="2150000"/>
    <n v="3150000"/>
    <x v="0"/>
    <n v="15"/>
    <n v="1292"/>
    <x v="0"/>
    <n v="1228"/>
    <x v="6"/>
    <x v="4"/>
    <x v="1"/>
    <n v="0"/>
    <n v="2"/>
    <n v="24"/>
    <n v="8"/>
    <n v="0"/>
    <n v="10"/>
    <n v="0"/>
    <n v="0"/>
    <n v="0"/>
    <n v="2"/>
    <n v="16"/>
    <n v="1"/>
    <n v="41"/>
    <n v="59"/>
    <n v="1"/>
    <n v="26"/>
    <n v="13"/>
    <n v="0"/>
    <n v="28"/>
    <n v="0"/>
    <n v="0"/>
    <n v="15"/>
    <n v="1"/>
    <n v="6"/>
  </r>
  <r>
    <x v="612"/>
    <x v="1"/>
    <x v="1266"/>
    <n v="1993"/>
    <n v="24"/>
    <x v="7"/>
    <s v="Bosnia And Herzegovina"/>
    <n v="13500000"/>
    <n v="16200000"/>
    <x v="1"/>
    <n v="27"/>
    <n v="2152"/>
    <x v="5"/>
    <n v="1268"/>
    <x v="2"/>
    <x v="6"/>
    <x v="0"/>
    <n v="2"/>
    <n v="6"/>
    <n v="21"/>
    <n v="7"/>
    <n v="1"/>
    <n v="27"/>
    <n v="0"/>
    <n v="0"/>
    <n v="0"/>
    <n v="0"/>
    <n v="0"/>
    <n v="14"/>
    <n v="0"/>
    <n v="42"/>
    <n v="3"/>
    <n v="26"/>
    <n v="32"/>
    <n v="0"/>
    <n v="49"/>
    <n v="0"/>
    <n v="0"/>
    <n v="53"/>
    <n v="47"/>
    <n v="32"/>
  </r>
  <r>
    <x v="612"/>
    <x v="2"/>
    <x v="1267"/>
    <n v="1993"/>
    <n v="25"/>
    <x v="7"/>
    <s v="Bosnia And Herzegovina"/>
    <n v="16200000"/>
    <n v="18000000"/>
    <x v="1"/>
    <n v="24"/>
    <n v="1890"/>
    <x v="0"/>
    <n v="971"/>
    <x v="8"/>
    <x v="2"/>
    <x v="0"/>
    <n v="2"/>
    <n v="6"/>
    <n v="9"/>
    <n v="2"/>
    <n v="0"/>
    <n v="15"/>
    <n v="0"/>
    <n v="0"/>
    <n v="0"/>
    <n v="10"/>
    <n v="3"/>
    <n v="7"/>
    <n v="3"/>
    <n v="51"/>
    <n v="3"/>
    <n v="20"/>
    <n v="21"/>
    <n v="0"/>
    <n v="34"/>
    <n v="1"/>
    <n v="0"/>
    <n v="25"/>
    <n v="20"/>
    <n v="28"/>
  </r>
  <r>
    <x v="613"/>
    <x v="3"/>
    <x v="1268"/>
    <n v="1988"/>
    <n v="28"/>
    <x v="4"/>
    <s v="Ireland"/>
    <n v="15300000"/>
    <n v="15300000"/>
    <x v="1"/>
    <n v="26"/>
    <n v="2317"/>
    <x v="6"/>
    <n v="920"/>
    <x v="6"/>
    <x v="6"/>
    <x v="0"/>
    <n v="0"/>
    <n v="1"/>
    <n v="18"/>
    <n v="8"/>
    <n v="2"/>
    <n v="40"/>
    <n v="2"/>
    <n v="0"/>
    <n v="0"/>
    <n v="4"/>
    <n v="1"/>
    <n v="0"/>
    <n v="0"/>
    <n v="92"/>
    <n v="17"/>
    <n v="29"/>
    <n v="18"/>
    <n v="1"/>
    <n v="53"/>
    <n v="0"/>
    <n v="0"/>
    <n v="68"/>
    <n v="20"/>
    <n v="22"/>
  </r>
  <r>
    <x v="613"/>
    <x v="0"/>
    <x v="1269"/>
    <n v="1988"/>
    <n v="26"/>
    <x v="4"/>
    <s v="Ireland"/>
    <n v="17100000"/>
    <n v="15300000"/>
    <x v="1"/>
    <n v="35"/>
    <n v="3150"/>
    <x v="2"/>
    <n v="1116"/>
    <x v="0"/>
    <x v="1"/>
    <x v="0"/>
    <n v="0"/>
    <n v="0"/>
    <n v="29"/>
    <n v="11"/>
    <n v="1"/>
    <n v="102"/>
    <n v="3"/>
    <n v="0"/>
    <n v="0"/>
    <n v="5"/>
    <n v="0"/>
    <n v="0"/>
    <n v="0"/>
    <n v="5"/>
    <n v="45"/>
    <n v="62"/>
    <n v="20"/>
    <n v="1"/>
    <n v="35"/>
    <n v="0"/>
    <n v="0"/>
    <n v="179"/>
    <n v="115"/>
    <n v="75"/>
  </r>
  <r>
    <x v="613"/>
    <x v="2"/>
    <x v="1270"/>
    <n v="1988"/>
    <n v="29"/>
    <x v="4"/>
    <s v="Ireland"/>
    <n v="10800000"/>
    <n v="13500000"/>
    <x v="1"/>
    <n v="29"/>
    <n v="2560"/>
    <x v="5"/>
    <n v="1194"/>
    <x v="5"/>
    <x v="0"/>
    <x v="0"/>
    <n v="0"/>
    <n v="2"/>
    <n v="15"/>
    <n v="7"/>
    <n v="0"/>
    <n v="43"/>
    <n v="1"/>
    <n v="0"/>
    <n v="0"/>
    <n v="3"/>
    <n v="0"/>
    <n v="8"/>
    <n v="0"/>
    <n v="81"/>
    <n v="5"/>
    <n v="27"/>
    <n v="22"/>
    <n v="1"/>
    <n v="44"/>
    <n v="0"/>
    <n v="1"/>
    <n v="74"/>
    <n v="46"/>
    <n v="31"/>
  </r>
  <r>
    <x v="613"/>
    <x v="1"/>
    <x v="1271"/>
    <n v="1988"/>
    <n v="29"/>
    <x v="4"/>
    <s v="Ireland"/>
    <n v="15300000"/>
    <n v="10800000"/>
    <x v="1"/>
    <n v="12"/>
    <n v="1035"/>
    <x v="0"/>
    <n v="357"/>
    <x v="3"/>
    <x v="0"/>
    <x v="0"/>
    <n v="0"/>
    <n v="1"/>
    <n v="2"/>
    <n v="2"/>
    <n v="1"/>
    <n v="16"/>
    <n v="0"/>
    <n v="0"/>
    <n v="0"/>
    <n v="0"/>
    <n v="0"/>
    <n v="0"/>
    <n v="0"/>
    <n v="28"/>
    <n v="12"/>
    <n v="10"/>
    <n v="3"/>
    <n v="0"/>
    <n v="14"/>
    <n v="1"/>
    <n v="0"/>
    <n v="23"/>
    <n v="14"/>
    <n v="11"/>
  </r>
  <r>
    <x v="614"/>
    <x v="2"/>
    <x v="1272"/>
    <n v="1991"/>
    <n v="27"/>
    <x v="24"/>
    <s v="England"/>
    <n v="4500000"/>
    <n v="4500000"/>
    <x v="1"/>
    <n v="34"/>
    <n v="3040"/>
    <x v="4"/>
    <n v="737"/>
    <x v="6"/>
    <x v="8"/>
    <x v="0"/>
    <n v="0"/>
    <n v="1"/>
    <n v="34"/>
    <n v="10"/>
    <n v="1"/>
    <n v="104"/>
    <n v="1"/>
    <n v="0"/>
    <n v="0"/>
    <n v="9"/>
    <n v="0"/>
    <n v="24"/>
    <n v="0"/>
    <n v="5"/>
    <n v="30"/>
    <n v="52"/>
    <n v="32"/>
    <n v="0"/>
    <n v="35"/>
    <n v="1"/>
    <n v="0"/>
    <n v="200"/>
    <n v="226"/>
    <n v="116"/>
  </r>
  <r>
    <x v="615"/>
    <x v="0"/>
    <x v="1273"/>
    <n v="1990"/>
    <n v="24"/>
    <x v="12"/>
    <s v="Uruguay"/>
    <n v="2250000"/>
    <n v="4500000"/>
    <x v="1"/>
    <n v="27"/>
    <n v="1596"/>
    <x v="5"/>
    <n v="345"/>
    <x v="0"/>
    <x v="0"/>
    <x v="0"/>
    <n v="8"/>
    <n v="10"/>
    <n v="17"/>
    <n v="7"/>
    <n v="0"/>
    <n v="3"/>
    <n v="0"/>
    <n v="1"/>
    <n v="0"/>
    <n v="9"/>
    <n v="1"/>
    <n v="2"/>
    <n v="0"/>
    <n v="24"/>
    <n v="0"/>
    <n v="9"/>
    <n v="5"/>
    <n v="0"/>
    <n v="13"/>
    <n v="0"/>
    <n v="0"/>
    <n v="4"/>
    <n v="7"/>
    <n v="22"/>
  </r>
  <r>
    <x v="616"/>
    <x v="3"/>
    <x v="1274"/>
    <n v="1985"/>
    <n v="31"/>
    <x v="12"/>
    <s v="Sweden"/>
    <n v="2750000"/>
    <n v="2750000"/>
    <x v="1"/>
    <n v="21"/>
    <n v="1471"/>
    <x v="0"/>
    <n v="642"/>
    <x v="3"/>
    <x v="5"/>
    <x v="0"/>
    <n v="4"/>
    <n v="5"/>
    <n v="16"/>
    <n v="3"/>
    <n v="0"/>
    <n v="12"/>
    <n v="0"/>
    <n v="0"/>
    <n v="0"/>
    <n v="0"/>
    <n v="2"/>
    <n v="0"/>
    <n v="43"/>
    <n v="71"/>
    <n v="9"/>
    <n v="13"/>
    <n v="30"/>
    <n v="0"/>
    <n v="37"/>
    <n v="0"/>
    <n v="0"/>
    <n v="32"/>
    <n v="14"/>
    <n v="13"/>
  </r>
  <r>
    <x v="616"/>
    <x v="0"/>
    <x v="1275"/>
    <n v="1985"/>
    <n v="30"/>
    <x v="12"/>
    <s v="Sweden"/>
    <n v="31500000"/>
    <n v="2250000"/>
    <x v="1"/>
    <n v="16"/>
    <n v="1229"/>
    <x v="0"/>
    <n v="379"/>
    <x v="0"/>
    <x v="5"/>
    <x v="0"/>
    <n v="2"/>
    <n v="2"/>
    <n v="6"/>
    <n v="2"/>
    <n v="0"/>
    <n v="46"/>
    <n v="0"/>
    <n v="0"/>
    <n v="0"/>
    <n v="0"/>
    <n v="0"/>
    <n v="0"/>
    <n v="0"/>
    <n v="2"/>
    <n v="9"/>
    <n v="41"/>
    <n v="17"/>
    <n v="0"/>
    <n v="45"/>
    <n v="0"/>
    <n v="1"/>
    <n v="90"/>
    <n v="27"/>
    <n v="20"/>
  </r>
  <r>
    <x v="617"/>
    <x v="3"/>
    <x v="1276"/>
    <n v="1987"/>
    <n v="29"/>
    <x v="9"/>
    <s v="Austria"/>
    <n v="2700000"/>
    <n v="3600000"/>
    <x v="2"/>
    <n v="33"/>
    <n v="2771"/>
    <x v="4"/>
    <n v="1070"/>
    <x v="3"/>
    <x v="7"/>
    <x v="0"/>
    <n v="0"/>
    <n v="4"/>
    <n v="22"/>
    <n v="7"/>
    <n v="1"/>
    <n v="90"/>
    <n v="1"/>
    <n v="0"/>
    <n v="0"/>
    <n v="0"/>
    <n v="0"/>
    <n v="0"/>
    <n v="0"/>
    <n v="3"/>
    <n v="32"/>
    <n v="52"/>
    <n v="44"/>
    <n v="0"/>
    <n v="36"/>
    <n v="2"/>
    <n v="0"/>
    <n v="183"/>
    <n v="62"/>
    <n v="36"/>
  </r>
  <r>
    <x v="617"/>
    <x v="0"/>
    <x v="1277"/>
    <n v="1987"/>
    <n v="28"/>
    <x v="9"/>
    <s v="Sweden"/>
    <n v="4400000"/>
    <n v="4400000"/>
    <x v="2"/>
    <n v="18"/>
    <n v="547"/>
    <x v="0"/>
    <n v="236"/>
    <x v="3"/>
    <x v="4"/>
    <x v="0"/>
    <n v="12"/>
    <n v="5"/>
    <n v="7"/>
    <n v="1"/>
    <n v="0"/>
    <n v="1"/>
    <n v="0"/>
    <n v="0"/>
    <n v="0"/>
    <n v="0"/>
    <n v="1"/>
    <n v="0"/>
    <n v="14"/>
    <n v="25"/>
    <n v="0"/>
    <n v="10"/>
    <n v="9"/>
    <n v="0"/>
    <n v="12"/>
    <n v="0"/>
    <n v="0"/>
    <n v="11"/>
    <n v="6"/>
    <n v="7"/>
  </r>
  <r>
    <x v="617"/>
    <x v="1"/>
    <x v="1278"/>
    <n v="1987"/>
    <n v="30"/>
    <x v="9"/>
    <s v="Austria"/>
    <n v="4400000"/>
    <n v="4400000"/>
    <x v="1"/>
    <n v="21"/>
    <n v="1568"/>
    <x v="0"/>
    <n v="568"/>
    <x v="0"/>
    <x v="2"/>
    <x v="0"/>
    <n v="4"/>
    <n v="2"/>
    <n v="1"/>
    <n v="1"/>
    <n v="0"/>
    <n v="36"/>
    <n v="0"/>
    <n v="0"/>
    <n v="0"/>
    <n v="2"/>
    <n v="0"/>
    <n v="0"/>
    <n v="0"/>
    <n v="1"/>
    <n v="9"/>
    <n v="31"/>
    <n v="21"/>
    <n v="0"/>
    <n v="22"/>
    <n v="0"/>
    <n v="0"/>
    <n v="89"/>
    <n v="45"/>
    <n v="28"/>
  </r>
  <r>
    <x v="618"/>
    <x v="0"/>
    <x v="1279"/>
    <n v="1986"/>
    <n v="29"/>
    <x v="21"/>
    <s v="Austria"/>
    <n v="2700000"/>
    <n v="2700000"/>
    <x v="1"/>
    <n v="21"/>
    <n v="1776"/>
    <x v="5"/>
    <n v="509"/>
    <x v="0"/>
    <x v="2"/>
    <x v="0"/>
    <n v="2"/>
    <n v="0"/>
    <n v="13"/>
    <n v="0"/>
    <n v="0"/>
    <n v="30"/>
    <n v="1"/>
    <n v="0"/>
    <n v="0"/>
    <n v="0"/>
    <n v="0"/>
    <n v="1"/>
    <n v="0"/>
    <n v="1"/>
    <n v="14"/>
    <n v="64"/>
    <n v="23"/>
    <n v="0"/>
    <n v="23"/>
    <n v="0"/>
    <n v="0"/>
    <n v="93"/>
    <n v="29"/>
    <n v="24"/>
  </r>
  <r>
    <x v="619"/>
    <x v="1"/>
    <x v="1280"/>
    <n v="1992"/>
    <n v="25"/>
    <x v="26"/>
    <s v="Cote D'Ivoire"/>
    <n v="16500000"/>
    <n v="22000000"/>
    <x v="1"/>
    <n v="17"/>
    <n v="1429"/>
    <x v="5"/>
    <n v="776"/>
    <x v="5"/>
    <x v="3"/>
    <x v="1"/>
    <n v="1"/>
    <n v="1"/>
    <n v="15"/>
    <n v="6"/>
    <n v="0"/>
    <n v="33"/>
    <n v="1"/>
    <n v="0"/>
    <n v="0"/>
    <n v="2"/>
    <n v="1"/>
    <n v="9"/>
    <n v="0"/>
    <n v="68"/>
    <n v="1"/>
    <n v="31"/>
    <n v="21"/>
    <n v="1"/>
    <n v="48"/>
    <n v="0"/>
    <n v="0"/>
    <n v="48"/>
    <n v="48"/>
    <n v="29"/>
  </r>
  <r>
    <x v="620"/>
    <x v="0"/>
    <x v="1281"/>
    <n v="1988"/>
    <n v="27"/>
    <x v="19"/>
    <s v="Argentina"/>
    <n v="50000000"/>
    <n v="54000000"/>
    <x v="0"/>
    <n v="30"/>
    <n v="2373"/>
    <x v="12"/>
    <n v="727"/>
    <x v="5"/>
    <x v="3"/>
    <x v="0"/>
    <n v="1"/>
    <n v="16"/>
    <n v="119"/>
    <n v="52"/>
    <n v="4"/>
    <n v="0"/>
    <n v="5"/>
    <n v="4"/>
    <n v="0"/>
    <n v="27"/>
    <n v="6"/>
    <n v="16"/>
    <n v="0"/>
    <n v="20"/>
    <n v="1"/>
    <n v="6"/>
    <n v="20"/>
    <n v="0"/>
    <n v="15"/>
    <n v="0"/>
    <n v="0"/>
    <n v="0"/>
    <n v="9"/>
    <n v="20"/>
  </r>
  <r>
    <x v="620"/>
    <x v="3"/>
    <x v="1282"/>
    <n v="1988"/>
    <n v="28"/>
    <x v="19"/>
    <s v="Argentina"/>
    <n v="54000000"/>
    <n v="58500000"/>
    <x v="0"/>
    <n v="31"/>
    <n v="2403"/>
    <x v="18"/>
    <n v="771"/>
    <x v="6"/>
    <x v="5"/>
    <x v="1"/>
    <n v="6"/>
    <n v="8"/>
    <n v="139"/>
    <n v="53"/>
    <n v="2"/>
    <n v="1"/>
    <n v="2"/>
    <n v="4"/>
    <n v="0"/>
    <n v="23"/>
    <n v="4"/>
    <n v="13"/>
    <n v="0"/>
    <n v="17"/>
    <n v="1"/>
    <n v="3"/>
    <n v="23"/>
    <n v="0"/>
    <n v="18"/>
    <n v="0"/>
    <n v="0"/>
    <n v="1"/>
    <n v="7"/>
    <n v="30"/>
  </r>
  <r>
    <x v="620"/>
    <x v="1"/>
    <x v="1283"/>
    <n v="1988"/>
    <n v="29"/>
    <x v="19"/>
    <s v="Argentina"/>
    <n v="58500000"/>
    <n v="72000000"/>
    <x v="0"/>
    <n v="25"/>
    <n v="1969"/>
    <x v="26"/>
    <n v="628"/>
    <x v="1"/>
    <x v="4"/>
    <x v="0"/>
    <n v="3"/>
    <n v="9"/>
    <n v="94"/>
    <n v="42"/>
    <n v="3"/>
    <n v="1"/>
    <n v="5"/>
    <n v="4"/>
    <n v="0"/>
    <n v="16"/>
    <n v="4"/>
    <n v="52"/>
    <n v="1"/>
    <n v="16"/>
    <n v="1"/>
    <n v="6"/>
    <n v="10"/>
    <n v="0"/>
    <n v="9"/>
    <n v="0"/>
    <n v="0"/>
    <n v="3"/>
    <n v="10"/>
    <n v="19"/>
  </r>
  <r>
    <x v="620"/>
    <x v="2"/>
    <x v="1284"/>
    <n v="1988"/>
    <n v="30"/>
    <x v="19"/>
    <s v="Argentina"/>
    <n v="72000000"/>
    <n v="58500000"/>
    <x v="0"/>
    <n v="33"/>
    <n v="2479"/>
    <x v="26"/>
    <n v="771"/>
    <x v="7"/>
    <x v="0"/>
    <x v="0"/>
    <n v="2"/>
    <n v="23"/>
    <n v="118"/>
    <n v="43"/>
    <n v="8"/>
    <n v="0"/>
    <n v="2"/>
    <n v="2"/>
    <n v="0"/>
    <n v="26"/>
    <n v="6"/>
    <n v="75"/>
    <n v="1"/>
    <n v="13"/>
    <n v="1"/>
    <n v="9"/>
    <n v="21"/>
    <n v="0"/>
    <n v="17"/>
    <n v="0"/>
    <n v="0"/>
    <n v="3"/>
    <n v="17"/>
    <n v="22"/>
  </r>
  <r>
    <x v="621"/>
    <x v="2"/>
    <x v="1285"/>
    <n v="1992"/>
    <n v="26"/>
    <x v="23"/>
    <s v="Ireland"/>
    <n v="10800000"/>
    <n v="10800000"/>
    <x v="1"/>
    <n v="35"/>
    <n v="3088"/>
    <x v="2"/>
    <n v="1305"/>
    <x v="3"/>
    <x v="5"/>
    <x v="1"/>
    <n v="0"/>
    <n v="0"/>
    <n v="37"/>
    <n v="16"/>
    <n v="1"/>
    <n v="170"/>
    <n v="3"/>
    <n v="0"/>
    <n v="0"/>
    <n v="4"/>
    <n v="0"/>
    <n v="21"/>
    <n v="0"/>
    <n v="2"/>
    <n v="47"/>
    <n v="36"/>
    <n v="22"/>
    <n v="0"/>
    <n v="35"/>
    <n v="0"/>
    <n v="0"/>
    <n v="243"/>
    <n v="187"/>
    <n v="71"/>
  </r>
  <r>
    <x v="621"/>
    <x v="1"/>
    <x v="1286"/>
    <n v="1992"/>
    <n v="25"/>
    <x v="23"/>
    <s v="Ireland"/>
    <n v="4500000"/>
    <n v="10800000"/>
    <x v="1"/>
    <n v="37"/>
    <n v="3294"/>
    <x v="0"/>
    <n v="1358"/>
    <x v="3"/>
    <x v="9"/>
    <x v="0"/>
    <n v="0"/>
    <n v="2"/>
    <n v="28"/>
    <n v="5"/>
    <n v="1"/>
    <n v="237"/>
    <n v="0"/>
    <n v="0"/>
    <n v="0"/>
    <n v="7"/>
    <n v="0"/>
    <n v="23"/>
    <n v="0"/>
    <n v="3"/>
    <n v="59"/>
    <n v="50"/>
    <n v="33"/>
    <n v="0"/>
    <n v="31"/>
    <n v="1"/>
    <n v="0"/>
    <n v="327"/>
    <n v="198"/>
    <n v="95"/>
  </r>
  <r>
    <x v="622"/>
    <x v="0"/>
    <x v="1287"/>
    <n v="1987"/>
    <n v="28"/>
    <x v="27"/>
    <s v="Ireland"/>
    <n v="9900000"/>
    <n v="9000000"/>
    <x v="0"/>
    <n v="28"/>
    <n v="2111"/>
    <x v="15"/>
    <n v="595"/>
    <x v="2"/>
    <x v="4"/>
    <x v="0"/>
    <n v="5"/>
    <n v="5"/>
    <n v="63"/>
    <n v="22"/>
    <n v="3"/>
    <n v="14"/>
    <n v="5"/>
    <n v="0"/>
    <n v="0"/>
    <n v="25"/>
    <n v="3"/>
    <n v="12"/>
    <n v="0"/>
    <n v="51"/>
    <n v="3"/>
    <n v="20"/>
    <n v="43"/>
    <n v="0"/>
    <n v="15"/>
    <n v="0"/>
    <n v="0"/>
    <n v="21"/>
    <n v="82"/>
    <n v="89"/>
  </r>
  <r>
    <x v="622"/>
    <x v="3"/>
    <x v="1288"/>
    <n v="1987"/>
    <n v="29"/>
    <x v="27"/>
    <s v="Ireland"/>
    <n v="9000000"/>
    <n v="8100000"/>
    <x v="0"/>
    <n v="32"/>
    <n v="1248"/>
    <x v="7"/>
    <n v="306"/>
    <x v="3"/>
    <x v="4"/>
    <x v="0"/>
    <n v="22"/>
    <n v="6"/>
    <n v="41"/>
    <n v="15"/>
    <n v="0"/>
    <n v="12"/>
    <n v="1"/>
    <n v="0"/>
    <n v="0"/>
    <n v="12"/>
    <n v="0"/>
    <n v="7"/>
    <n v="0"/>
    <n v="24"/>
    <n v="4"/>
    <n v="5"/>
    <n v="28"/>
    <n v="0"/>
    <n v="12"/>
    <n v="0"/>
    <n v="0"/>
    <n v="14"/>
    <n v="45"/>
    <n v="64"/>
  </r>
  <r>
    <x v="622"/>
    <x v="1"/>
    <x v="1289"/>
    <n v="1987"/>
    <n v="30"/>
    <x v="27"/>
    <s v="Ireland"/>
    <n v="8100000"/>
    <n v="6300000"/>
    <x v="0"/>
    <n v="30"/>
    <n v="1578"/>
    <x v="5"/>
    <n v="395"/>
    <x v="3"/>
    <x v="8"/>
    <x v="0"/>
    <n v="15"/>
    <n v="10"/>
    <n v="33"/>
    <n v="13"/>
    <n v="0"/>
    <n v="26"/>
    <n v="0"/>
    <n v="0"/>
    <n v="0"/>
    <n v="14"/>
    <n v="1"/>
    <n v="20"/>
    <n v="0"/>
    <n v="21"/>
    <n v="2"/>
    <n v="12"/>
    <n v="34"/>
    <n v="0"/>
    <n v="25"/>
    <n v="0"/>
    <n v="0"/>
    <n v="29"/>
    <n v="77"/>
    <n v="113"/>
  </r>
  <r>
    <x v="622"/>
    <x v="2"/>
    <x v="1290"/>
    <n v="1987"/>
    <n v="31"/>
    <x v="27"/>
    <s v="Ireland"/>
    <n v="6300000"/>
    <n v="6300000"/>
    <x v="0"/>
    <n v="26"/>
    <n v="1270"/>
    <x v="2"/>
    <n v="305"/>
    <x v="3"/>
    <x v="6"/>
    <x v="0"/>
    <n v="14"/>
    <n v="11"/>
    <n v="30"/>
    <n v="10"/>
    <n v="1"/>
    <n v="16"/>
    <n v="0"/>
    <n v="0"/>
    <n v="0"/>
    <n v="12"/>
    <n v="0"/>
    <n v="20"/>
    <n v="0"/>
    <n v="14"/>
    <n v="1"/>
    <n v="7"/>
    <n v="26"/>
    <n v="0"/>
    <n v="15"/>
    <n v="0"/>
    <n v="0"/>
    <n v="18"/>
    <n v="72"/>
    <n v="100"/>
  </r>
  <r>
    <x v="623"/>
    <x v="0"/>
    <x v="1291"/>
    <n v="1986"/>
    <n v="29"/>
    <x v="17"/>
    <s v="Japan"/>
    <n v="7000000"/>
    <n v="9000000"/>
    <x v="0"/>
    <n v="36"/>
    <n v="2070"/>
    <x v="2"/>
    <n v="542"/>
    <x v="0"/>
    <x v="3"/>
    <x v="0"/>
    <n v="8"/>
    <n v="25"/>
    <n v="46"/>
    <n v="12"/>
    <n v="2"/>
    <n v="5"/>
    <n v="1"/>
    <n v="0"/>
    <n v="0"/>
    <n v="8"/>
    <n v="1"/>
    <n v="7"/>
    <n v="0"/>
    <n v="9"/>
    <n v="3"/>
    <n v="15"/>
    <n v="31"/>
    <n v="0"/>
    <n v="37"/>
    <n v="0"/>
    <n v="0"/>
    <n v="6"/>
    <n v="53"/>
    <n v="132"/>
  </r>
  <r>
    <x v="623"/>
    <x v="3"/>
    <x v="1292"/>
    <n v="1986"/>
    <n v="30"/>
    <x v="17"/>
    <s v="Japan"/>
    <n v="9000000"/>
    <n v="6300000"/>
    <x v="0"/>
    <n v="30"/>
    <n v="1572"/>
    <x v="7"/>
    <n v="438"/>
    <x v="3"/>
    <x v="3"/>
    <x v="0"/>
    <n v="9"/>
    <n v="20"/>
    <n v="29"/>
    <n v="9"/>
    <n v="1"/>
    <n v="5"/>
    <n v="0"/>
    <n v="0"/>
    <n v="0"/>
    <n v="4"/>
    <n v="3"/>
    <n v="2"/>
    <n v="0"/>
    <n v="4"/>
    <n v="2"/>
    <n v="12"/>
    <n v="28"/>
    <n v="0"/>
    <n v="30"/>
    <n v="0"/>
    <n v="0"/>
    <n v="5"/>
    <n v="26"/>
    <n v="87"/>
  </r>
  <r>
    <x v="623"/>
    <x v="1"/>
    <x v="1293"/>
    <n v="1986"/>
    <n v="31"/>
    <x v="17"/>
    <s v="Japan"/>
    <n v="6300000"/>
    <n v="5400000"/>
    <x v="0"/>
    <n v="27"/>
    <n v="1328"/>
    <x v="14"/>
    <n v="386"/>
    <x v="5"/>
    <x v="4"/>
    <x v="0"/>
    <n v="10"/>
    <n v="15"/>
    <n v="28"/>
    <n v="16"/>
    <n v="0"/>
    <n v="4"/>
    <n v="1"/>
    <n v="0"/>
    <n v="0"/>
    <n v="9"/>
    <n v="2"/>
    <n v="12"/>
    <n v="0"/>
    <n v="6"/>
    <n v="1"/>
    <n v="8"/>
    <n v="20"/>
    <n v="0"/>
    <n v="25"/>
    <n v="0"/>
    <n v="0"/>
    <n v="5"/>
    <n v="0"/>
    <n v="58"/>
  </r>
  <r>
    <x v="623"/>
    <x v="2"/>
    <x v="1294"/>
    <n v="1986"/>
    <n v="32"/>
    <x v="17"/>
    <s v="Japan"/>
    <n v="5400000"/>
    <n v="3600000"/>
    <x v="0"/>
    <n v="21"/>
    <n v="270"/>
    <x v="0"/>
    <n v="94"/>
    <x v="3"/>
    <x v="0"/>
    <x v="0"/>
    <n v="20"/>
    <n v="1"/>
    <n v="5"/>
    <n v="4"/>
    <n v="0"/>
    <n v="0"/>
    <n v="0"/>
    <n v="0"/>
    <n v="0"/>
    <n v="3"/>
    <n v="1"/>
    <n v="1"/>
    <n v="0"/>
    <n v="0"/>
    <n v="1"/>
    <n v="2"/>
    <n v="6"/>
    <n v="0"/>
    <n v="5"/>
    <n v="0"/>
    <n v="0"/>
    <n v="0"/>
    <n v="8"/>
    <n v="14"/>
  </r>
  <r>
    <x v="624"/>
    <x v="2"/>
    <x v="1295"/>
    <n v="1992"/>
    <n v="26"/>
    <x v="7"/>
    <s v="Germany"/>
    <n v="22500000"/>
    <n v="22500000"/>
    <x v="1"/>
    <n v="31"/>
    <n v="2615"/>
    <x v="5"/>
    <n v="1765"/>
    <x v="0"/>
    <x v="10"/>
    <x v="0"/>
    <n v="0"/>
    <n v="6"/>
    <n v="18"/>
    <n v="9"/>
    <n v="0"/>
    <n v="106"/>
    <n v="2"/>
    <n v="0"/>
    <n v="0"/>
    <n v="4"/>
    <n v="4"/>
    <n v="9"/>
    <n v="0"/>
    <n v="11"/>
    <n v="17"/>
    <n v="58"/>
    <n v="42"/>
    <n v="0"/>
    <n v="62"/>
    <n v="1"/>
    <n v="0"/>
    <n v="161"/>
    <n v="123"/>
    <n v="62"/>
  </r>
  <r>
    <x v="624"/>
    <x v="3"/>
    <x v="1296"/>
    <n v="1992"/>
    <n v="24"/>
    <x v="7"/>
    <s v="Germany"/>
    <n v="18000000"/>
    <n v="27000000"/>
    <x v="1"/>
    <n v="26"/>
    <n v="2275"/>
    <x v="5"/>
    <n v="1564"/>
    <x v="5"/>
    <x v="12"/>
    <x v="0"/>
    <n v="0"/>
    <n v="1"/>
    <n v="24"/>
    <n v="6"/>
    <n v="2"/>
    <n v="85"/>
    <n v="2"/>
    <n v="0"/>
    <n v="0"/>
    <n v="1"/>
    <n v="4"/>
    <n v="1"/>
    <n v="1"/>
    <n v="20"/>
    <n v="4"/>
    <n v="62"/>
    <n v="35"/>
    <n v="0"/>
    <n v="54"/>
    <n v="0"/>
    <n v="0"/>
    <n v="129"/>
    <n v="103"/>
    <n v="61"/>
  </r>
  <r>
    <x v="624"/>
    <x v="1"/>
    <x v="1297"/>
    <n v="1992"/>
    <n v="25"/>
    <x v="7"/>
    <s v="Germany"/>
    <n v="27000000"/>
    <n v="22500000"/>
    <x v="1"/>
    <n v="27"/>
    <n v="2274"/>
    <x v="7"/>
    <n v="1734"/>
    <x v="3"/>
    <x v="8"/>
    <x v="0"/>
    <n v="2"/>
    <n v="2"/>
    <n v="13"/>
    <n v="6"/>
    <n v="0"/>
    <n v="112"/>
    <n v="2"/>
    <n v="0"/>
    <n v="0"/>
    <n v="2"/>
    <n v="5"/>
    <n v="7"/>
    <n v="0"/>
    <n v="12"/>
    <n v="15"/>
    <n v="57"/>
    <n v="26"/>
    <n v="1"/>
    <n v="64"/>
    <n v="2"/>
    <n v="0"/>
    <n v="171"/>
    <n v="122"/>
    <n v="74"/>
  </r>
  <r>
    <x v="625"/>
    <x v="0"/>
    <x v="1298"/>
    <n v="1989"/>
    <n v="26"/>
    <x v="20"/>
    <s v="Netherlands"/>
    <n v="8100000"/>
    <n v="6000000"/>
    <x v="2"/>
    <n v="18"/>
    <n v="446"/>
    <x v="0"/>
    <n v="193"/>
    <x v="0"/>
    <x v="0"/>
    <x v="0"/>
    <n v="15"/>
    <n v="3"/>
    <n v="8"/>
    <n v="3"/>
    <n v="0"/>
    <n v="1"/>
    <n v="0"/>
    <n v="0"/>
    <n v="0"/>
    <n v="0"/>
    <n v="0"/>
    <n v="1"/>
    <n v="3"/>
    <n v="7"/>
    <n v="1"/>
    <n v="4"/>
    <n v="7"/>
    <n v="0"/>
    <n v="16"/>
    <n v="0"/>
    <n v="0"/>
    <n v="2"/>
    <n v="7"/>
    <n v="19"/>
  </r>
  <r>
    <x v="626"/>
    <x v="1"/>
    <x v="1299"/>
    <n v="1985"/>
    <n v="32"/>
    <x v="14"/>
    <s v="England"/>
    <n v="2250000"/>
    <n v="2250000"/>
    <x v="1"/>
    <n v="32"/>
    <n v="2707"/>
    <x v="0"/>
    <n v="1606"/>
    <x v="3"/>
    <x v="9"/>
    <x v="1"/>
    <n v="1"/>
    <n v="2"/>
    <n v="13"/>
    <n v="1"/>
    <n v="0"/>
    <n v="99"/>
    <n v="0"/>
    <n v="0"/>
    <n v="0"/>
    <n v="0"/>
    <n v="1"/>
    <n v="12"/>
    <n v="2"/>
    <n v="78"/>
    <n v="18"/>
    <n v="49"/>
    <n v="24"/>
    <n v="0"/>
    <n v="49"/>
    <n v="2"/>
    <n v="0"/>
    <n v="176"/>
    <n v="142"/>
    <n v="75"/>
  </r>
  <r>
    <x v="626"/>
    <x v="0"/>
    <x v="1300"/>
    <n v="1985"/>
    <n v="30"/>
    <x v="14"/>
    <s v="England"/>
    <n v="900000"/>
    <n v="2250000"/>
    <x v="1"/>
    <n v="38"/>
    <n v="3387"/>
    <x v="0"/>
    <n v="2106"/>
    <x v="2"/>
    <x v="2"/>
    <x v="1"/>
    <n v="0"/>
    <n v="0"/>
    <n v="7"/>
    <n v="1"/>
    <n v="0"/>
    <n v="129"/>
    <n v="0"/>
    <n v="0"/>
    <n v="0"/>
    <n v="2"/>
    <n v="0"/>
    <n v="0"/>
    <n v="11"/>
    <n v="100"/>
    <n v="21"/>
    <n v="88"/>
    <n v="35"/>
    <n v="0"/>
    <n v="105"/>
    <n v="0"/>
    <n v="0"/>
    <n v="206"/>
    <n v="108"/>
    <n v="62"/>
  </r>
  <r>
    <x v="626"/>
    <x v="3"/>
    <x v="1301"/>
    <n v="1985"/>
    <n v="31"/>
    <x v="14"/>
    <s v="England"/>
    <n v="2250000"/>
    <n v="2250000"/>
    <x v="1"/>
    <n v="34"/>
    <n v="2940"/>
    <x v="0"/>
    <n v="1656"/>
    <x v="3"/>
    <x v="5"/>
    <x v="1"/>
    <n v="0"/>
    <n v="2"/>
    <n v="7"/>
    <n v="0"/>
    <n v="0"/>
    <n v="134"/>
    <n v="0"/>
    <n v="0"/>
    <n v="0"/>
    <n v="0"/>
    <n v="0"/>
    <n v="0"/>
    <n v="18"/>
    <n v="66"/>
    <n v="19"/>
    <n v="53"/>
    <n v="27"/>
    <n v="0"/>
    <n v="62"/>
    <n v="3"/>
    <n v="0"/>
    <n v="219"/>
    <n v="115"/>
    <n v="80"/>
  </r>
  <r>
    <x v="626"/>
    <x v="2"/>
    <x v="1302"/>
    <n v="1985"/>
    <n v="33"/>
    <x v="14"/>
    <s v="England"/>
    <n v="2250000"/>
    <n v="1800000"/>
    <x v="1"/>
    <n v="17"/>
    <n v="1227"/>
    <x v="0"/>
    <n v="654"/>
    <x v="5"/>
    <x v="3"/>
    <x v="0"/>
    <n v="4"/>
    <n v="1"/>
    <n v="3"/>
    <n v="1"/>
    <n v="0"/>
    <n v="40"/>
    <n v="0"/>
    <n v="0"/>
    <n v="0"/>
    <n v="3"/>
    <n v="0"/>
    <n v="2"/>
    <n v="1"/>
    <n v="32"/>
    <n v="7"/>
    <n v="19"/>
    <n v="11"/>
    <n v="0"/>
    <n v="25"/>
    <n v="0"/>
    <n v="0"/>
    <n v="66"/>
    <n v="47"/>
    <n v="40"/>
  </r>
  <r>
    <x v="627"/>
    <x v="3"/>
    <x v="1303"/>
    <n v="1993"/>
    <n v="22"/>
    <x v="27"/>
    <s v="Morocco"/>
    <n v="14300000"/>
    <n v="16500000"/>
    <x v="2"/>
    <n v="24"/>
    <n v="1101"/>
    <x v="4"/>
    <n v="508"/>
    <x v="0"/>
    <x v="2"/>
    <x v="0"/>
    <n v="12"/>
    <n v="10"/>
    <n v="25"/>
    <n v="7"/>
    <n v="0"/>
    <n v="1"/>
    <n v="0"/>
    <n v="0"/>
    <n v="0"/>
    <n v="1"/>
    <n v="2"/>
    <n v="0"/>
    <n v="9"/>
    <n v="34"/>
    <n v="1"/>
    <n v="5"/>
    <n v="25"/>
    <n v="0"/>
    <n v="38"/>
    <n v="0"/>
    <n v="0"/>
    <n v="3"/>
    <n v="10"/>
    <n v="13"/>
  </r>
  <r>
    <x v="627"/>
    <x v="1"/>
    <x v="1304"/>
    <n v="1993"/>
    <n v="24"/>
    <x v="27"/>
    <s v="Morocco"/>
    <n v="16500000"/>
    <n v="13200000"/>
    <x v="2"/>
    <n v="26"/>
    <n v="1213"/>
    <x v="5"/>
    <n v="532"/>
    <x v="5"/>
    <x v="3"/>
    <x v="0"/>
    <n v="15"/>
    <n v="8"/>
    <n v="30"/>
    <n v="6"/>
    <n v="0"/>
    <n v="2"/>
    <n v="0"/>
    <n v="0"/>
    <n v="0"/>
    <n v="2"/>
    <n v="6"/>
    <n v="24"/>
    <n v="11"/>
    <n v="40"/>
    <n v="1"/>
    <n v="6"/>
    <n v="27"/>
    <n v="0"/>
    <n v="37"/>
    <n v="0"/>
    <n v="0"/>
    <n v="6"/>
    <n v="6"/>
    <n v="13"/>
  </r>
  <r>
    <x v="628"/>
    <x v="3"/>
    <x v="1305"/>
    <n v="1989"/>
    <n v="26"/>
    <x v="3"/>
    <s v="Algeria"/>
    <n v="15400000"/>
    <n v="13200000"/>
    <x v="2"/>
    <n v="21"/>
    <n v="1038"/>
    <x v="7"/>
    <n v="376"/>
    <x v="6"/>
    <x v="3"/>
    <x v="1"/>
    <n v="10"/>
    <n v="6"/>
    <n v="20"/>
    <n v="7"/>
    <n v="0"/>
    <n v="3"/>
    <n v="0"/>
    <n v="0"/>
    <n v="0"/>
    <n v="1"/>
    <n v="3"/>
    <n v="0"/>
    <n v="13"/>
    <n v="64"/>
    <n v="1"/>
    <n v="14"/>
    <n v="11"/>
    <n v="0"/>
    <n v="18"/>
    <n v="0"/>
    <n v="0"/>
    <n v="8"/>
    <n v="9"/>
    <n v="20"/>
  </r>
  <r>
    <x v="629"/>
    <x v="2"/>
    <x v="1306"/>
    <n v="1988"/>
    <n v="30"/>
    <x v="7"/>
    <s v="Greece"/>
    <n v="18000000"/>
    <n v="18000000"/>
    <x v="1"/>
    <n v="25"/>
    <n v="2199"/>
    <x v="4"/>
    <n v="1387"/>
    <x v="5"/>
    <x v="11"/>
    <x v="0"/>
    <n v="0"/>
    <n v="1"/>
    <n v="11"/>
    <n v="2"/>
    <n v="0"/>
    <n v="43"/>
    <n v="0"/>
    <n v="0"/>
    <n v="0"/>
    <n v="0"/>
    <n v="1"/>
    <n v="9"/>
    <n v="0"/>
    <n v="0"/>
    <n v="17"/>
    <n v="26"/>
    <n v="37"/>
    <n v="0"/>
    <n v="42"/>
    <n v="0"/>
    <n v="0"/>
    <n v="108"/>
    <n v="56"/>
    <n v="45"/>
  </r>
  <r>
    <x v="630"/>
    <x v="2"/>
    <x v="1307"/>
    <n v="1985"/>
    <n v="33"/>
    <x v="24"/>
    <s v="Cote D'Ivoire"/>
    <n v="900000"/>
    <n v="900000"/>
    <x v="1"/>
    <n v="28"/>
    <n v="2475"/>
    <x v="6"/>
    <n v="550"/>
    <x v="3"/>
    <x v="1"/>
    <x v="0"/>
    <n v="0"/>
    <n v="1"/>
    <n v="22"/>
    <n v="7"/>
    <n v="2"/>
    <n v="79"/>
    <n v="0"/>
    <n v="0"/>
    <n v="0"/>
    <n v="3"/>
    <n v="1"/>
    <n v="15"/>
    <n v="0"/>
    <n v="1"/>
    <n v="32"/>
    <n v="81"/>
    <n v="35"/>
    <n v="0"/>
    <n v="74"/>
    <n v="3"/>
    <n v="0"/>
    <n v="175"/>
    <n v="94"/>
    <n v="46"/>
  </r>
  <r>
    <x v="631"/>
    <x v="1"/>
    <x v="1308"/>
    <n v="1994"/>
    <n v="23"/>
    <x v="23"/>
    <s v="England"/>
    <n v="550000"/>
    <n v="5500000"/>
    <x v="2"/>
    <n v="36"/>
    <n v="1842"/>
    <x v="4"/>
    <n v="637"/>
    <x v="3"/>
    <x v="6"/>
    <x v="0"/>
    <n v="18"/>
    <n v="8"/>
    <n v="28"/>
    <n v="9"/>
    <n v="2"/>
    <n v="13"/>
    <n v="1"/>
    <n v="0"/>
    <n v="0"/>
    <n v="7"/>
    <n v="1"/>
    <n v="19"/>
    <n v="18"/>
    <n v="102"/>
    <n v="3"/>
    <n v="13"/>
    <n v="29"/>
    <n v="0"/>
    <n v="54"/>
    <n v="0"/>
    <n v="0"/>
    <n v="29"/>
    <n v="19"/>
    <n v="42"/>
  </r>
  <r>
    <x v="631"/>
    <x v="2"/>
    <x v="1309"/>
    <n v="1994"/>
    <n v="24"/>
    <x v="23"/>
    <s v="England"/>
    <n v="5500000"/>
    <n v="8800000"/>
    <x v="2"/>
    <n v="35"/>
    <n v="2474"/>
    <x v="4"/>
    <n v="756"/>
    <x v="8"/>
    <x v="3"/>
    <x v="0"/>
    <n v="5"/>
    <n v="14"/>
    <n v="43"/>
    <n v="9"/>
    <n v="0"/>
    <n v="6"/>
    <n v="0"/>
    <n v="0"/>
    <n v="0"/>
    <n v="6"/>
    <n v="1"/>
    <n v="34"/>
    <n v="38"/>
    <n v="152"/>
    <n v="4"/>
    <n v="27"/>
    <n v="29"/>
    <n v="0"/>
    <n v="56"/>
    <n v="0"/>
    <n v="0"/>
    <n v="26"/>
    <n v="17"/>
    <n v="61"/>
  </r>
  <r>
    <x v="632"/>
    <x v="0"/>
    <x v="1310"/>
    <n v="1992"/>
    <n v="23"/>
    <x v="26"/>
    <s v="South Korea"/>
    <n v="17600000"/>
    <n v="22500000"/>
    <x v="0"/>
    <n v="28"/>
    <n v="1105"/>
    <x v="6"/>
    <n v="447"/>
    <x v="3"/>
    <x v="0"/>
    <x v="0"/>
    <n v="15"/>
    <n v="12"/>
    <n v="38"/>
    <n v="13"/>
    <n v="0"/>
    <n v="3"/>
    <n v="0"/>
    <n v="0"/>
    <n v="0"/>
    <n v="9"/>
    <n v="1"/>
    <n v="3"/>
    <n v="9"/>
    <n v="14"/>
    <n v="1"/>
    <n v="12"/>
    <n v="12"/>
    <n v="0"/>
    <n v="27"/>
    <n v="0"/>
    <n v="0"/>
    <n v="7"/>
    <n v="8"/>
    <n v="17"/>
  </r>
  <r>
    <x v="632"/>
    <x v="3"/>
    <x v="1311"/>
    <n v="1992"/>
    <n v="24"/>
    <x v="26"/>
    <s v="South Korea"/>
    <n v="22500000"/>
    <n v="27000000"/>
    <x v="0"/>
    <n v="34"/>
    <n v="2068"/>
    <x v="10"/>
    <n v="775"/>
    <x v="1"/>
    <x v="4"/>
    <x v="0"/>
    <n v="11"/>
    <n v="15"/>
    <n v="80"/>
    <n v="33"/>
    <n v="4"/>
    <n v="3"/>
    <n v="0"/>
    <n v="0"/>
    <n v="0"/>
    <n v="22"/>
    <n v="0"/>
    <n v="5"/>
    <n v="29"/>
    <n v="62"/>
    <n v="1"/>
    <n v="7"/>
    <n v="9"/>
    <n v="0"/>
    <n v="19"/>
    <n v="0"/>
    <n v="0"/>
    <n v="6"/>
    <n v="10"/>
    <n v="23"/>
  </r>
  <r>
    <x v="632"/>
    <x v="1"/>
    <x v="1312"/>
    <n v="1992"/>
    <n v="25"/>
    <x v="26"/>
    <s v="South Korea"/>
    <n v="27000000"/>
    <n v="45000000"/>
    <x v="0"/>
    <n v="37"/>
    <n v="2309"/>
    <x v="13"/>
    <n v="916"/>
    <x v="1"/>
    <x v="0"/>
    <x v="0"/>
    <n v="10"/>
    <n v="20"/>
    <n v="75"/>
    <n v="33"/>
    <n v="2"/>
    <n v="2"/>
    <n v="2"/>
    <n v="0"/>
    <n v="0"/>
    <n v="25"/>
    <n v="6"/>
    <n v="42"/>
    <n v="4"/>
    <n v="51"/>
    <n v="0"/>
    <n v="10"/>
    <n v="15"/>
    <n v="0"/>
    <n v="17"/>
    <n v="0"/>
    <n v="0"/>
    <n v="9"/>
    <n v="3"/>
    <n v="13"/>
  </r>
  <r>
    <x v="632"/>
    <x v="2"/>
    <x v="1313"/>
    <n v="1992"/>
    <n v="26"/>
    <x v="26"/>
    <s v="South Korea"/>
    <n v="45000000"/>
    <n v="72000000"/>
    <x v="0"/>
    <n v="31"/>
    <n v="2045"/>
    <x v="13"/>
    <n v="752"/>
    <x v="1"/>
    <x v="4"/>
    <x v="1"/>
    <n v="8"/>
    <n v="16"/>
    <n v="74"/>
    <n v="29"/>
    <n v="0"/>
    <n v="0"/>
    <n v="0"/>
    <n v="0"/>
    <n v="0"/>
    <n v="22"/>
    <n v="5"/>
    <n v="45"/>
    <n v="5"/>
    <n v="25"/>
    <n v="2"/>
    <n v="8"/>
    <n v="12"/>
    <n v="0"/>
    <n v="23"/>
    <n v="0"/>
    <n v="0"/>
    <n v="4"/>
    <n v="4"/>
    <n v="31"/>
  </r>
  <r>
    <x v="633"/>
    <x v="0"/>
    <x v="1314"/>
    <n v="1984"/>
    <n v="31"/>
    <x v="18"/>
    <s v="Benin"/>
    <n v="2000000"/>
    <n v="1800000"/>
    <x v="0"/>
    <n v="25"/>
    <n v="1758"/>
    <x v="5"/>
    <n v="552"/>
    <x v="5"/>
    <x v="3"/>
    <x v="0"/>
    <n v="4"/>
    <n v="12"/>
    <n v="31"/>
    <n v="10"/>
    <n v="0"/>
    <n v="4"/>
    <n v="0"/>
    <n v="0"/>
    <n v="0"/>
    <n v="2"/>
    <n v="5"/>
    <n v="0"/>
    <n v="28"/>
    <n v="94"/>
    <n v="0"/>
    <n v="15"/>
    <n v="17"/>
    <n v="0"/>
    <n v="19"/>
    <n v="0"/>
    <n v="0"/>
    <n v="6"/>
    <n v="9"/>
    <n v="28"/>
  </r>
  <r>
    <x v="634"/>
    <x v="2"/>
    <x v="1315"/>
    <n v="1991"/>
    <n v="27"/>
    <x v="11"/>
    <s v="Norway"/>
    <n v="4050000"/>
    <n v="3600000"/>
    <x v="2"/>
    <n v="12"/>
    <n v="411"/>
    <x v="0"/>
    <n v="250"/>
    <x v="0"/>
    <x v="5"/>
    <x v="0"/>
    <n v="8"/>
    <n v="3"/>
    <n v="1"/>
    <n v="0"/>
    <n v="0"/>
    <n v="3"/>
    <n v="0"/>
    <n v="0"/>
    <n v="0"/>
    <n v="0"/>
    <n v="0"/>
    <n v="1"/>
    <n v="2"/>
    <n v="9"/>
    <n v="0"/>
    <n v="3"/>
    <n v="6"/>
    <n v="0"/>
    <n v="10"/>
    <n v="0"/>
    <n v="0"/>
    <n v="5"/>
    <n v="3"/>
    <n v="6"/>
  </r>
  <r>
    <x v="635"/>
    <x v="3"/>
    <x v="1316"/>
    <n v="1989"/>
    <n v="26"/>
    <x v="9"/>
    <s v="Italy"/>
    <n v="7150000"/>
    <n v="5400000"/>
    <x v="0"/>
    <n v="19"/>
    <n v="954"/>
    <x v="6"/>
    <n v="230"/>
    <x v="0"/>
    <x v="2"/>
    <x v="0"/>
    <n v="9"/>
    <n v="5"/>
    <n v="27"/>
    <n v="12"/>
    <n v="1"/>
    <n v="5"/>
    <n v="1"/>
    <n v="0"/>
    <n v="0"/>
    <n v="11"/>
    <n v="0"/>
    <n v="1"/>
    <n v="0"/>
    <n v="5"/>
    <n v="1"/>
    <n v="0"/>
    <n v="30"/>
    <n v="0"/>
    <n v="12"/>
    <n v="0"/>
    <n v="0"/>
    <n v="10"/>
    <n v="40"/>
    <n v="53"/>
  </r>
  <r>
    <x v="635"/>
    <x v="1"/>
    <x v="1317"/>
    <n v="1989"/>
    <n v="28"/>
    <x v="9"/>
    <s v="Italy"/>
    <n v="5400000"/>
    <n v="4500000"/>
    <x v="0"/>
    <n v="15"/>
    <n v="445"/>
    <x v="4"/>
    <n v="154"/>
    <x v="3"/>
    <x v="4"/>
    <x v="0"/>
    <n v="12"/>
    <n v="3"/>
    <n v="10"/>
    <n v="3"/>
    <n v="1"/>
    <n v="0"/>
    <n v="1"/>
    <n v="0"/>
    <n v="0"/>
    <n v="4"/>
    <n v="2"/>
    <n v="7"/>
    <n v="0"/>
    <n v="1"/>
    <n v="0"/>
    <n v="0"/>
    <n v="21"/>
    <n v="0"/>
    <n v="6"/>
    <n v="0"/>
    <n v="0"/>
    <n v="0"/>
    <n v="22"/>
    <n v="30"/>
  </r>
  <r>
    <x v="636"/>
    <x v="2"/>
    <x v="1318"/>
    <n v="1984"/>
    <n v="34"/>
    <x v="7"/>
    <s v="Switzerland"/>
    <n v="1350000"/>
    <n v="900000"/>
    <x v="1"/>
    <n v="14"/>
    <n v="940"/>
    <x v="0"/>
    <n v="480"/>
    <x v="0"/>
    <x v="6"/>
    <x v="0"/>
    <n v="4"/>
    <n v="6"/>
    <n v="1"/>
    <n v="0"/>
    <n v="0"/>
    <n v="16"/>
    <n v="0"/>
    <n v="0"/>
    <n v="0"/>
    <n v="2"/>
    <n v="0"/>
    <n v="1"/>
    <n v="0"/>
    <n v="30"/>
    <n v="4"/>
    <n v="9"/>
    <n v="11"/>
    <n v="0"/>
    <n v="15"/>
    <n v="1"/>
    <n v="0"/>
    <n v="23"/>
    <n v="22"/>
    <n v="20"/>
  </r>
  <r>
    <x v="637"/>
    <x v="0"/>
    <x v="1319"/>
    <n v="1986"/>
    <n v="28"/>
    <x v="25"/>
    <s v="Ireland"/>
    <n v="1800000"/>
    <n v="1350000"/>
    <x v="2"/>
    <n v="13"/>
    <n v="231"/>
    <x v="0"/>
    <n v="160"/>
    <x v="3"/>
    <x v="4"/>
    <x v="0"/>
    <n v="13"/>
    <n v="0"/>
    <n v="3"/>
    <n v="0"/>
    <n v="0"/>
    <n v="1"/>
    <n v="0"/>
    <n v="0"/>
    <n v="0"/>
    <n v="0"/>
    <n v="4"/>
    <n v="0"/>
    <n v="4"/>
    <n v="9"/>
    <n v="0"/>
    <n v="3"/>
    <n v="4"/>
    <n v="0"/>
    <n v="10"/>
    <n v="0"/>
    <n v="0"/>
    <n v="1"/>
    <n v="2"/>
    <n v="6"/>
  </r>
  <r>
    <x v="638"/>
    <x v="3"/>
    <x v="1320"/>
    <n v="1994"/>
    <n v="22"/>
    <x v="0"/>
    <s v="Scotland"/>
    <n v="550000"/>
    <n v="825000"/>
    <x v="1"/>
    <n v="13"/>
    <n v="1036"/>
    <x v="0"/>
    <n v="434"/>
    <x v="0"/>
    <x v="0"/>
    <x v="0"/>
    <n v="1"/>
    <n v="1"/>
    <n v="4"/>
    <n v="1"/>
    <n v="0"/>
    <n v="7"/>
    <n v="0"/>
    <n v="0"/>
    <n v="0"/>
    <n v="0"/>
    <n v="0"/>
    <n v="0"/>
    <n v="0"/>
    <n v="47"/>
    <n v="4"/>
    <n v="8"/>
    <n v="3"/>
    <n v="0"/>
    <n v="12"/>
    <n v="0"/>
    <n v="0"/>
    <n v="24"/>
    <n v="7"/>
    <n v="12"/>
  </r>
  <r>
    <x v="639"/>
    <x v="1"/>
    <x v="1321"/>
    <n v="1985"/>
    <n v="32"/>
    <x v="5"/>
    <s v="Ireland"/>
    <n v="1350000"/>
    <n v="2700000"/>
    <x v="1"/>
    <n v="28"/>
    <n v="2462"/>
    <x v="4"/>
    <n v="923"/>
    <x v="3"/>
    <x v="3"/>
    <x v="0"/>
    <n v="0"/>
    <n v="2"/>
    <n v="1"/>
    <n v="1"/>
    <n v="0"/>
    <n v="47"/>
    <n v="0"/>
    <n v="0"/>
    <n v="0"/>
    <n v="3"/>
    <n v="0"/>
    <n v="0"/>
    <n v="0"/>
    <n v="82"/>
    <n v="12"/>
    <n v="42"/>
    <n v="11"/>
    <n v="0"/>
    <n v="39"/>
    <n v="0"/>
    <n v="0"/>
    <n v="102"/>
    <n v="59"/>
    <n v="28"/>
  </r>
  <r>
    <x v="639"/>
    <x v="3"/>
    <x v="1322"/>
    <n v="1985"/>
    <n v="30"/>
    <x v="5"/>
    <s v="Ireland"/>
    <n v="900000"/>
    <n v="1350000"/>
    <x v="1"/>
    <n v="37"/>
    <n v="3232"/>
    <x v="4"/>
    <n v="1130"/>
    <x v="3"/>
    <x v="2"/>
    <x v="0"/>
    <n v="0"/>
    <n v="3"/>
    <n v="7"/>
    <n v="1"/>
    <n v="0"/>
    <n v="85"/>
    <n v="0"/>
    <n v="0"/>
    <n v="0"/>
    <n v="0"/>
    <n v="0"/>
    <n v="0"/>
    <n v="0"/>
    <n v="111"/>
    <n v="16"/>
    <n v="74"/>
    <n v="35"/>
    <n v="0"/>
    <n v="70"/>
    <n v="0"/>
    <n v="0"/>
    <n v="153"/>
    <n v="64"/>
    <n v="57"/>
  </r>
  <r>
    <x v="640"/>
    <x v="3"/>
    <x v="1323"/>
    <n v="1991"/>
    <n v="25"/>
    <x v="14"/>
    <s v="England"/>
    <n v="5000000"/>
    <n v="5000000"/>
    <x v="2"/>
    <n v="38"/>
    <n v="3420"/>
    <x v="5"/>
    <n v="1716"/>
    <x v="0"/>
    <x v="2"/>
    <x v="0"/>
    <n v="0"/>
    <n v="0"/>
    <n v="29"/>
    <n v="9"/>
    <n v="0"/>
    <n v="226"/>
    <n v="1"/>
    <n v="0"/>
    <n v="0"/>
    <n v="0"/>
    <n v="2"/>
    <n v="1"/>
    <n v="0"/>
    <n v="13"/>
    <n v="39"/>
    <n v="76"/>
    <n v="16"/>
    <n v="0"/>
    <n v="46"/>
    <n v="2"/>
    <n v="1"/>
    <n v="352"/>
    <n v="145"/>
    <n v="74"/>
  </r>
  <r>
    <x v="640"/>
    <x v="1"/>
    <x v="1324"/>
    <n v="1991"/>
    <n v="26"/>
    <x v="14"/>
    <s v="England"/>
    <n v="4500000"/>
    <n v="6300000"/>
    <x v="1"/>
    <n v="34"/>
    <n v="2766"/>
    <x v="5"/>
    <n v="1321"/>
    <x v="3"/>
    <x v="2"/>
    <x v="0"/>
    <n v="3"/>
    <n v="2"/>
    <n v="22"/>
    <n v="6"/>
    <n v="1"/>
    <n v="122"/>
    <n v="2"/>
    <n v="0"/>
    <n v="0"/>
    <n v="1"/>
    <n v="0"/>
    <n v="16"/>
    <n v="0"/>
    <n v="6"/>
    <n v="45"/>
    <n v="54"/>
    <n v="22"/>
    <n v="1"/>
    <n v="37"/>
    <n v="3"/>
    <n v="1"/>
    <n v="225"/>
    <n v="137"/>
    <n v="68"/>
  </r>
  <r>
    <x v="640"/>
    <x v="0"/>
    <x v="1325"/>
    <n v="1991"/>
    <n v="24"/>
    <x v="14"/>
    <s v="England"/>
    <n v="1800000"/>
    <n v="4500000"/>
    <x v="1"/>
    <n v="36"/>
    <n v="3195"/>
    <x v="6"/>
    <n v="1577"/>
    <x v="0"/>
    <x v="2"/>
    <x v="0"/>
    <n v="0"/>
    <n v="1"/>
    <n v="25"/>
    <n v="8"/>
    <n v="0"/>
    <n v="188"/>
    <n v="2"/>
    <n v="0"/>
    <n v="0"/>
    <n v="2"/>
    <n v="0"/>
    <n v="0"/>
    <n v="0"/>
    <n v="1"/>
    <n v="35"/>
    <n v="84"/>
    <n v="16"/>
    <n v="0"/>
    <n v="33"/>
    <n v="0"/>
    <n v="0"/>
    <n v="298"/>
    <n v="123"/>
    <n v="64"/>
  </r>
  <r>
    <x v="640"/>
    <x v="2"/>
    <x v="1326"/>
    <n v="1991"/>
    <n v="27"/>
    <x v="14"/>
    <s v="England"/>
    <n v="6300000"/>
    <n v="9000000"/>
    <x v="1"/>
    <n v="31"/>
    <n v="2787"/>
    <x v="4"/>
    <n v="1501"/>
    <x v="3"/>
    <x v="6"/>
    <x v="0"/>
    <n v="0"/>
    <n v="1"/>
    <n v="21"/>
    <n v="9"/>
    <n v="0"/>
    <n v="97"/>
    <n v="1"/>
    <n v="0"/>
    <n v="0"/>
    <n v="1"/>
    <n v="0"/>
    <n v="12"/>
    <n v="0"/>
    <n v="11"/>
    <n v="21"/>
    <n v="50"/>
    <n v="18"/>
    <n v="1"/>
    <n v="36"/>
    <n v="0"/>
    <n v="1"/>
    <n v="198"/>
    <n v="126"/>
    <n v="75"/>
  </r>
  <r>
    <x v="641"/>
    <x v="1"/>
    <x v="1327"/>
    <n v="1994"/>
    <n v="23"/>
    <x v="6"/>
    <s v="Benin"/>
    <n v="6050000"/>
    <n v="9000000"/>
    <x v="0"/>
    <n v="28"/>
    <n v="1858"/>
    <x v="8"/>
    <n v="523"/>
    <x v="3"/>
    <x v="4"/>
    <x v="0"/>
    <n v="7"/>
    <n v="9"/>
    <n v="49"/>
    <n v="21"/>
    <n v="2"/>
    <n v="22"/>
    <n v="3"/>
    <n v="0"/>
    <n v="0"/>
    <n v="23"/>
    <n v="2"/>
    <n v="28"/>
    <n v="0"/>
    <n v="9"/>
    <n v="3"/>
    <n v="7"/>
    <n v="28"/>
    <n v="0"/>
    <n v="11"/>
    <n v="0"/>
    <n v="0"/>
    <n v="29"/>
    <n v="146"/>
    <n v="134"/>
  </r>
  <r>
    <x v="641"/>
    <x v="2"/>
    <x v="1328"/>
    <n v="1994"/>
    <n v="24"/>
    <x v="6"/>
    <s v="Benin"/>
    <n v="9000000"/>
    <n v="9000000"/>
    <x v="0"/>
    <n v="31"/>
    <n v="1776"/>
    <x v="5"/>
    <n v="557"/>
    <x v="6"/>
    <x v="3"/>
    <x v="1"/>
    <n v="12"/>
    <n v="10"/>
    <n v="61"/>
    <n v="23"/>
    <n v="2"/>
    <n v="11"/>
    <n v="1"/>
    <n v="0"/>
    <n v="0"/>
    <n v="15"/>
    <n v="0"/>
    <n v="38"/>
    <n v="0"/>
    <n v="9"/>
    <n v="1"/>
    <n v="5"/>
    <n v="32"/>
    <n v="0"/>
    <n v="9"/>
    <n v="0"/>
    <n v="0"/>
    <n v="15"/>
    <n v="212"/>
    <n v="134"/>
  </r>
  <r>
    <x v="642"/>
    <x v="0"/>
    <x v="1329"/>
    <n v="1985"/>
    <n v="30"/>
    <x v="27"/>
    <s v="Northern Ireland"/>
    <n v="6050000"/>
    <n v="6600000"/>
    <x v="2"/>
    <n v="34"/>
    <n v="2611"/>
    <x v="2"/>
    <n v="1505"/>
    <x v="6"/>
    <x v="5"/>
    <x v="0"/>
    <n v="3"/>
    <n v="14"/>
    <n v="20"/>
    <n v="9"/>
    <n v="0"/>
    <n v="18"/>
    <n v="0"/>
    <n v="0"/>
    <n v="0"/>
    <n v="5"/>
    <n v="6"/>
    <n v="0"/>
    <n v="62"/>
    <n v="122"/>
    <n v="10"/>
    <n v="42"/>
    <n v="19"/>
    <n v="0"/>
    <n v="56"/>
    <n v="0"/>
    <n v="0"/>
    <n v="38"/>
    <n v="12"/>
    <n v="38"/>
  </r>
  <r>
    <x v="642"/>
    <x v="3"/>
    <x v="1330"/>
    <n v="1985"/>
    <n v="31"/>
    <x v="27"/>
    <s v="Northern Ireland"/>
    <n v="6600000"/>
    <n v="6600000"/>
    <x v="2"/>
    <n v="32"/>
    <n v="2644"/>
    <x v="0"/>
    <n v="1716"/>
    <x v="6"/>
    <x v="6"/>
    <x v="0"/>
    <n v="3"/>
    <n v="3"/>
    <n v="31"/>
    <n v="6"/>
    <n v="1"/>
    <n v="26"/>
    <n v="0"/>
    <n v="0"/>
    <n v="0"/>
    <n v="1"/>
    <n v="9"/>
    <n v="0"/>
    <n v="32"/>
    <n v="69"/>
    <n v="11"/>
    <n v="23"/>
    <n v="18"/>
    <n v="0"/>
    <n v="54"/>
    <n v="0"/>
    <n v="1"/>
    <n v="45"/>
    <n v="11"/>
    <n v="29"/>
  </r>
  <r>
    <x v="642"/>
    <x v="1"/>
    <x v="1331"/>
    <n v="1985"/>
    <n v="32"/>
    <x v="27"/>
    <s v="Northern Ireland"/>
    <n v="6600000"/>
    <n v="4400000"/>
    <x v="2"/>
    <n v="23"/>
    <n v="1521"/>
    <x v="7"/>
    <n v="1044"/>
    <x v="0"/>
    <x v="0"/>
    <x v="0"/>
    <n v="6"/>
    <n v="6"/>
    <n v="13"/>
    <n v="4"/>
    <n v="0"/>
    <n v="12"/>
    <n v="1"/>
    <n v="0"/>
    <n v="0"/>
    <n v="3"/>
    <n v="7"/>
    <n v="9"/>
    <n v="27"/>
    <n v="42"/>
    <n v="6"/>
    <n v="15"/>
    <n v="8"/>
    <n v="0"/>
    <n v="30"/>
    <n v="1"/>
    <n v="0"/>
    <n v="23"/>
    <n v="14"/>
    <n v="26"/>
  </r>
  <r>
    <x v="643"/>
    <x v="3"/>
    <x v="1332"/>
    <n v="1988"/>
    <n v="28"/>
    <x v="5"/>
    <s v="Belgium"/>
    <n v="6600000"/>
    <n v="6600000"/>
    <x v="2"/>
    <n v="21"/>
    <n v="1078"/>
    <x v="4"/>
    <n v="518"/>
    <x v="6"/>
    <x v="3"/>
    <x v="0"/>
    <n v="5"/>
    <n v="16"/>
    <n v="8"/>
    <n v="6"/>
    <n v="0"/>
    <n v="1"/>
    <n v="0"/>
    <n v="0"/>
    <n v="0"/>
    <n v="2"/>
    <n v="1"/>
    <n v="1"/>
    <n v="38"/>
    <n v="68"/>
    <n v="4"/>
    <n v="32"/>
    <n v="14"/>
    <n v="0"/>
    <n v="19"/>
    <n v="0"/>
    <n v="0"/>
    <n v="11"/>
    <n v="1"/>
    <n v="10"/>
  </r>
  <r>
    <x v="643"/>
    <x v="1"/>
    <x v="1333"/>
    <n v="1988"/>
    <n v="29"/>
    <x v="5"/>
    <s v="Belgium"/>
    <n v="6600000"/>
    <n v="7700000"/>
    <x v="2"/>
    <n v="24"/>
    <n v="2008"/>
    <x v="4"/>
    <n v="1016"/>
    <x v="3"/>
    <x v="8"/>
    <x v="0"/>
    <n v="0"/>
    <n v="12"/>
    <n v="19"/>
    <n v="7"/>
    <n v="0"/>
    <n v="2"/>
    <n v="0"/>
    <n v="0"/>
    <n v="1"/>
    <n v="0"/>
    <n v="2"/>
    <n v="12"/>
    <n v="2"/>
    <n v="35"/>
    <n v="7"/>
    <n v="46"/>
    <n v="13"/>
    <n v="0"/>
    <n v="33"/>
    <n v="0"/>
    <n v="0"/>
    <n v="18"/>
    <n v="5"/>
    <n v="13"/>
  </r>
  <r>
    <x v="644"/>
    <x v="0"/>
    <x v="1334"/>
    <n v="1987"/>
    <n v="28"/>
    <x v="12"/>
    <s v="Scotland"/>
    <n v="5000000"/>
    <n v="2700000"/>
    <x v="0"/>
    <n v="16"/>
    <n v="1016"/>
    <x v="6"/>
    <n v="290"/>
    <x v="0"/>
    <x v="0"/>
    <x v="0"/>
    <n v="5"/>
    <n v="9"/>
    <n v="25"/>
    <n v="10"/>
    <n v="0"/>
    <n v="4"/>
    <n v="2"/>
    <n v="0"/>
    <n v="0"/>
    <n v="8"/>
    <n v="6"/>
    <n v="1"/>
    <n v="0"/>
    <n v="8"/>
    <n v="2"/>
    <n v="3"/>
    <n v="19"/>
    <n v="0"/>
    <n v="11"/>
    <n v="0"/>
    <n v="0"/>
    <n v="6"/>
    <n v="64"/>
    <n v="91"/>
  </r>
  <r>
    <x v="645"/>
    <x v="0"/>
    <x v="1335"/>
    <n v="1986"/>
    <n v="28"/>
    <x v="21"/>
    <s v="Scotland"/>
    <n v="4400000"/>
    <n v="5400000"/>
    <x v="0"/>
    <n v="15"/>
    <n v="1330"/>
    <x v="6"/>
    <n v="501"/>
    <x v="3"/>
    <x v="6"/>
    <x v="0"/>
    <n v="8"/>
    <n v="13"/>
    <n v="25"/>
    <n v="9"/>
    <n v="0"/>
    <n v="7"/>
    <n v="1"/>
    <n v="0"/>
    <n v="0"/>
    <n v="9"/>
    <n v="3"/>
    <n v="2"/>
    <n v="1"/>
    <n v="13"/>
    <n v="0"/>
    <n v="7"/>
    <n v="30"/>
    <n v="0"/>
    <n v="23"/>
    <n v="0"/>
    <n v="0"/>
    <n v="8"/>
    <n v="21"/>
    <n v="52"/>
  </r>
  <r>
    <x v="646"/>
    <x v="3"/>
    <x v="1336"/>
    <n v="1982"/>
    <n v="34"/>
    <x v="12"/>
    <s v="South Africa"/>
    <n v="1350000"/>
    <n v="900000"/>
    <x v="2"/>
    <n v="15"/>
    <n v="808"/>
    <x v="0"/>
    <n v="384"/>
    <x v="0"/>
    <x v="2"/>
    <x v="0"/>
    <n v="5"/>
    <n v="9"/>
    <n v="4"/>
    <n v="2"/>
    <n v="0"/>
    <n v="2"/>
    <n v="0"/>
    <n v="0"/>
    <n v="0"/>
    <n v="0"/>
    <n v="3"/>
    <n v="1"/>
    <n v="2"/>
    <n v="12"/>
    <n v="4"/>
    <n v="15"/>
    <n v="16"/>
    <n v="0"/>
    <n v="19"/>
    <n v="0"/>
    <n v="0"/>
    <n v="9"/>
    <n v="4"/>
    <n v="15"/>
  </r>
  <r>
    <x v="647"/>
    <x v="0"/>
    <x v="1337"/>
    <n v="1986"/>
    <n v="29"/>
    <x v="20"/>
    <s v="England"/>
    <n v="2700000"/>
    <n v="1250000"/>
    <x v="1"/>
    <n v="10"/>
    <n v="810"/>
    <x v="0"/>
    <n v="324"/>
    <x v="0"/>
    <x v="3"/>
    <x v="0"/>
    <n v="1"/>
    <n v="1"/>
    <n v="0"/>
    <n v="0"/>
    <n v="0"/>
    <n v="23"/>
    <n v="0"/>
    <n v="0"/>
    <n v="0"/>
    <n v="0"/>
    <n v="0"/>
    <n v="0"/>
    <n v="0"/>
    <n v="0"/>
    <n v="12"/>
    <n v="17"/>
    <n v="3"/>
    <n v="0"/>
    <n v="3"/>
    <n v="0"/>
    <n v="0"/>
    <n v="37"/>
    <n v="7"/>
    <n v="8"/>
  </r>
  <r>
    <x v="648"/>
    <x v="3"/>
    <x v="1338"/>
    <n v="1984"/>
    <n v="32"/>
    <x v="2"/>
    <s v="England"/>
    <n v="6000000"/>
    <n v="3500000"/>
    <x v="2"/>
    <n v="30"/>
    <n v="2212"/>
    <x v="4"/>
    <n v="943"/>
    <x v="6"/>
    <x v="3"/>
    <x v="0"/>
    <n v="6"/>
    <n v="4"/>
    <n v="29"/>
    <n v="6"/>
    <n v="0"/>
    <n v="5"/>
    <n v="0"/>
    <n v="0"/>
    <n v="0"/>
    <n v="6"/>
    <n v="2"/>
    <n v="1"/>
    <n v="44"/>
    <n v="165"/>
    <n v="0"/>
    <n v="31"/>
    <n v="10"/>
    <n v="0"/>
    <n v="28"/>
    <n v="0"/>
    <n v="0"/>
    <n v="32"/>
    <n v="9"/>
    <n v="18"/>
  </r>
  <r>
    <x v="649"/>
    <x v="2"/>
    <x v="1339"/>
    <n v="1992"/>
    <n v="26"/>
    <x v="27"/>
    <s v="Scotland"/>
    <n v="6300000"/>
    <n v="7200000"/>
    <x v="2"/>
    <n v="29"/>
    <n v="1431"/>
    <x v="7"/>
    <n v="615"/>
    <x v="5"/>
    <x v="4"/>
    <x v="0"/>
    <n v="13"/>
    <n v="13"/>
    <n v="32"/>
    <n v="12"/>
    <n v="0"/>
    <n v="4"/>
    <n v="0"/>
    <n v="0"/>
    <n v="0"/>
    <n v="3"/>
    <n v="0"/>
    <n v="20"/>
    <n v="13"/>
    <n v="24"/>
    <n v="0"/>
    <n v="12"/>
    <n v="20"/>
    <n v="0"/>
    <n v="28"/>
    <n v="0"/>
    <n v="0"/>
    <n v="11"/>
    <n v="17"/>
    <n v="22"/>
  </r>
  <r>
    <x v="650"/>
    <x v="0"/>
    <x v="1340"/>
    <n v="1977"/>
    <n v="37"/>
    <x v="14"/>
    <s v="France"/>
    <n v="675000"/>
    <n v="675000"/>
    <x v="1"/>
    <n v="12"/>
    <n v="842"/>
    <x v="0"/>
    <n v="450"/>
    <x v="0"/>
    <x v="0"/>
    <x v="0"/>
    <n v="3"/>
    <n v="0"/>
    <n v="2"/>
    <n v="0"/>
    <n v="0"/>
    <n v="23"/>
    <n v="0"/>
    <n v="0"/>
    <n v="0"/>
    <n v="1"/>
    <n v="0"/>
    <n v="0"/>
    <n v="0"/>
    <n v="0"/>
    <n v="4"/>
    <n v="24"/>
    <n v="3"/>
    <n v="0"/>
    <n v="19"/>
    <n v="0"/>
    <n v="0"/>
    <n v="47"/>
    <n v="33"/>
    <n v="19"/>
  </r>
  <r>
    <x v="651"/>
    <x v="1"/>
    <x v="1341"/>
    <n v="1997"/>
    <n v="20"/>
    <x v="0"/>
    <s v="England"/>
    <n v="8800000"/>
    <n v="28800000"/>
    <x v="0"/>
    <n v="31"/>
    <n v="1720"/>
    <x v="2"/>
    <n v="300"/>
    <x v="3"/>
    <x v="0"/>
    <x v="0"/>
    <n v="16"/>
    <n v="6"/>
    <n v="42"/>
    <n v="15"/>
    <n v="0"/>
    <n v="8"/>
    <n v="0"/>
    <n v="0"/>
    <n v="0"/>
    <n v="9"/>
    <n v="2"/>
    <n v="27"/>
    <n v="0"/>
    <n v="13"/>
    <n v="1"/>
    <n v="1"/>
    <n v="15"/>
    <n v="0"/>
    <n v="10"/>
    <n v="0"/>
    <n v="0"/>
    <n v="11"/>
    <n v="39"/>
    <n v="58"/>
  </r>
  <r>
    <x v="652"/>
    <x v="1"/>
    <x v="1342"/>
    <n v="1994"/>
    <n v="23"/>
    <x v="6"/>
    <s v="Netherlands"/>
    <n v="9000000"/>
    <n v="9000000"/>
    <x v="1"/>
    <n v="13"/>
    <n v="1047"/>
    <x v="0"/>
    <n v="311"/>
    <x v="0"/>
    <x v="0"/>
    <x v="0"/>
    <n v="2"/>
    <n v="0"/>
    <n v="0"/>
    <n v="0"/>
    <n v="0"/>
    <n v="31"/>
    <n v="0"/>
    <n v="0"/>
    <n v="0"/>
    <n v="0"/>
    <n v="0"/>
    <n v="0"/>
    <n v="0"/>
    <n v="10"/>
    <n v="6"/>
    <n v="32"/>
    <n v="5"/>
    <n v="0"/>
    <n v="33"/>
    <n v="0"/>
    <n v="0"/>
    <n v="64"/>
    <n v="28"/>
    <n v="13"/>
  </r>
  <r>
    <x v="652"/>
    <x v="2"/>
    <x v="1343"/>
    <n v="1994"/>
    <n v="24"/>
    <x v="6"/>
    <s v="Netherlands"/>
    <n v="9000000"/>
    <n v="13500000"/>
    <x v="1"/>
    <n v="32"/>
    <n v="2721"/>
    <x v="4"/>
    <n v="1149"/>
    <x v="3"/>
    <x v="5"/>
    <x v="0"/>
    <n v="0"/>
    <n v="6"/>
    <n v="14"/>
    <n v="4"/>
    <n v="0"/>
    <n v="38"/>
    <n v="1"/>
    <n v="0"/>
    <n v="0"/>
    <n v="2"/>
    <n v="1"/>
    <n v="10"/>
    <n v="0"/>
    <n v="28"/>
    <n v="16"/>
    <n v="65"/>
    <n v="20"/>
    <n v="1"/>
    <n v="74"/>
    <n v="1"/>
    <n v="1"/>
    <n v="97"/>
    <n v="54"/>
    <n v="36"/>
  </r>
  <r>
    <x v="653"/>
    <x v="1"/>
    <x v="1344"/>
    <n v="1989"/>
    <n v="28"/>
    <x v="4"/>
    <s v="England"/>
    <n v="19800000"/>
    <n v="18000000"/>
    <x v="0"/>
    <n v="20"/>
    <n v="1216"/>
    <x v="7"/>
    <n v="326"/>
    <x v="6"/>
    <x v="4"/>
    <x v="0"/>
    <n v="7"/>
    <n v="2"/>
    <n v="19"/>
    <n v="9"/>
    <n v="0"/>
    <n v="5"/>
    <n v="0"/>
    <n v="0"/>
    <n v="0"/>
    <n v="12"/>
    <n v="0"/>
    <n v="10"/>
    <n v="3"/>
    <n v="48"/>
    <n v="0"/>
    <n v="9"/>
    <n v="7"/>
    <n v="0"/>
    <n v="28"/>
    <n v="0"/>
    <n v="0"/>
    <n v="11"/>
    <n v="7"/>
    <n v="19"/>
  </r>
  <r>
    <x v="653"/>
    <x v="0"/>
    <x v="1345"/>
    <n v="1989"/>
    <n v="26"/>
    <x v="7"/>
    <s v="England"/>
    <n v="22000000"/>
    <n v="22000000"/>
    <x v="0"/>
    <n v="28"/>
    <n v="1374"/>
    <x v="2"/>
    <n v="310"/>
    <x v="5"/>
    <x v="0"/>
    <x v="0"/>
    <n v="13"/>
    <n v="13"/>
    <n v="45"/>
    <n v="22"/>
    <n v="0"/>
    <n v="0"/>
    <n v="0"/>
    <n v="0"/>
    <n v="0"/>
    <n v="13"/>
    <n v="3"/>
    <n v="11"/>
    <n v="4"/>
    <n v="20"/>
    <n v="0"/>
    <n v="14"/>
    <n v="3"/>
    <n v="0"/>
    <n v="11"/>
    <n v="1"/>
    <n v="0"/>
    <n v="8"/>
    <n v="5"/>
    <n v="14"/>
  </r>
  <r>
    <x v="653"/>
    <x v="3"/>
    <x v="1346"/>
    <n v="1989"/>
    <n v="27"/>
    <x v="7"/>
    <s v="England"/>
    <n v="27500000"/>
    <n v="24800000"/>
    <x v="0"/>
    <n v="28"/>
    <n v="1925"/>
    <x v="15"/>
    <n v="538"/>
    <x v="5"/>
    <x v="3"/>
    <x v="0"/>
    <n v="5"/>
    <n v="13"/>
    <n v="62"/>
    <n v="29"/>
    <n v="3"/>
    <n v="9"/>
    <n v="0"/>
    <n v="0"/>
    <n v="0"/>
    <n v="17"/>
    <n v="5"/>
    <n v="6"/>
    <n v="5"/>
    <n v="49"/>
    <n v="1"/>
    <n v="13"/>
    <n v="14"/>
    <n v="0"/>
    <n v="36"/>
    <n v="0"/>
    <n v="0"/>
    <n v="13"/>
    <n v="21"/>
    <n v="39"/>
  </r>
  <r>
    <x v="653"/>
    <x v="2"/>
    <x v="1347"/>
    <n v="1989"/>
    <n v="29"/>
    <x v="4"/>
    <s v="England"/>
    <n v="18000000"/>
    <n v="16200000"/>
    <x v="0"/>
    <n v="37"/>
    <n v="2122"/>
    <x v="2"/>
    <n v="576"/>
    <x v="5"/>
    <x v="3"/>
    <x v="0"/>
    <n v="13"/>
    <n v="16"/>
    <n v="43"/>
    <n v="21"/>
    <n v="0"/>
    <n v="3"/>
    <n v="0"/>
    <n v="0"/>
    <n v="0"/>
    <n v="19"/>
    <n v="0"/>
    <n v="22"/>
    <n v="2"/>
    <n v="53"/>
    <n v="1"/>
    <n v="22"/>
    <n v="10"/>
    <n v="0"/>
    <n v="27"/>
    <n v="0"/>
    <n v="0"/>
    <n v="6"/>
    <n v="16"/>
    <n v="46"/>
  </r>
  <r>
    <x v="654"/>
    <x v="1"/>
    <x v="1348"/>
    <n v="1994"/>
    <n v="23"/>
    <x v="1"/>
    <s v="France"/>
    <n v="22500000"/>
    <n v="36000000"/>
    <x v="2"/>
    <n v="29"/>
    <n v="2124"/>
    <x v="5"/>
    <n v="1108"/>
    <x v="5"/>
    <x v="6"/>
    <x v="1"/>
    <n v="5"/>
    <n v="3"/>
    <n v="40"/>
    <n v="9"/>
    <n v="1"/>
    <n v="22"/>
    <n v="1"/>
    <n v="0"/>
    <n v="0"/>
    <n v="2"/>
    <n v="0"/>
    <n v="31"/>
    <n v="0"/>
    <n v="5"/>
    <n v="6"/>
    <n v="37"/>
    <n v="50"/>
    <n v="0"/>
    <n v="64"/>
    <n v="2"/>
    <n v="0"/>
    <n v="36"/>
    <n v="40"/>
    <n v="36"/>
  </r>
  <r>
    <x v="655"/>
    <x v="2"/>
    <x v="1349"/>
    <n v="1987"/>
    <n v="30"/>
    <x v="11"/>
    <s v="United States"/>
    <n v="3150000"/>
    <n v="3600000"/>
    <x v="1"/>
    <n v="26"/>
    <n v="2049"/>
    <x v="0"/>
    <n v="1053"/>
    <x v="0"/>
    <x v="0"/>
    <x v="0"/>
    <n v="0"/>
    <n v="5"/>
    <n v="0"/>
    <n v="0"/>
    <n v="0"/>
    <n v="36"/>
    <n v="0"/>
    <n v="0"/>
    <n v="0"/>
    <n v="0"/>
    <n v="0"/>
    <n v="0"/>
    <n v="0"/>
    <n v="0"/>
    <n v="10"/>
    <n v="24"/>
    <n v="12"/>
    <n v="0"/>
    <n v="23"/>
    <n v="1"/>
    <n v="0"/>
    <n v="77"/>
    <n v="47"/>
    <n v="43"/>
  </r>
  <r>
    <x v="656"/>
    <x v="0"/>
    <x v="1350"/>
    <n v="1988"/>
    <n v="27"/>
    <x v="21"/>
    <s v="Switzerland"/>
    <n v="2700000"/>
    <n v="4950000"/>
    <x v="1"/>
    <n v="10"/>
    <n v="849"/>
    <x v="4"/>
    <n v="257"/>
    <x v="0"/>
    <x v="6"/>
    <x v="0"/>
    <n v="0"/>
    <n v="2"/>
    <n v="3"/>
    <n v="1"/>
    <n v="0"/>
    <n v="73"/>
    <n v="1"/>
    <n v="0"/>
    <n v="0"/>
    <n v="0"/>
    <n v="0"/>
    <n v="0"/>
    <n v="0"/>
    <n v="0"/>
    <n v="10"/>
    <n v="24"/>
    <n v="6"/>
    <n v="0"/>
    <n v="14"/>
    <n v="0"/>
    <n v="0"/>
    <n v="102"/>
    <n v="40"/>
    <n v="16"/>
  </r>
  <r>
    <x v="657"/>
    <x v="1"/>
    <x v="1351"/>
    <n v="1998"/>
    <n v="19"/>
    <x v="8"/>
    <s v="Netherlands"/>
    <n v="2250000"/>
    <n v="6300000"/>
    <x v="1"/>
    <n v="21"/>
    <n v="1594"/>
    <x v="0"/>
    <n v="612"/>
    <x v="0"/>
    <x v="4"/>
    <x v="0"/>
    <n v="4"/>
    <n v="2"/>
    <n v="0"/>
    <n v="0"/>
    <n v="0"/>
    <n v="33"/>
    <n v="0"/>
    <n v="0"/>
    <n v="0"/>
    <n v="0"/>
    <n v="0"/>
    <n v="0"/>
    <n v="0"/>
    <n v="17"/>
    <n v="9"/>
    <n v="31"/>
    <n v="18"/>
    <n v="1"/>
    <n v="42"/>
    <n v="0"/>
    <n v="0"/>
    <n v="66"/>
    <n v="19"/>
    <n v="22"/>
  </r>
  <r>
    <x v="657"/>
    <x v="2"/>
    <x v="1352"/>
    <n v="1998"/>
    <n v="20"/>
    <x v="11"/>
    <s v="Netherlands"/>
    <n v="6300000"/>
    <n v="6300000"/>
    <x v="1"/>
    <n v="12"/>
    <n v="794"/>
    <x v="0"/>
    <n v="406"/>
    <x v="0"/>
    <x v="6"/>
    <x v="0"/>
    <n v="2"/>
    <n v="4"/>
    <n v="4"/>
    <n v="1"/>
    <n v="0"/>
    <n v="10"/>
    <n v="0"/>
    <n v="0"/>
    <n v="0"/>
    <n v="0"/>
    <n v="1"/>
    <n v="3"/>
    <n v="0"/>
    <n v="15"/>
    <n v="5"/>
    <n v="12"/>
    <n v="7"/>
    <n v="0"/>
    <n v="18"/>
    <n v="1"/>
    <n v="1"/>
    <n v="25"/>
    <n v="7"/>
    <n v="13"/>
  </r>
  <r>
    <x v="658"/>
    <x v="0"/>
    <x v="1353"/>
    <n v="1989"/>
    <n v="26"/>
    <x v="26"/>
    <s v="Belgium"/>
    <n v="13500000"/>
    <n v="24500000"/>
    <x v="1"/>
    <n v="38"/>
    <n v="3419"/>
    <x v="6"/>
    <n v="2076"/>
    <x v="5"/>
    <x v="6"/>
    <x v="0"/>
    <n v="0"/>
    <n v="1"/>
    <n v="41"/>
    <n v="14"/>
    <n v="0"/>
    <n v="143"/>
    <n v="3"/>
    <n v="0"/>
    <n v="0"/>
    <n v="1"/>
    <n v="2"/>
    <n v="1"/>
    <n v="0"/>
    <n v="16"/>
    <n v="33"/>
    <n v="66"/>
    <n v="9"/>
    <n v="0"/>
    <n v="45"/>
    <n v="0"/>
    <n v="0"/>
    <n v="285"/>
    <n v="59"/>
    <n v="39"/>
  </r>
  <r>
    <x v="658"/>
    <x v="2"/>
    <x v="1354"/>
    <n v="1989"/>
    <n v="29"/>
    <x v="26"/>
    <s v="Belgium"/>
    <n v="36000000"/>
    <n v="36000000"/>
    <x v="1"/>
    <n v="34"/>
    <n v="2923"/>
    <x v="0"/>
    <n v="2358"/>
    <x v="0"/>
    <x v="6"/>
    <x v="0"/>
    <n v="1"/>
    <n v="3"/>
    <n v="19"/>
    <n v="5"/>
    <n v="1"/>
    <n v="79"/>
    <n v="0"/>
    <n v="0"/>
    <n v="0"/>
    <n v="1"/>
    <n v="6"/>
    <n v="14"/>
    <n v="0"/>
    <n v="6"/>
    <n v="22"/>
    <n v="24"/>
    <n v="10"/>
    <n v="1"/>
    <n v="37"/>
    <n v="0"/>
    <n v="1"/>
    <n v="167"/>
    <n v="54"/>
    <n v="47"/>
  </r>
  <r>
    <x v="658"/>
    <x v="3"/>
    <x v="1355"/>
    <n v="1989"/>
    <n v="27"/>
    <x v="26"/>
    <s v="Belgium"/>
    <n v="24500000"/>
    <n v="31500000"/>
    <x v="1"/>
    <n v="30"/>
    <n v="2604"/>
    <x v="4"/>
    <n v="1522"/>
    <x v="0"/>
    <x v="3"/>
    <x v="0"/>
    <n v="0"/>
    <n v="3"/>
    <n v="28"/>
    <n v="9"/>
    <n v="1"/>
    <n v="84"/>
    <n v="0"/>
    <n v="0"/>
    <n v="0"/>
    <n v="0"/>
    <n v="1"/>
    <n v="1"/>
    <n v="0"/>
    <n v="6"/>
    <n v="21"/>
    <n v="26"/>
    <n v="9"/>
    <n v="0"/>
    <n v="41"/>
    <n v="1"/>
    <n v="0"/>
    <n v="162"/>
    <n v="42"/>
    <n v="45"/>
  </r>
  <r>
    <x v="658"/>
    <x v="1"/>
    <x v="1356"/>
    <n v="1989"/>
    <n v="28"/>
    <x v="26"/>
    <s v="Belgium"/>
    <n v="31500000"/>
    <n v="36000000"/>
    <x v="1"/>
    <n v="14"/>
    <n v="1177"/>
    <x v="0"/>
    <n v="915"/>
    <x v="0"/>
    <x v="6"/>
    <x v="0"/>
    <n v="1"/>
    <n v="0"/>
    <n v="10"/>
    <n v="1"/>
    <n v="0"/>
    <n v="31"/>
    <n v="0"/>
    <n v="0"/>
    <n v="0"/>
    <n v="0"/>
    <n v="1"/>
    <n v="9"/>
    <n v="0"/>
    <n v="7"/>
    <n v="5"/>
    <n v="4"/>
    <n v="8"/>
    <n v="0"/>
    <n v="19"/>
    <n v="0"/>
    <n v="0"/>
    <n v="50"/>
    <n v="14"/>
    <n v="29"/>
  </r>
  <r>
    <x v="659"/>
    <x v="2"/>
    <x v="1357"/>
    <n v="1991"/>
    <n v="27"/>
    <x v="11"/>
    <s v="Scotland"/>
    <n v="16200000"/>
    <n v="13500000"/>
    <x v="2"/>
    <n v="31"/>
    <n v="2198"/>
    <x v="4"/>
    <n v="1373"/>
    <x v="3"/>
    <x v="0"/>
    <x v="0"/>
    <n v="7"/>
    <n v="11"/>
    <n v="24"/>
    <n v="5"/>
    <n v="2"/>
    <n v="4"/>
    <n v="0"/>
    <n v="0"/>
    <n v="0"/>
    <n v="0"/>
    <n v="7"/>
    <n v="19"/>
    <n v="5"/>
    <n v="27"/>
    <n v="5"/>
    <n v="10"/>
    <n v="9"/>
    <n v="0"/>
    <n v="37"/>
    <n v="0"/>
    <n v="0"/>
    <n v="11"/>
    <n v="9"/>
    <n v="15"/>
  </r>
  <r>
    <x v="660"/>
    <x v="1"/>
    <x v="1358"/>
    <n v="1992"/>
    <n v="25"/>
    <x v="0"/>
    <s v="England"/>
    <n v="6600000"/>
    <n v="7700000"/>
    <x v="2"/>
    <n v="37"/>
    <n v="2569"/>
    <x v="0"/>
    <n v="1444"/>
    <x v="2"/>
    <x v="6"/>
    <x v="0"/>
    <n v="9"/>
    <n v="8"/>
    <n v="20"/>
    <n v="3"/>
    <n v="2"/>
    <n v="5"/>
    <n v="0"/>
    <n v="0"/>
    <n v="0"/>
    <n v="1"/>
    <n v="3"/>
    <n v="17"/>
    <n v="70"/>
    <n v="129"/>
    <n v="8"/>
    <n v="29"/>
    <n v="23"/>
    <n v="0"/>
    <n v="53"/>
    <n v="1"/>
    <n v="0"/>
    <n v="15"/>
    <n v="11"/>
    <n v="21"/>
  </r>
  <r>
    <x v="660"/>
    <x v="0"/>
    <x v="1359"/>
    <n v="1992"/>
    <n v="23"/>
    <x v="26"/>
    <s v="England"/>
    <n v="3300000"/>
    <n v="5500000"/>
    <x v="2"/>
    <n v="19"/>
    <n v="506"/>
    <x v="4"/>
    <n v="338"/>
    <x v="0"/>
    <x v="6"/>
    <x v="0"/>
    <n v="15"/>
    <n v="3"/>
    <n v="5"/>
    <n v="3"/>
    <n v="0"/>
    <n v="2"/>
    <n v="0"/>
    <n v="0"/>
    <n v="0"/>
    <n v="0"/>
    <n v="0"/>
    <n v="0"/>
    <n v="2"/>
    <n v="12"/>
    <n v="1"/>
    <n v="14"/>
    <n v="8"/>
    <n v="0"/>
    <n v="15"/>
    <n v="0"/>
    <n v="0"/>
    <n v="4"/>
    <n v="3"/>
    <n v="8"/>
  </r>
  <r>
    <x v="660"/>
    <x v="3"/>
    <x v="1360"/>
    <n v="1992"/>
    <n v="24"/>
    <x v="0"/>
    <s v="England"/>
    <n v="5500000"/>
    <n v="6600000"/>
    <x v="2"/>
    <n v="18"/>
    <n v="1389"/>
    <x v="4"/>
    <n v="796"/>
    <x v="5"/>
    <x v="3"/>
    <x v="0"/>
    <n v="2"/>
    <n v="4"/>
    <n v="9"/>
    <n v="2"/>
    <n v="1"/>
    <n v="2"/>
    <n v="0"/>
    <n v="0"/>
    <n v="0"/>
    <n v="0"/>
    <n v="0"/>
    <n v="0"/>
    <n v="0"/>
    <n v="38"/>
    <n v="3"/>
    <n v="20"/>
    <n v="13"/>
    <n v="0"/>
    <n v="30"/>
    <n v="0"/>
    <n v="0"/>
    <n v="8"/>
    <n v="5"/>
    <n v="10"/>
  </r>
  <r>
    <x v="661"/>
    <x v="1"/>
    <x v="1361"/>
    <n v="1989"/>
    <n v="28"/>
    <x v="9"/>
    <s v="England"/>
    <n v="8800000"/>
    <n v="9900000"/>
    <x v="2"/>
    <n v="23"/>
    <n v="1905"/>
    <x v="4"/>
    <n v="1137"/>
    <x v="5"/>
    <x v="3"/>
    <x v="1"/>
    <n v="1"/>
    <n v="4"/>
    <n v="16"/>
    <n v="3"/>
    <n v="0"/>
    <n v="6"/>
    <n v="0"/>
    <n v="0"/>
    <n v="0"/>
    <n v="1"/>
    <n v="2"/>
    <n v="13"/>
    <n v="47"/>
    <n v="82"/>
    <n v="1"/>
    <n v="25"/>
    <n v="33"/>
    <n v="0"/>
    <n v="48"/>
    <n v="0"/>
    <n v="0"/>
    <n v="19"/>
    <n v="24"/>
    <n v="42"/>
  </r>
  <r>
    <x v="661"/>
    <x v="0"/>
    <x v="1362"/>
    <n v="1989"/>
    <n v="25"/>
    <x v="4"/>
    <s v="England"/>
    <n v="9900000"/>
    <n v="9900000"/>
    <x v="2"/>
    <n v="22"/>
    <n v="1613"/>
    <x v="5"/>
    <n v="885"/>
    <x v="2"/>
    <x v="3"/>
    <x v="0"/>
    <n v="5"/>
    <n v="6"/>
    <n v="24"/>
    <n v="7"/>
    <n v="2"/>
    <n v="4"/>
    <n v="1"/>
    <n v="0"/>
    <n v="0"/>
    <n v="1"/>
    <n v="2"/>
    <n v="1"/>
    <n v="23"/>
    <n v="64"/>
    <n v="1"/>
    <n v="19"/>
    <n v="11"/>
    <n v="0"/>
    <n v="47"/>
    <n v="0"/>
    <n v="0"/>
    <n v="17"/>
    <n v="19"/>
    <n v="19"/>
  </r>
  <r>
    <x v="661"/>
    <x v="3"/>
    <x v="1363"/>
    <n v="1989"/>
    <n v="26"/>
    <x v="9"/>
    <s v="England"/>
    <n v="9900000"/>
    <n v="8800000"/>
    <x v="2"/>
    <n v="27"/>
    <n v="1843"/>
    <x v="0"/>
    <n v="857"/>
    <x v="5"/>
    <x v="5"/>
    <x v="0"/>
    <n v="7"/>
    <n v="4"/>
    <n v="10"/>
    <n v="4"/>
    <n v="1"/>
    <n v="6"/>
    <n v="0"/>
    <n v="0"/>
    <n v="0"/>
    <n v="0"/>
    <n v="2"/>
    <n v="1"/>
    <n v="46"/>
    <n v="60"/>
    <n v="6"/>
    <n v="31"/>
    <n v="23"/>
    <n v="0"/>
    <n v="42"/>
    <n v="0"/>
    <n v="0"/>
    <n v="21"/>
    <n v="4"/>
    <n v="21"/>
  </r>
  <r>
    <x v="661"/>
    <x v="2"/>
    <x v="1364"/>
    <n v="1989"/>
    <n v="28"/>
    <x v="9"/>
    <s v="England"/>
    <n v="9900000"/>
    <n v="7700000"/>
    <x v="2"/>
    <n v="13"/>
    <n v="471"/>
    <x v="4"/>
    <n v="221"/>
    <x v="0"/>
    <x v="4"/>
    <x v="0"/>
    <n v="9"/>
    <n v="1"/>
    <n v="4"/>
    <n v="2"/>
    <n v="1"/>
    <n v="6"/>
    <n v="0"/>
    <n v="0"/>
    <n v="0"/>
    <n v="1"/>
    <n v="0"/>
    <n v="2"/>
    <n v="2"/>
    <n v="4"/>
    <n v="0"/>
    <n v="5"/>
    <n v="8"/>
    <n v="0"/>
    <n v="17"/>
    <n v="0"/>
    <n v="0"/>
    <n v="11"/>
    <n v="4"/>
    <n v="10"/>
  </r>
  <r>
    <x v="662"/>
    <x v="1"/>
    <x v="1365"/>
    <n v="1998"/>
    <n v="19"/>
    <x v="4"/>
    <s v="England"/>
    <n v="8800000"/>
    <n v="16500000"/>
    <x v="2"/>
    <n v="33"/>
    <n v="1901"/>
    <x v="5"/>
    <n v="691"/>
    <x v="3"/>
    <x v="1"/>
    <x v="0"/>
    <n v="13"/>
    <n v="12"/>
    <n v="21"/>
    <n v="3"/>
    <n v="0"/>
    <n v="10"/>
    <n v="0"/>
    <n v="0"/>
    <n v="0"/>
    <n v="3"/>
    <n v="1"/>
    <n v="18"/>
    <n v="10"/>
    <n v="17"/>
    <n v="5"/>
    <n v="24"/>
    <n v="38"/>
    <n v="0"/>
    <n v="30"/>
    <n v="0"/>
    <n v="0"/>
    <n v="17"/>
    <n v="19"/>
    <n v="36"/>
  </r>
  <r>
    <x v="662"/>
    <x v="3"/>
    <x v="1366"/>
    <n v="1998"/>
    <n v="18"/>
    <x v="4"/>
    <s v="England"/>
    <n v="550000"/>
    <n v="8800000"/>
    <x v="2"/>
    <n v="24"/>
    <n v="1543"/>
    <x v="5"/>
    <n v="783"/>
    <x v="6"/>
    <x v="5"/>
    <x v="0"/>
    <n v="6"/>
    <n v="6"/>
    <n v="14"/>
    <n v="5"/>
    <n v="1"/>
    <n v="5"/>
    <n v="0"/>
    <n v="0"/>
    <n v="0"/>
    <n v="4"/>
    <n v="5"/>
    <n v="1"/>
    <n v="0"/>
    <n v="11"/>
    <n v="5"/>
    <n v="18"/>
    <n v="25"/>
    <n v="0"/>
    <n v="36"/>
    <n v="0"/>
    <n v="0"/>
    <n v="10"/>
    <n v="10"/>
    <n v="26"/>
  </r>
  <r>
    <x v="662"/>
    <x v="2"/>
    <x v="1367"/>
    <n v="1998"/>
    <n v="20"/>
    <x v="4"/>
    <s v="England"/>
    <n v="16500000"/>
    <n v="16500000"/>
    <x v="2"/>
    <n v="16"/>
    <n v="976"/>
    <x v="0"/>
    <n v="506"/>
    <x v="0"/>
    <x v="6"/>
    <x v="0"/>
    <n v="6"/>
    <n v="1"/>
    <n v="7"/>
    <n v="2"/>
    <n v="0"/>
    <n v="4"/>
    <n v="0"/>
    <n v="0"/>
    <n v="0"/>
    <n v="1"/>
    <n v="1"/>
    <n v="5"/>
    <n v="0"/>
    <n v="6"/>
    <n v="1"/>
    <n v="16"/>
    <n v="21"/>
    <n v="0"/>
    <n v="27"/>
    <n v="0"/>
    <n v="0"/>
    <n v="9"/>
    <n v="8"/>
    <n v="18"/>
  </r>
  <r>
    <x v="663"/>
    <x v="3"/>
    <x v="1368"/>
    <n v="1986"/>
    <n v="29"/>
    <x v="10"/>
    <s v="England"/>
    <n v="5000000"/>
    <n v="5000000"/>
    <x v="2"/>
    <n v="31"/>
    <n v="2024"/>
    <x v="4"/>
    <n v="1238"/>
    <x v="0"/>
    <x v="2"/>
    <x v="0"/>
    <n v="8"/>
    <n v="7"/>
    <n v="21"/>
    <n v="7"/>
    <n v="0"/>
    <n v="34"/>
    <n v="0"/>
    <n v="1"/>
    <n v="0"/>
    <n v="1"/>
    <n v="7"/>
    <n v="0"/>
    <n v="1"/>
    <n v="14"/>
    <n v="11"/>
    <n v="50"/>
    <n v="33"/>
    <n v="0"/>
    <n v="34"/>
    <n v="0"/>
    <n v="1"/>
    <n v="69"/>
    <n v="22"/>
    <n v="14"/>
  </r>
  <r>
    <x v="664"/>
    <x v="1"/>
    <x v="1369"/>
    <n v="1992"/>
    <n v="25"/>
    <x v="6"/>
    <s v="England"/>
    <n v="7000000"/>
    <n v="10000000"/>
    <x v="2"/>
    <n v="33"/>
    <n v="2453"/>
    <x v="5"/>
    <n v="685"/>
    <x v="0"/>
    <x v="0"/>
    <x v="0"/>
    <n v="6"/>
    <n v="10"/>
    <n v="70"/>
    <n v="20"/>
    <n v="2"/>
    <n v="1"/>
    <n v="0"/>
    <n v="0"/>
    <n v="0"/>
    <n v="10"/>
    <n v="2"/>
    <n v="50"/>
    <n v="36"/>
    <n v="59"/>
    <n v="0"/>
    <n v="12"/>
    <n v="22"/>
    <n v="0"/>
    <n v="35"/>
    <n v="0"/>
    <n v="0"/>
    <n v="11"/>
    <n v="17"/>
    <n v="44"/>
  </r>
  <r>
    <x v="665"/>
    <x v="1"/>
    <x v="1370"/>
    <n v="1987"/>
    <n v="30"/>
    <x v="23"/>
    <s v="Israel"/>
    <n v="2250000"/>
    <n v="2250000"/>
    <x v="0"/>
    <n v="16"/>
    <n v="848"/>
    <x v="5"/>
    <n v="234"/>
    <x v="5"/>
    <x v="0"/>
    <x v="0"/>
    <n v="7"/>
    <n v="6"/>
    <n v="17"/>
    <n v="7"/>
    <n v="1"/>
    <n v="8"/>
    <n v="1"/>
    <n v="0"/>
    <n v="0"/>
    <n v="7"/>
    <n v="0"/>
    <n v="10"/>
    <n v="0"/>
    <n v="1"/>
    <n v="1"/>
    <n v="2"/>
    <n v="10"/>
    <n v="0"/>
    <n v="7"/>
    <n v="0"/>
    <n v="0"/>
    <n v="12"/>
    <n v="67"/>
    <n v="88"/>
  </r>
  <r>
    <x v="666"/>
    <x v="0"/>
    <x v="1371"/>
    <n v="1987"/>
    <n v="27"/>
    <x v="14"/>
    <s v="England"/>
    <n v="900000"/>
    <n v="2700000"/>
    <x v="1"/>
    <n v="12"/>
    <n v="1012"/>
    <x v="4"/>
    <n v="457"/>
    <x v="0"/>
    <x v="3"/>
    <x v="0"/>
    <n v="1"/>
    <n v="0"/>
    <n v="4"/>
    <n v="0"/>
    <n v="0"/>
    <n v="30"/>
    <n v="1"/>
    <n v="0"/>
    <n v="0"/>
    <n v="1"/>
    <n v="0"/>
    <n v="0"/>
    <n v="0"/>
    <n v="0"/>
    <n v="1"/>
    <n v="32"/>
    <n v="10"/>
    <n v="0"/>
    <n v="11"/>
    <n v="0"/>
    <n v="0"/>
    <n v="52"/>
    <n v="36"/>
    <n v="18"/>
  </r>
  <r>
    <x v="667"/>
    <x v="1"/>
    <x v="1372"/>
    <n v="1992"/>
    <n v="25"/>
    <x v="6"/>
    <s v="England"/>
    <n v="1800000"/>
    <n v="2700000"/>
    <x v="1"/>
    <n v="24"/>
    <n v="1908"/>
    <x v="0"/>
    <n v="792"/>
    <x v="3"/>
    <x v="1"/>
    <x v="0"/>
    <n v="3"/>
    <n v="6"/>
    <n v="2"/>
    <n v="2"/>
    <n v="0"/>
    <n v="34"/>
    <n v="0"/>
    <n v="0"/>
    <n v="0"/>
    <n v="3"/>
    <n v="1"/>
    <n v="0"/>
    <n v="0"/>
    <n v="64"/>
    <n v="6"/>
    <n v="26"/>
    <n v="20"/>
    <n v="1"/>
    <n v="38"/>
    <n v="1"/>
    <n v="0"/>
    <n v="72"/>
    <n v="18"/>
    <n v="15"/>
  </r>
  <r>
    <x v="667"/>
    <x v="2"/>
    <x v="1373"/>
    <n v="1992"/>
    <n v="26"/>
    <x v="6"/>
    <s v="England"/>
    <n v="2700000"/>
    <n v="2700000"/>
    <x v="1"/>
    <n v="15"/>
    <n v="1142"/>
    <x v="0"/>
    <n v="486"/>
    <x v="0"/>
    <x v="4"/>
    <x v="1"/>
    <n v="2"/>
    <n v="1"/>
    <n v="3"/>
    <n v="0"/>
    <n v="0"/>
    <n v="5"/>
    <n v="0"/>
    <n v="0"/>
    <n v="0"/>
    <n v="0"/>
    <n v="0"/>
    <n v="3"/>
    <n v="0"/>
    <n v="24"/>
    <n v="4"/>
    <n v="18"/>
    <n v="10"/>
    <n v="0"/>
    <n v="26"/>
    <n v="0"/>
    <n v="0"/>
    <n v="26"/>
    <n v="14"/>
    <n v="14"/>
  </r>
  <r>
    <x v="668"/>
    <x v="2"/>
    <x v="1374"/>
    <n v="1998"/>
    <n v="20"/>
    <x v="13"/>
    <s v="England"/>
    <n v="22500000"/>
    <n v="72000000"/>
    <x v="1"/>
    <n v="29"/>
    <n v="2466"/>
    <x v="4"/>
    <n v="1697"/>
    <x v="12"/>
    <x v="6"/>
    <x v="0"/>
    <n v="2"/>
    <n v="7"/>
    <n v="29"/>
    <n v="9"/>
    <n v="3"/>
    <n v="22"/>
    <n v="0"/>
    <n v="0"/>
    <n v="1"/>
    <n v="4"/>
    <n v="3"/>
    <n v="20"/>
    <n v="74"/>
    <n v="201"/>
    <n v="3"/>
    <n v="35"/>
    <n v="14"/>
    <n v="0"/>
    <n v="61"/>
    <n v="0"/>
    <n v="0"/>
    <n v="62"/>
    <n v="9"/>
    <n v="23"/>
  </r>
  <r>
    <x v="668"/>
    <x v="1"/>
    <x v="1375"/>
    <n v="1998"/>
    <n v="19"/>
    <x v="13"/>
    <s v="England"/>
    <n v="1350000"/>
    <n v="22500000"/>
    <x v="1"/>
    <n v="19"/>
    <n v="1575"/>
    <x v="4"/>
    <n v="1007"/>
    <x v="3"/>
    <x v="6"/>
    <x v="0"/>
    <n v="1"/>
    <n v="4"/>
    <n v="12"/>
    <n v="5"/>
    <n v="0"/>
    <n v="11"/>
    <n v="0"/>
    <n v="0"/>
    <n v="0"/>
    <n v="3"/>
    <n v="3"/>
    <n v="7"/>
    <n v="11"/>
    <n v="102"/>
    <n v="5"/>
    <n v="28"/>
    <n v="12"/>
    <n v="0"/>
    <n v="37"/>
    <n v="0"/>
    <n v="0"/>
    <n v="39"/>
    <n v="5"/>
    <n v="17"/>
  </r>
  <r>
    <x v="669"/>
    <x v="0"/>
    <x v="1376"/>
    <n v="1988"/>
    <n v="27"/>
    <x v="9"/>
    <s v="England"/>
    <n v="8000000"/>
    <n v="9900000"/>
    <x v="0"/>
    <n v="38"/>
    <n v="3291"/>
    <x v="11"/>
    <n v="1289"/>
    <x v="4"/>
    <x v="8"/>
    <x v="0"/>
    <n v="2"/>
    <n v="3"/>
    <n v="94"/>
    <n v="32"/>
    <n v="1"/>
    <n v="36"/>
    <n v="3"/>
    <n v="6"/>
    <n v="0"/>
    <n v="18"/>
    <n v="9"/>
    <n v="3"/>
    <n v="2"/>
    <n v="27"/>
    <n v="4"/>
    <n v="17"/>
    <n v="50"/>
    <n v="0"/>
    <n v="49"/>
    <n v="0"/>
    <n v="1"/>
    <n v="48"/>
    <n v="235"/>
    <n v="212"/>
  </r>
  <r>
    <x v="669"/>
    <x v="3"/>
    <x v="1377"/>
    <n v="1988"/>
    <n v="28"/>
    <x v="9"/>
    <s v="England"/>
    <n v="9900000"/>
    <n v="9900000"/>
    <x v="0"/>
    <n v="37"/>
    <n v="2941"/>
    <x v="15"/>
    <n v="841"/>
    <x v="2"/>
    <x v="1"/>
    <x v="0"/>
    <n v="6"/>
    <n v="3"/>
    <n v="42"/>
    <n v="18"/>
    <n v="0"/>
    <n v="37"/>
    <n v="2"/>
    <n v="3"/>
    <n v="0"/>
    <n v="19"/>
    <n v="5"/>
    <n v="7"/>
    <n v="2"/>
    <n v="16"/>
    <n v="4"/>
    <n v="14"/>
    <n v="43"/>
    <n v="0"/>
    <n v="20"/>
    <n v="0"/>
    <n v="1"/>
    <n v="50"/>
    <n v="192"/>
    <n v="268"/>
  </r>
  <r>
    <x v="669"/>
    <x v="1"/>
    <x v="1378"/>
    <n v="1988"/>
    <n v="29"/>
    <x v="9"/>
    <s v="England"/>
    <n v="9900000"/>
    <n v="9000000"/>
    <x v="0"/>
    <n v="29"/>
    <n v="1841"/>
    <x v="2"/>
    <n v="542"/>
    <x v="5"/>
    <x v="3"/>
    <x v="1"/>
    <n v="9"/>
    <n v="6"/>
    <n v="36"/>
    <n v="15"/>
    <n v="0"/>
    <n v="14"/>
    <n v="0"/>
    <n v="3"/>
    <n v="0"/>
    <n v="16"/>
    <n v="1"/>
    <n v="21"/>
    <n v="0"/>
    <n v="7"/>
    <n v="1"/>
    <n v="5"/>
    <n v="24"/>
    <n v="0"/>
    <n v="15"/>
    <n v="0"/>
    <n v="0"/>
    <n v="20"/>
    <n v="135"/>
    <n v="186"/>
  </r>
  <r>
    <x v="669"/>
    <x v="2"/>
    <x v="1379"/>
    <n v="1988"/>
    <n v="30"/>
    <x v="9"/>
    <s v="England"/>
    <n v="9000000"/>
    <n v="9000000"/>
    <x v="0"/>
    <n v="32"/>
    <n v="2547"/>
    <x v="3"/>
    <n v="827"/>
    <x v="8"/>
    <x v="5"/>
    <x v="1"/>
    <n v="4"/>
    <n v="6"/>
    <n v="64"/>
    <n v="30"/>
    <n v="1"/>
    <n v="23"/>
    <n v="3"/>
    <n v="0"/>
    <n v="0"/>
    <n v="13"/>
    <n v="6"/>
    <n v="34"/>
    <n v="1"/>
    <n v="16"/>
    <n v="4"/>
    <n v="7"/>
    <n v="42"/>
    <n v="0"/>
    <n v="24"/>
    <n v="0"/>
    <n v="0"/>
    <n v="28"/>
    <n v="209"/>
    <n v="228"/>
  </r>
  <r>
    <x v="670"/>
    <x v="2"/>
    <x v="1380"/>
    <n v="1994"/>
    <n v="24"/>
    <x v="24"/>
    <s v="Spain"/>
    <n v="5400000"/>
    <n v="9000000"/>
    <x v="2"/>
    <n v="32"/>
    <n v="2578"/>
    <x v="2"/>
    <n v="885"/>
    <x v="2"/>
    <x v="0"/>
    <x v="0"/>
    <n v="1"/>
    <n v="11"/>
    <n v="41"/>
    <n v="12"/>
    <n v="2"/>
    <n v="11"/>
    <n v="0"/>
    <n v="1"/>
    <n v="0"/>
    <n v="1"/>
    <n v="13"/>
    <n v="29"/>
    <n v="77"/>
    <n v="121"/>
    <n v="2"/>
    <n v="33"/>
    <n v="23"/>
    <n v="0"/>
    <n v="28"/>
    <n v="0"/>
    <n v="0"/>
    <n v="25"/>
    <n v="20"/>
    <n v="31"/>
  </r>
  <r>
    <x v="671"/>
    <x v="0"/>
    <x v="1381"/>
    <n v="1989"/>
    <n v="26"/>
    <x v="21"/>
    <s v="Belgium"/>
    <n v="4950000"/>
    <n v="5250000"/>
    <x v="2"/>
    <n v="10"/>
    <n v="275"/>
    <x v="0"/>
    <n v="135"/>
    <x v="5"/>
    <x v="4"/>
    <x v="0"/>
    <n v="7"/>
    <n v="3"/>
    <n v="3"/>
    <n v="1"/>
    <n v="0"/>
    <n v="3"/>
    <n v="0"/>
    <n v="0"/>
    <n v="0"/>
    <n v="0"/>
    <n v="0"/>
    <n v="0"/>
    <n v="0"/>
    <n v="12"/>
    <n v="0"/>
    <n v="3"/>
    <n v="5"/>
    <n v="0"/>
    <n v="9"/>
    <n v="0"/>
    <n v="0"/>
    <n v="5"/>
    <n v="4"/>
    <n v="6"/>
  </r>
  <r>
    <x v="672"/>
    <x v="0"/>
    <x v="1382"/>
    <n v="1985"/>
    <n v="30"/>
    <x v="9"/>
    <s v="Switzerland"/>
    <n v="3850000"/>
    <n v="2750000"/>
    <x v="2"/>
    <n v="21"/>
    <n v="1280"/>
    <x v="0"/>
    <n v="508"/>
    <x v="0"/>
    <x v="6"/>
    <x v="1"/>
    <n v="7"/>
    <n v="6"/>
    <n v="1"/>
    <n v="0"/>
    <n v="0"/>
    <n v="5"/>
    <n v="0"/>
    <n v="0"/>
    <n v="0"/>
    <n v="0"/>
    <n v="1"/>
    <n v="0"/>
    <n v="0"/>
    <n v="3"/>
    <n v="5"/>
    <n v="49"/>
    <n v="33"/>
    <n v="0"/>
    <n v="66"/>
    <n v="1"/>
    <n v="0"/>
    <n v="10"/>
    <n v="12"/>
    <n v="25"/>
  </r>
  <r>
    <x v="672"/>
    <x v="3"/>
    <x v="1383"/>
    <n v="1985"/>
    <n v="31"/>
    <x v="9"/>
    <s v="Switzerland"/>
    <n v="2750000"/>
    <n v="2750000"/>
    <x v="2"/>
    <n v="27"/>
    <n v="2036"/>
    <x v="0"/>
    <n v="732"/>
    <x v="0"/>
    <x v="1"/>
    <x v="0"/>
    <n v="1"/>
    <n v="9"/>
    <n v="6"/>
    <n v="0"/>
    <n v="0"/>
    <n v="8"/>
    <n v="0"/>
    <n v="0"/>
    <n v="0"/>
    <n v="0"/>
    <n v="1"/>
    <n v="0"/>
    <n v="0"/>
    <n v="3"/>
    <n v="12"/>
    <n v="33"/>
    <n v="30"/>
    <n v="0"/>
    <n v="73"/>
    <n v="0"/>
    <n v="0"/>
    <n v="22"/>
    <n v="20"/>
    <n v="14"/>
  </r>
  <r>
    <x v="673"/>
    <x v="1"/>
    <x v="1384"/>
    <n v="1988"/>
    <n v="29"/>
    <x v="17"/>
    <s v="Spain"/>
    <n v="8100000"/>
    <n v="9000000"/>
    <x v="2"/>
    <n v="19"/>
    <n v="1415"/>
    <x v="7"/>
    <n v="857"/>
    <x v="0"/>
    <x v="0"/>
    <x v="0"/>
    <n v="2"/>
    <n v="7"/>
    <n v="14"/>
    <n v="4"/>
    <n v="0"/>
    <n v="30"/>
    <n v="2"/>
    <n v="0"/>
    <n v="0"/>
    <n v="2"/>
    <n v="2"/>
    <n v="10"/>
    <n v="0"/>
    <n v="1"/>
    <n v="11"/>
    <n v="19"/>
    <n v="19"/>
    <n v="0"/>
    <n v="23"/>
    <n v="0"/>
    <n v="0"/>
    <n v="49"/>
    <n v="0"/>
    <n v="34"/>
  </r>
  <r>
    <x v="674"/>
    <x v="0"/>
    <x v="1385"/>
    <n v="1988"/>
    <n v="27"/>
    <x v="18"/>
    <s v="Nigeria"/>
    <n v="3850000"/>
    <n v="1800000"/>
    <x v="0"/>
    <n v="10"/>
    <n v="365"/>
    <x v="0"/>
    <n v="108"/>
    <x v="0"/>
    <x v="0"/>
    <x v="0"/>
    <n v="7"/>
    <n v="2"/>
    <n v="13"/>
    <n v="4"/>
    <n v="2"/>
    <n v="7"/>
    <n v="0"/>
    <n v="0"/>
    <n v="0"/>
    <n v="4"/>
    <n v="1"/>
    <n v="1"/>
    <n v="0"/>
    <n v="2"/>
    <n v="0"/>
    <n v="2"/>
    <n v="2"/>
    <n v="0"/>
    <n v="2"/>
    <n v="0"/>
    <n v="0"/>
    <n v="8"/>
    <n v="28"/>
    <n v="19"/>
  </r>
  <r>
    <x v="674"/>
    <x v="3"/>
    <x v="1386"/>
    <n v="1988"/>
    <n v="28"/>
    <x v="12"/>
    <s v="Nigeria"/>
    <n v="1800000"/>
    <n v="1350000"/>
    <x v="0"/>
    <n v="18"/>
    <n v="1216"/>
    <x v="7"/>
    <n v="366"/>
    <x v="0"/>
    <x v="4"/>
    <x v="0"/>
    <n v="4"/>
    <n v="2"/>
    <n v="30"/>
    <n v="9"/>
    <n v="1"/>
    <n v="23"/>
    <n v="0"/>
    <n v="0"/>
    <n v="0"/>
    <n v="6"/>
    <n v="0"/>
    <n v="1"/>
    <n v="0"/>
    <n v="37"/>
    <n v="1"/>
    <n v="8"/>
    <n v="27"/>
    <n v="0"/>
    <n v="9"/>
    <n v="0"/>
    <n v="0"/>
    <n v="30"/>
    <n v="79"/>
    <n v="50"/>
  </r>
  <r>
    <x v="675"/>
    <x v="2"/>
    <x v="1387"/>
    <n v="1994"/>
    <n v="24"/>
    <x v="22"/>
    <s v="Sweden"/>
    <n v="27000000"/>
    <n v="38500000"/>
    <x v="1"/>
    <n v="30"/>
    <n v="2602"/>
    <x v="4"/>
    <n v="1490"/>
    <x v="3"/>
    <x v="0"/>
    <x v="0"/>
    <n v="1"/>
    <n v="2"/>
    <n v="8"/>
    <n v="1"/>
    <n v="0"/>
    <n v="63"/>
    <n v="0"/>
    <n v="0"/>
    <n v="0"/>
    <n v="0"/>
    <n v="1"/>
    <n v="7"/>
    <n v="0"/>
    <n v="1"/>
    <n v="12"/>
    <n v="24"/>
    <n v="19"/>
    <n v="1"/>
    <n v="40"/>
    <n v="0"/>
    <n v="1"/>
    <n v="118"/>
    <n v="69"/>
    <n v="41"/>
  </r>
  <r>
    <x v="675"/>
    <x v="1"/>
    <x v="1388"/>
    <n v="1994"/>
    <n v="23"/>
    <x v="22"/>
    <s v="Sweden"/>
    <n v="24200000"/>
    <n v="27000000"/>
    <x v="1"/>
    <n v="17"/>
    <n v="1284"/>
    <x v="0"/>
    <n v="751"/>
    <x v="0"/>
    <x v="3"/>
    <x v="0"/>
    <n v="4"/>
    <n v="0"/>
    <n v="0"/>
    <n v="0"/>
    <n v="0"/>
    <n v="36"/>
    <n v="0"/>
    <n v="0"/>
    <n v="0"/>
    <n v="0"/>
    <n v="0"/>
    <n v="0"/>
    <n v="0"/>
    <n v="1"/>
    <n v="11"/>
    <n v="13"/>
    <n v="10"/>
    <n v="0"/>
    <n v="17"/>
    <n v="1"/>
    <n v="0"/>
    <n v="64"/>
    <n v="22"/>
    <n v="25"/>
  </r>
  <r>
    <x v="676"/>
    <x v="0"/>
    <x v="1389"/>
    <n v="1990"/>
    <n v="24"/>
    <x v="3"/>
    <s v="Nigeria"/>
    <n v="6300000"/>
    <n v="6300000"/>
    <x v="0"/>
    <n v="21"/>
    <n v="981"/>
    <x v="4"/>
    <n v="280"/>
    <x v="5"/>
    <x v="0"/>
    <x v="0"/>
    <n v="8"/>
    <n v="11"/>
    <n v="22"/>
    <n v="4"/>
    <n v="1"/>
    <n v="3"/>
    <n v="0"/>
    <n v="0"/>
    <n v="0"/>
    <n v="6"/>
    <n v="1"/>
    <n v="3"/>
    <n v="6"/>
    <n v="35"/>
    <n v="0"/>
    <n v="10"/>
    <n v="17"/>
    <n v="0"/>
    <n v="13"/>
    <n v="0"/>
    <n v="0"/>
    <n v="3"/>
    <n v="7"/>
    <n v="14"/>
  </r>
  <r>
    <x v="676"/>
    <x v="3"/>
    <x v="1390"/>
    <n v="1990"/>
    <n v="25"/>
    <x v="1"/>
    <s v="Nigeria"/>
    <n v="6300000"/>
    <n v="16200000"/>
    <x v="0"/>
    <n v="34"/>
    <n v="2494"/>
    <x v="7"/>
    <n v="1010"/>
    <x v="5"/>
    <x v="5"/>
    <x v="0"/>
    <n v="5"/>
    <n v="20"/>
    <n v="45"/>
    <n v="15"/>
    <n v="2"/>
    <n v="30"/>
    <n v="0"/>
    <n v="0"/>
    <n v="0"/>
    <n v="3"/>
    <n v="3"/>
    <n v="2"/>
    <n v="10"/>
    <n v="120"/>
    <n v="7"/>
    <n v="41"/>
    <n v="28"/>
    <n v="0"/>
    <n v="47"/>
    <n v="0"/>
    <n v="0"/>
    <n v="48"/>
    <n v="35"/>
    <n v="57"/>
  </r>
  <r>
    <x v="676"/>
    <x v="1"/>
    <x v="1391"/>
    <n v="1990"/>
    <n v="27"/>
    <x v="1"/>
    <s v="Nigeria"/>
    <n v="16200000"/>
    <n v="18000000"/>
    <x v="2"/>
    <n v="28"/>
    <n v="2118"/>
    <x v="7"/>
    <n v="833"/>
    <x v="6"/>
    <x v="6"/>
    <x v="0"/>
    <n v="3"/>
    <n v="11"/>
    <n v="35"/>
    <n v="11"/>
    <n v="0"/>
    <n v="20"/>
    <n v="0"/>
    <n v="0"/>
    <n v="0"/>
    <n v="9"/>
    <n v="2"/>
    <n v="24"/>
    <n v="0"/>
    <n v="90"/>
    <n v="4"/>
    <n v="15"/>
    <n v="23"/>
    <n v="0"/>
    <n v="37"/>
    <n v="0"/>
    <n v="0"/>
    <n v="31"/>
    <n v="28"/>
    <n v="42"/>
  </r>
  <r>
    <x v="677"/>
    <x v="0"/>
    <x v="1392"/>
    <n v="1991"/>
    <n v="24"/>
    <x v="27"/>
    <s v="Kenya"/>
    <n v="16500000"/>
    <n v="16500000"/>
    <x v="2"/>
    <n v="30"/>
    <n v="2500"/>
    <x v="4"/>
    <n v="1352"/>
    <x v="0"/>
    <x v="5"/>
    <x v="3"/>
    <n v="0"/>
    <n v="3"/>
    <n v="31"/>
    <n v="5"/>
    <n v="0"/>
    <n v="28"/>
    <n v="0"/>
    <n v="0"/>
    <n v="0"/>
    <n v="0"/>
    <n v="0"/>
    <n v="0"/>
    <n v="0"/>
    <n v="7"/>
    <n v="6"/>
    <n v="68"/>
    <n v="50"/>
    <n v="0"/>
    <n v="94"/>
    <n v="1"/>
    <n v="0"/>
    <n v="62"/>
    <n v="64"/>
    <n v="68"/>
  </r>
  <r>
    <x v="677"/>
    <x v="3"/>
    <x v="1393"/>
    <n v="1991"/>
    <n v="25"/>
    <x v="26"/>
    <s v="Kenya"/>
    <n v="16500000"/>
    <n v="27500000"/>
    <x v="2"/>
    <n v="36"/>
    <n v="3015"/>
    <x v="6"/>
    <n v="1971"/>
    <x v="3"/>
    <x v="7"/>
    <x v="0"/>
    <n v="0"/>
    <n v="5"/>
    <n v="40"/>
    <n v="13"/>
    <n v="0"/>
    <n v="38"/>
    <n v="3"/>
    <n v="0"/>
    <n v="0"/>
    <n v="0"/>
    <n v="1"/>
    <n v="3"/>
    <n v="0"/>
    <n v="14"/>
    <n v="9"/>
    <n v="40"/>
    <n v="66"/>
    <n v="0"/>
    <n v="90"/>
    <n v="0"/>
    <n v="0"/>
    <n v="69"/>
    <n v="62"/>
    <n v="61"/>
  </r>
  <r>
    <x v="677"/>
    <x v="1"/>
    <x v="1394"/>
    <n v="1991"/>
    <n v="26"/>
    <x v="26"/>
    <s v="Kenya"/>
    <n v="27500000"/>
    <n v="33000000"/>
    <x v="2"/>
    <n v="18"/>
    <n v="839"/>
    <x v="4"/>
    <n v="617"/>
    <x v="0"/>
    <x v="4"/>
    <x v="0"/>
    <n v="10"/>
    <n v="2"/>
    <n v="12"/>
    <n v="3"/>
    <n v="0"/>
    <n v="13"/>
    <n v="0"/>
    <n v="0"/>
    <n v="0"/>
    <n v="0"/>
    <n v="1"/>
    <n v="9"/>
    <n v="0"/>
    <n v="2"/>
    <n v="3"/>
    <n v="10"/>
    <n v="13"/>
    <n v="0"/>
    <n v="30"/>
    <n v="1"/>
    <n v="0"/>
    <n v="20"/>
    <n v="18"/>
    <n v="15"/>
  </r>
  <r>
    <x v="677"/>
    <x v="2"/>
    <x v="1395"/>
    <n v="1991"/>
    <n v="27"/>
    <x v="26"/>
    <s v="Kenya"/>
    <n v="33000000"/>
    <n v="22000000"/>
    <x v="2"/>
    <n v="13"/>
    <n v="513"/>
    <x v="4"/>
    <n v="326"/>
    <x v="0"/>
    <x v="4"/>
    <x v="0"/>
    <n v="9"/>
    <n v="2"/>
    <n v="7"/>
    <n v="2"/>
    <n v="0"/>
    <n v="5"/>
    <n v="0"/>
    <n v="0"/>
    <n v="0"/>
    <n v="0"/>
    <n v="0"/>
    <n v="5"/>
    <n v="0"/>
    <n v="3"/>
    <n v="3"/>
    <n v="7"/>
    <n v="10"/>
    <n v="0"/>
    <n v="13"/>
    <n v="0"/>
    <n v="0"/>
    <n v="9"/>
    <n v="14"/>
    <n v="14"/>
  </r>
  <r>
    <x v="678"/>
    <x v="3"/>
    <x v="1396"/>
    <n v="1994"/>
    <n v="22"/>
    <x v="2"/>
    <s v="Denmark"/>
    <n v="5500000"/>
    <n v="5500000"/>
    <x v="2"/>
    <n v="13"/>
    <n v="438"/>
    <x v="0"/>
    <n v="146"/>
    <x v="6"/>
    <x v="0"/>
    <x v="0"/>
    <n v="7"/>
    <n v="5"/>
    <n v="12"/>
    <n v="2"/>
    <n v="1"/>
    <n v="0"/>
    <n v="0"/>
    <n v="0"/>
    <n v="0"/>
    <n v="3"/>
    <n v="0"/>
    <n v="0"/>
    <n v="11"/>
    <n v="16"/>
    <n v="0"/>
    <n v="0"/>
    <n v="1"/>
    <n v="0"/>
    <n v="3"/>
    <n v="0"/>
    <n v="0"/>
    <n v="1"/>
    <n v="3"/>
    <n v="4"/>
  </r>
  <r>
    <x v="679"/>
    <x v="3"/>
    <x v="1397"/>
    <n v="1994"/>
    <n v="22"/>
    <x v="26"/>
    <s v="Netherlands"/>
    <n v="11700000"/>
    <n v="11700000"/>
    <x v="0"/>
    <n v="27"/>
    <n v="832"/>
    <x v="5"/>
    <n v="225"/>
    <x v="5"/>
    <x v="0"/>
    <x v="0"/>
    <n v="20"/>
    <n v="4"/>
    <n v="30"/>
    <n v="14"/>
    <n v="1"/>
    <n v="2"/>
    <n v="0"/>
    <n v="1"/>
    <n v="0"/>
    <n v="8"/>
    <n v="1"/>
    <n v="5"/>
    <n v="0"/>
    <n v="10"/>
    <n v="0"/>
    <n v="2"/>
    <n v="31"/>
    <n v="0"/>
    <n v="15"/>
    <n v="0"/>
    <n v="0"/>
    <n v="2"/>
    <n v="3"/>
    <n v="14"/>
  </r>
  <r>
    <x v="680"/>
    <x v="0"/>
    <x v="1398"/>
    <n v="1986"/>
    <n v="29"/>
    <x v="19"/>
    <s v="Belgium"/>
    <n v="27000000"/>
    <n v="27000000"/>
    <x v="1"/>
    <n v="14"/>
    <n v="1179"/>
    <x v="5"/>
    <n v="678"/>
    <x v="0"/>
    <x v="2"/>
    <x v="0"/>
    <n v="1"/>
    <n v="1"/>
    <n v="11"/>
    <n v="3"/>
    <n v="0"/>
    <n v="45"/>
    <n v="2"/>
    <n v="0"/>
    <n v="0"/>
    <n v="0"/>
    <n v="0"/>
    <n v="0"/>
    <n v="0"/>
    <n v="0"/>
    <n v="4"/>
    <n v="23"/>
    <n v="15"/>
    <n v="0"/>
    <n v="20"/>
    <n v="0"/>
    <n v="0"/>
    <n v="78"/>
    <n v="35"/>
    <n v="6"/>
  </r>
  <r>
    <x v="680"/>
    <x v="1"/>
    <x v="1399"/>
    <n v="1986"/>
    <n v="31"/>
    <x v="19"/>
    <s v="Belgium"/>
    <n v="19800000"/>
    <n v="9000000"/>
    <x v="1"/>
    <n v="17"/>
    <n v="1396"/>
    <x v="4"/>
    <n v="1429"/>
    <x v="3"/>
    <x v="8"/>
    <x v="0"/>
    <n v="0"/>
    <n v="3"/>
    <n v="9"/>
    <n v="2"/>
    <n v="0"/>
    <n v="39"/>
    <n v="1"/>
    <n v="0"/>
    <n v="0"/>
    <n v="0"/>
    <n v="1"/>
    <n v="7"/>
    <n v="0"/>
    <n v="0"/>
    <n v="8"/>
    <n v="16"/>
    <n v="18"/>
    <n v="1"/>
    <n v="20"/>
    <n v="0"/>
    <n v="0"/>
    <n v="71"/>
    <n v="42"/>
    <n v="12"/>
  </r>
  <r>
    <x v="680"/>
    <x v="2"/>
    <x v="1400"/>
    <n v="1986"/>
    <n v="32"/>
    <x v="19"/>
    <s v="Belgium"/>
    <n v="9000000"/>
    <n v="7200000"/>
    <x v="1"/>
    <n v="17"/>
    <n v="1223"/>
    <x v="4"/>
    <n v="1227"/>
    <x v="0"/>
    <x v="8"/>
    <x v="0"/>
    <n v="4"/>
    <n v="3"/>
    <n v="5"/>
    <n v="1"/>
    <n v="0"/>
    <n v="38"/>
    <n v="0"/>
    <n v="0"/>
    <n v="0"/>
    <n v="1"/>
    <n v="0"/>
    <n v="4"/>
    <n v="0"/>
    <n v="0"/>
    <n v="8"/>
    <n v="16"/>
    <n v="17"/>
    <n v="0"/>
    <n v="16"/>
    <n v="0"/>
    <n v="0"/>
    <n v="55"/>
    <n v="36"/>
    <n v="17"/>
  </r>
  <r>
    <x v="680"/>
    <x v="3"/>
    <x v="1401"/>
    <n v="1986"/>
    <n v="30"/>
    <x v="19"/>
    <s v="Belgium"/>
    <n v="27000000"/>
    <n v="19800000"/>
    <x v="1"/>
    <n v="11"/>
    <n v="823"/>
    <x v="7"/>
    <n v="557"/>
    <x v="0"/>
    <x v="2"/>
    <x v="0"/>
    <n v="1"/>
    <n v="3"/>
    <n v="9"/>
    <n v="3"/>
    <n v="0"/>
    <n v="28"/>
    <n v="2"/>
    <n v="0"/>
    <n v="0"/>
    <n v="0"/>
    <n v="0"/>
    <n v="0"/>
    <n v="0"/>
    <n v="1"/>
    <n v="3"/>
    <n v="16"/>
    <n v="19"/>
    <n v="0"/>
    <n v="15"/>
    <n v="0"/>
    <n v="0"/>
    <n v="42"/>
    <n v="19"/>
    <n v="9"/>
  </r>
  <r>
    <x v="681"/>
    <x v="3"/>
    <x v="1402"/>
    <n v="1991"/>
    <n v="25"/>
    <x v="27"/>
    <s v="Netherlands"/>
    <n v="10800000"/>
    <n v="27000000"/>
    <x v="1"/>
    <n v="21"/>
    <n v="1854"/>
    <x v="4"/>
    <n v="980"/>
    <x v="0"/>
    <x v="6"/>
    <x v="0"/>
    <n v="0"/>
    <n v="0"/>
    <n v="17"/>
    <n v="5"/>
    <n v="2"/>
    <n v="87"/>
    <n v="1"/>
    <n v="0"/>
    <n v="0"/>
    <n v="0"/>
    <n v="0"/>
    <n v="0"/>
    <n v="0"/>
    <n v="0"/>
    <n v="15"/>
    <n v="54"/>
    <n v="18"/>
    <n v="0"/>
    <n v="39"/>
    <n v="0"/>
    <n v="0"/>
    <n v="142"/>
    <n v="98"/>
    <n v="32"/>
  </r>
  <r>
    <x v="681"/>
    <x v="2"/>
    <x v="1403"/>
    <n v="1991"/>
    <n v="27"/>
    <x v="13"/>
    <s v="Netherlands"/>
    <n v="45000000"/>
    <n v="81000000"/>
    <x v="1"/>
    <n v="38"/>
    <n v="3385"/>
    <x v="6"/>
    <n v="3037"/>
    <x v="5"/>
    <x v="0"/>
    <x v="0"/>
    <n v="0"/>
    <n v="1"/>
    <n v="31"/>
    <n v="8"/>
    <n v="4"/>
    <n v="112"/>
    <n v="3"/>
    <n v="0"/>
    <n v="0"/>
    <n v="1"/>
    <n v="0"/>
    <n v="23"/>
    <n v="0"/>
    <n v="0"/>
    <n v="18"/>
    <n v="40"/>
    <n v="12"/>
    <n v="0"/>
    <n v="38"/>
    <n v="0"/>
    <n v="0"/>
    <n v="199"/>
    <n v="181"/>
    <n v="63"/>
  </r>
  <r>
    <x v="681"/>
    <x v="0"/>
    <x v="1404"/>
    <n v="1991"/>
    <n v="24"/>
    <x v="27"/>
    <s v="Netherlands"/>
    <n v="9000000"/>
    <n v="10800000"/>
    <x v="1"/>
    <n v="34"/>
    <n v="3060"/>
    <x v="7"/>
    <n v="1388"/>
    <x v="0"/>
    <x v="4"/>
    <x v="0"/>
    <n v="0"/>
    <n v="0"/>
    <n v="30"/>
    <n v="10"/>
    <n v="5"/>
    <n v="160"/>
    <n v="0"/>
    <n v="0"/>
    <n v="0"/>
    <n v="2"/>
    <n v="0"/>
    <n v="2"/>
    <n v="0"/>
    <n v="2"/>
    <n v="22"/>
    <n v="96"/>
    <n v="28"/>
    <n v="1"/>
    <n v="59"/>
    <n v="0"/>
    <n v="0"/>
    <n v="260"/>
    <n v="163"/>
    <n v="58"/>
  </r>
  <r>
    <x v="681"/>
    <x v="1"/>
    <x v="1405"/>
    <n v="1991"/>
    <n v="26"/>
    <x v="13"/>
    <s v="Netherlands"/>
    <n v="27000000"/>
    <n v="45000000"/>
    <x v="1"/>
    <n v="26"/>
    <n v="2253"/>
    <x v="0"/>
    <n v="1770"/>
    <x v="0"/>
    <x v="3"/>
    <x v="0"/>
    <n v="1"/>
    <n v="0"/>
    <n v="27"/>
    <n v="6"/>
    <n v="0"/>
    <n v="96"/>
    <n v="0"/>
    <n v="0"/>
    <n v="0"/>
    <n v="0"/>
    <n v="3"/>
    <n v="21"/>
    <n v="0"/>
    <n v="1"/>
    <n v="15"/>
    <n v="47"/>
    <n v="14"/>
    <n v="0"/>
    <n v="25"/>
    <n v="0"/>
    <n v="0"/>
    <n v="157"/>
    <n v="139"/>
    <n v="51"/>
  </r>
  <r>
    <x v="682"/>
    <x v="0"/>
    <x v="1406"/>
    <n v="1989"/>
    <n v="26"/>
    <x v="20"/>
    <s v="Netherlands"/>
    <n v="3600000"/>
    <n v="3600000"/>
    <x v="2"/>
    <n v="28"/>
    <n v="2106"/>
    <x v="4"/>
    <n v="990"/>
    <x v="6"/>
    <x v="8"/>
    <x v="0"/>
    <n v="4"/>
    <n v="10"/>
    <n v="8"/>
    <n v="2"/>
    <n v="0"/>
    <n v="18"/>
    <n v="0"/>
    <n v="0"/>
    <n v="0"/>
    <n v="0"/>
    <n v="2"/>
    <n v="0"/>
    <n v="0"/>
    <n v="28"/>
    <n v="8"/>
    <n v="56"/>
    <n v="29"/>
    <n v="0"/>
    <n v="74"/>
    <n v="0"/>
    <n v="0"/>
    <n v="40"/>
    <n v="16"/>
    <n v="21"/>
  </r>
  <r>
    <x v="683"/>
    <x v="0"/>
    <x v="1407"/>
    <n v="1991"/>
    <n v="24"/>
    <x v="12"/>
    <s v="Tunisia"/>
    <n v="7700000"/>
    <n v="8100000"/>
    <x v="0"/>
    <n v="14"/>
    <n v="1077"/>
    <x v="5"/>
    <n v="327"/>
    <x v="3"/>
    <x v="6"/>
    <x v="0"/>
    <n v="1"/>
    <n v="7"/>
    <n v="24"/>
    <n v="0"/>
    <n v="2"/>
    <n v="1"/>
    <n v="0"/>
    <n v="0"/>
    <n v="1"/>
    <n v="4"/>
    <n v="1"/>
    <n v="0"/>
    <n v="57"/>
    <n v="88"/>
    <n v="0"/>
    <n v="14"/>
    <n v="18"/>
    <n v="0"/>
    <n v="27"/>
    <n v="0"/>
    <n v="0"/>
    <n v="8"/>
    <n v="5"/>
    <n v="14"/>
  </r>
  <r>
    <x v="683"/>
    <x v="3"/>
    <x v="1408"/>
    <n v="1991"/>
    <n v="25"/>
    <x v="12"/>
    <s v="Tunisia"/>
    <n v="8100000"/>
    <n v="6300000"/>
    <x v="2"/>
    <n v="21"/>
    <n v="838"/>
    <x v="4"/>
    <n v="318"/>
    <x v="0"/>
    <x v="8"/>
    <x v="0"/>
    <n v="14"/>
    <n v="3"/>
    <n v="23"/>
    <n v="10"/>
    <n v="0"/>
    <n v="0"/>
    <n v="0"/>
    <n v="0"/>
    <n v="0"/>
    <n v="7"/>
    <n v="4"/>
    <n v="1"/>
    <n v="41"/>
    <n v="67"/>
    <n v="0"/>
    <n v="8"/>
    <n v="20"/>
    <n v="0"/>
    <n v="10"/>
    <n v="0"/>
    <n v="0"/>
    <n v="2"/>
    <n v="4"/>
    <n v="9"/>
  </r>
  <r>
    <x v="684"/>
    <x v="0"/>
    <x v="1409"/>
    <n v="1985"/>
    <n v="29"/>
    <x v="22"/>
    <s v="England"/>
    <n v="40000000"/>
    <n v="31500000"/>
    <x v="0"/>
    <n v="28"/>
    <n v="2410"/>
    <x v="9"/>
    <n v="1144"/>
    <x v="1"/>
    <x v="5"/>
    <x v="0"/>
    <n v="1"/>
    <n v="4"/>
    <n v="72"/>
    <n v="25"/>
    <n v="0"/>
    <n v="7"/>
    <n v="0"/>
    <n v="1"/>
    <n v="0"/>
    <n v="15"/>
    <n v="4"/>
    <n v="3"/>
    <n v="5"/>
    <n v="51"/>
    <n v="7"/>
    <n v="9"/>
    <n v="28"/>
    <n v="0"/>
    <n v="29"/>
    <n v="0"/>
    <n v="0"/>
    <n v="15"/>
    <n v="25"/>
    <n v="57"/>
  </r>
  <r>
    <x v="684"/>
    <x v="3"/>
    <x v="1410"/>
    <n v="1985"/>
    <n v="30"/>
    <x v="22"/>
    <s v="England"/>
    <n v="31500000"/>
    <n v="13500000"/>
    <x v="0"/>
    <n v="25"/>
    <n v="1539"/>
    <x v="2"/>
    <n v="779"/>
    <x v="8"/>
    <x v="9"/>
    <x v="0"/>
    <n v="10"/>
    <n v="9"/>
    <n v="52"/>
    <n v="19"/>
    <n v="1"/>
    <n v="6"/>
    <n v="1"/>
    <n v="1"/>
    <n v="1"/>
    <n v="7"/>
    <n v="4"/>
    <n v="6"/>
    <n v="50"/>
    <n v="97"/>
    <n v="3"/>
    <n v="17"/>
    <n v="23"/>
    <n v="0"/>
    <n v="21"/>
    <n v="0"/>
    <n v="0"/>
    <n v="10"/>
    <n v="12"/>
    <n v="36"/>
  </r>
  <r>
    <x v="684"/>
    <x v="1"/>
    <x v="1411"/>
    <n v="1985"/>
    <n v="32"/>
    <x v="4"/>
    <s v="England"/>
    <n v="13500000"/>
    <n v="9000000"/>
    <x v="0"/>
    <n v="31"/>
    <n v="2282"/>
    <x v="15"/>
    <n v="1162"/>
    <x v="5"/>
    <x v="2"/>
    <x v="0"/>
    <n v="4"/>
    <n v="20"/>
    <n v="45"/>
    <n v="17"/>
    <n v="1"/>
    <n v="16"/>
    <n v="2"/>
    <n v="3"/>
    <n v="0"/>
    <n v="8"/>
    <n v="9"/>
    <n v="28"/>
    <n v="30"/>
    <n v="62"/>
    <n v="6"/>
    <n v="16"/>
    <n v="35"/>
    <n v="0"/>
    <n v="28"/>
    <n v="0"/>
    <n v="0"/>
    <n v="36"/>
    <n v="25"/>
    <n v="34"/>
  </r>
  <r>
    <x v="685"/>
    <x v="1"/>
    <x v="1412"/>
    <n v="1985"/>
    <n v="32"/>
    <x v="0"/>
    <s v="England"/>
    <n v="2750000"/>
    <n v="1650000"/>
    <x v="2"/>
    <n v="15"/>
    <n v="423"/>
    <x v="0"/>
    <n v="160"/>
    <x v="0"/>
    <x v="3"/>
    <x v="0"/>
    <n v="11"/>
    <n v="3"/>
    <n v="2"/>
    <n v="2"/>
    <n v="0"/>
    <n v="1"/>
    <n v="0"/>
    <n v="0"/>
    <n v="0"/>
    <n v="0"/>
    <n v="0"/>
    <n v="0"/>
    <n v="3"/>
    <n v="15"/>
    <n v="0"/>
    <n v="2"/>
    <n v="9"/>
    <n v="0"/>
    <n v="10"/>
    <n v="0"/>
    <n v="0"/>
    <n v="4"/>
    <n v="5"/>
    <n v="9"/>
  </r>
  <r>
    <x v="685"/>
    <x v="0"/>
    <x v="1413"/>
    <n v="1985"/>
    <n v="30"/>
    <x v="0"/>
    <s v="England"/>
    <n v="3300000"/>
    <n v="3300000"/>
    <x v="2"/>
    <n v="28"/>
    <n v="1680"/>
    <x v="5"/>
    <n v="651"/>
    <x v="3"/>
    <x v="6"/>
    <x v="0"/>
    <n v="6"/>
    <n v="17"/>
    <n v="18"/>
    <n v="9"/>
    <n v="0"/>
    <n v="3"/>
    <n v="0"/>
    <n v="0"/>
    <n v="0"/>
    <n v="7"/>
    <n v="3"/>
    <n v="2"/>
    <n v="5"/>
    <n v="67"/>
    <n v="1"/>
    <n v="12"/>
    <n v="30"/>
    <n v="0"/>
    <n v="23"/>
    <n v="0"/>
    <n v="0"/>
    <n v="9"/>
    <n v="5"/>
    <n v="34"/>
  </r>
  <r>
    <x v="685"/>
    <x v="3"/>
    <x v="1414"/>
    <n v="1985"/>
    <n v="31"/>
    <x v="0"/>
    <s v="England"/>
    <n v="3300000"/>
    <n v="2750000"/>
    <x v="2"/>
    <n v="27"/>
    <n v="1927"/>
    <x v="7"/>
    <n v="561"/>
    <x v="3"/>
    <x v="3"/>
    <x v="0"/>
    <n v="3"/>
    <n v="17"/>
    <n v="19"/>
    <n v="9"/>
    <n v="0"/>
    <n v="8"/>
    <n v="1"/>
    <n v="0"/>
    <n v="0"/>
    <n v="9"/>
    <n v="0"/>
    <n v="4"/>
    <n v="3"/>
    <n v="82"/>
    <n v="0"/>
    <n v="15"/>
    <n v="28"/>
    <n v="0"/>
    <n v="22"/>
    <n v="1"/>
    <n v="0"/>
    <n v="19"/>
    <n v="12"/>
    <n v="43"/>
  </r>
  <r>
    <x v="686"/>
    <x v="0"/>
    <x v="1415"/>
    <n v="1982"/>
    <n v="33"/>
    <x v="21"/>
    <s v="Ireland"/>
    <n v="900000"/>
    <n v="1800000"/>
    <x v="2"/>
    <n v="30"/>
    <n v="2005"/>
    <x v="6"/>
    <n v="1113"/>
    <x v="7"/>
    <x v="3"/>
    <x v="0"/>
    <n v="5"/>
    <n v="20"/>
    <n v="26"/>
    <n v="8"/>
    <n v="0"/>
    <n v="0"/>
    <n v="0"/>
    <n v="1"/>
    <n v="0"/>
    <n v="5"/>
    <n v="6"/>
    <n v="2"/>
    <n v="10"/>
    <n v="54"/>
    <n v="0"/>
    <n v="15"/>
    <n v="19"/>
    <n v="0"/>
    <n v="27"/>
    <n v="0"/>
    <n v="0"/>
    <n v="1"/>
    <n v="3"/>
    <n v="14"/>
  </r>
  <r>
    <x v="687"/>
    <x v="2"/>
    <x v="1416"/>
    <n v="1984"/>
    <n v="34"/>
    <x v="17"/>
    <s v="Jamaica"/>
    <n v="2700000"/>
    <n v="1800000"/>
    <x v="1"/>
    <n v="22"/>
    <n v="1926"/>
    <x v="7"/>
    <n v="892"/>
    <x v="0"/>
    <x v="3"/>
    <x v="2"/>
    <n v="1"/>
    <n v="0"/>
    <n v="14"/>
    <n v="5"/>
    <n v="0"/>
    <n v="67"/>
    <n v="2"/>
    <n v="0"/>
    <n v="0"/>
    <n v="3"/>
    <n v="0"/>
    <n v="9"/>
    <n v="0"/>
    <n v="0"/>
    <n v="10"/>
    <n v="32"/>
    <n v="18"/>
    <n v="0"/>
    <n v="27"/>
    <n v="0"/>
    <n v="0"/>
    <n v="104"/>
    <n v="91"/>
    <n v="43"/>
  </r>
  <r>
    <x v="687"/>
    <x v="1"/>
    <x v="1417"/>
    <n v="1984"/>
    <n v="33"/>
    <x v="17"/>
    <s v="Jamaica"/>
    <n v="2700000"/>
    <n v="2700000"/>
    <x v="1"/>
    <n v="32"/>
    <n v="2818"/>
    <x v="0"/>
    <n v="913"/>
    <x v="0"/>
    <x v="5"/>
    <x v="0"/>
    <n v="0"/>
    <n v="1"/>
    <n v="13"/>
    <n v="3"/>
    <n v="0"/>
    <n v="79"/>
    <n v="0"/>
    <n v="0"/>
    <n v="0"/>
    <n v="0"/>
    <n v="0"/>
    <n v="10"/>
    <n v="0"/>
    <n v="0"/>
    <n v="27"/>
    <n v="31"/>
    <n v="31"/>
    <n v="0"/>
    <n v="35"/>
    <n v="0"/>
    <n v="0"/>
    <n v="143"/>
    <n v="93"/>
    <n v="58"/>
  </r>
  <r>
    <x v="687"/>
    <x v="0"/>
    <x v="1418"/>
    <n v="1984"/>
    <n v="31"/>
    <x v="17"/>
    <s v="Jamaica"/>
    <n v="1350000"/>
    <n v="3150000"/>
    <x v="1"/>
    <n v="38"/>
    <n v="3420"/>
    <x v="5"/>
    <n v="818"/>
    <x v="0"/>
    <x v="6"/>
    <x v="0"/>
    <n v="0"/>
    <n v="0"/>
    <n v="21"/>
    <n v="6"/>
    <n v="0"/>
    <n v="123"/>
    <n v="2"/>
    <n v="0"/>
    <n v="0"/>
    <n v="0"/>
    <n v="2"/>
    <n v="5"/>
    <n v="0"/>
    <n v="0"/>
    <n v="40"/>
    <n v="95"/>
    <n v="27"/>
    <n v="0"/>
    <n v="51"/>
    <n v="1"/>
    <n v="0"/>
    <n v="216"/>
    <n v="93"/>
    <n v="64"/>
  </r>
  <r>
    <x v="687"/>
    <x v="3"/>
    <x v="1419"/>
    <n v="1984"/>
    <n v="32"/>
    <x v="17"/>
    <s v="Jamaica"/>
    <n v="3150000"/>
    <n v="2700000"/>
    <x v="1"/>
    <n v="27"/>
    <n v="2430"/>
    <x v="0"/>
    <n v="653"/>
    <x v="0"/>
    <x v="6"/>
    <x v="0"/>
    <n v="0"/>
    <n v="0"/>
    <n v="14"/>
    <n v="3"/>
    <n v="0"/>
    <n v="84"/>
    <n v="0"/>
    <n v="0"/>
    <n v="0"/>
    <n v="1"/>
    <n v="0"/>
    <n v="2"/>
    <n v="0"/>
    <n v="0"/>
    <n v="25"/>
    <n v="52"/>
    <n v="20"/>
    <n v="0"/>
    <n v="27"/>
    <n v="0"/>
    <n v="0"/>
    <n v="141"/>
    <n v="65"/>
    <n v="45"/>
  </r>
  <r>
    <x v="688"/>
    <x v="2"/>
    <x v="1420"/>
    <n v="1994"/>
    <n v="24"/>
    <x v="27"/>
    <s v="Netherlands"/>
    <n v="13500000"/>
    <n v="10800000"/>
    <x v="1"/>
    <n v="13"/>
    <n v="1170"/>
    <x v="0"/>
    <n v="621"/>
    <x v="0"/>
    <x v="4"/>
    <x v="0"/>
    <n v="0"/>
    <n v="0"/>
    <n v="6"/>
    <n v="1"/>
    <n v="0"/>
    <n v="37"/>
    <n v="0"/>
    <n v="0"/>
    <n v="0"/>
    <n v="0"/>
    <n v="0"/>
    <n v="5"/>
    <n v="0"/>
    <n v="2"/>
    <n v="13"/>
    <n v="23"/>
    <n v="15"/>
    <n v="2"/>
    <n v="28"/>
    <n v="0"/>
    <n v="2"/>
    <n v="76"/>
    <n v="33"/>
    <n v="24"/>
  </r>
  <r>
    <x v="688"/>
    <x v="1"/>
    <x v="1421"/>
    <n v="1994"/>
    <n v="23"/>
    <x v="27"/>
    <s v="Netherlands"/>
    <n v="6750000"/>
    <n v="13500000"/>
    <x v="1"/>
    <n v="28"/>
    <n v="2520"/>
    <x v="0"/>
    <n v="1323"/>
    <x v="3"/>
    <x v="1"/>
    <x v="0"/>
    <n v="0"/>
    <n v="0"/>
    <n v="15"/>
    <n v="2"/>
    <n v="2"/>
    <n v="82"/>
    <n v="0"/>
    <n v="0"/>
    <n v="0"/>
    <n v="0"/>
    <n v="1"/>
    <n v="13"/>
    <n v="0"/>
    <n v="6"/>
    <n v="17"/>
    <n v="40"/>
    <n v="22"/>
    <n v="1"/>
    <n v="60"/>
    <n v="2"/>
    <n v="0"/>
    <n v="172"/>
    <n v="61"/>
    <n v="53"/>
  </r>
  <r>
    <x v="689"/>
    <x v="1"/>
    <x v="1422"/>
    <n v="1996"/>
    <n v="20"/>
    <x v="17"/>
    <s v="Nigeria"/>
    <n v="12600000"/>
    <n v="22500000"/>
    <x v="1"/>
    <n v="33"/>
    <n v="2899"/>
    <x v="0"/>
    <n v="1684"/>
    <x v="6"/>
    <x v="8"/>
    <x v="2"/>
    <n v="0"/>
    <n v="1"/>
    <n v="41"/>
    <n v="6"/>
    <n v="2"/>
    <n v="47"/>
    <n v="0"/>
    <n v="0"/>
    <n v="0"/>
    <n v="0"/>
    <n v="7"/>
    <n v="35"/>
    <n v="0"/>
    <n v="9"/>
    <n v="10"/>
    <n v="50"/>
    <n v="60"/>
    <n v="0"/>
    <n v="138"/>
    <n v="0"/>
    <n v="0"/>
    <n v="95"/>
    <n v="117"/>
    <n v="75"/>
  </r>
  <r>
    <x v="689"/>
    <x v="2"/>
    <x v="1423"/>
    <n v="1996"/>
    <n v="21"/>
    <x v="17"/>
    <s v="Nigeria"/>
    <n v="22500000"/>
    <n v="31500000"/>
    <x v="1"/>
    <n v="38"/>
    <n v="3298"/>
    <x v="5"/>
    <n v="1984"/>
    <x v="0"/>
    <x v="9"/>
    <x v="0"/>
    <n v="1"/>
    <n v="4"/>
    <n v="55"/>
    <n v="9"/>
    <n v="2"/>
    <n v="41"/>
    <n v="0"/>
    <n v="0"/>
    <n v="0"/>
    <n v="2"/>
    <n v="6"/>
    <n v="46"/>
    <n v="0"/>
    <n v="12"/>
    <n v="9"/>
    <n v="83"/>
    <n v="46"/>
    <n v="0"/>
    <n v="143"/>
    <n v="0"/>
    <n v="0"/>
    <n v="80"/>
    <n v="131"/>
    <n v="106"/>
  </r>
  <r>
    <x v="689"/>
    <x v="3"/>
    <x v="1424"/>
    <n v="1996"/>
    <n v="19"/>
    <x v="17"/>
    <s v="Nigeria"/>
    <n v="5400000"/>
    <n v="12600000"/>
    <x v="1"/>
    <n v="17"/>
    <n v="1522"/>
    <x v="5"/>
    <n v="689"/>
    <x v="3"/>
    <x v="0"/>
    <x v="0"/>
    <n v="0"/>
    <n v="1"/>
    <n v="31"/>
    <n v="6"/>
    <n v="0"/>
    <n v="29"/>
    <n v="0"/>
    <n v="0"/>
    <n v="0"/>
    <n v="1"/>
    <n v="0"/>
    <n v="1"/>
    <n v="0"/>
    <n v="3"/>
    <n v="5"/>
    <n v="36"/>
    <n v="27"/>
    <n v="0"/>
    <n v="68"/>
    <n v="0"/>
    <n v="0"/>
    <n v="55"/>
    <n v="59"/>
    <n v="77"/>
  </r>
  <r>
    <x v="690"/>
    <x v="0"/>
    <x v="1425"/>
    <n v="1988"/>
    <n v="26"/>
    <x v="19"/>
    <s v="Cote D'Ivoire"/>
    <n v="22500000"/>
    <n v="19800000"/>
    <x v="0"/>
    <n v="26"/>
    <n v="1223"/>
    <x v="6"/>
    <n v="408"/>
    <x v="6"/>
    <x v="3"/>
    <x v="0"/>
    <n v="13"/>
    <n v="9"/>
    <n v="60"/>
    <n v="17"/>
    <n v="1"/>
    <n v="6"/>
    <n v="2"/>
    <n v="0"/>
    <n v="0"/>
    <n v="7"/>
    <n v="6"/>
    <n v="4"/>
    <n v="0"/>
    <n v="1"/>
    <n v="1"/>
    <n v="2"/>
    <n v="17"/>
    <n v="0"/>
    <n v="9"/>
    <n v="0"/>
    <n v="0"/>
    <n v="8"/>
    <n v="48"/>
    <n v="46"/>
  </r>
  <r>
    <x v="690"/>
    <x v="3"/>
    <x v="1426"/>
    <n v="1988"/>
    <n v="27"/>
    <x v="25"/>
    <s v="Cote D'Ivoire"/>
    <n v="19800000"/>
    <n v="16200000"/>
    <x v="0"/>
    <n v="10"/>
    <n v="690"/>
    <x v="5"/>
    <n v="212"/>
    <x v="0"/>
    <x v="3"/>
    <x v="0"/>
    <n v="1"/>
    <n v="7"/>
    <n v="21"/>
    <n v="5"/>
    <n v="0"/>
    <n v="10"/>
    <n v="1"/>
    <n v="0"/>
    <n v="0"/>
    <n v="2"/>
    <n v="0"/>
    <n v="1"/>
    <n v="0"/>
    <n v="1"/>
    <n v="1"/>
    <n v="3"/>
    <n v="11"/>
    <n v="0"/>
    <n v="5"/>
    <n v="0"/>
    <n v="0"/>
    <n v="10"/>
    <n v="24"/>
    <n v="34"/>
  </r>
  <r>
    <x v="690"/>
    <x v="1"/>
    <x v="1427"/>
    <n v="1988"/>
    <n v="29"/>
    <x v="0"/>
    <s v="Cote D'Ivoire"/>
    <n v="16200000"/>
    <n v="9000000"/>
    <x v="0"/>
    <n v="15"/>
    <n v="704"/>
    <x v="5"/>
    <n v="208"/>
    <x v="0"/>
    <x v="4"/>
    <x v="0"/>
    <n v="7"/>
    <n v="4"/>
    <n v="20"/>
    <n v="7"/>
    <n v="0"/>
    <n v="10"/>
    <n v="0"/>
    <n v="0"/>
    <n v="0"/>
    <n v="2"/>
    <n v="0"/>
    <n v="13"/>
    <n v="0"/>
    <n v="0"/>
    <n v="1"/>
    <n v="2"/>
    <n v="7"/>
    <n v="0"/>
    <n v="5"/>
    <n v="0"/>
    <n v="0"/>
    <n v="15"/>
    <n v="44"/>
    <n v="59"/>
  </r>
  <r>
    <x v="691"/>
    <x v="0"/>
    <x v="1428"/>
    <n v="1992"/>
    <n v="22"/>
    <x v="8"/>
    <s v="Cote D'Ivoire"/>
    <n v="6600000"/>
    <n v="8100000"/>
    <x v="0"/>
    <n v="34"/>
    <n v="2492"/>
    <x v="5"/>
    <n v="554"/>
    <x v="0"/>
    <x v="2"/>
    <x v="0"/>
    <n v="4"/>
    <n v="12"/>
    <n v="32"/>
    <n v="9"/>
    <n v="0"/>
    <n v="2"/>
    <n v="0"/>
    <n v="0"/>
    <n v="0"/>
    <n v="8"/>
    <n v="3"/>
    <n v="3"/>
    <n v="3"/>
    <n v="118"/>
    <n v="0"/>
    <n v="26"/>
    <n v="40"/>
    <n v="0"/>
    <n v="46"/>
    <n v="0"/>
    <n v="0"/>
    <n v="7"/>
    <n v="11"/>
    <n v="19"/>
  </r>
  <r>
    <x v="691"/>
    <x v="3"/>
    <x v="1429"/>
    <n v="1992"/>
    <n v="23"/>
    <x v="8"/>
    <s v="Cote D'Ivoire"/>
    <n v="8100000"/>
    <n v="16200000"/>
    <x v="0"/>
    <n v="35"/>
    <n v="3025"/>
    <x v="8"/>
    <n v="696"/>
    <x v="11"/>
    <x v="9"/>
    <x v="0"/>
    <n v="0"/>
    <n v="7"/>
    <n v="49"/>
    <n v="18"/>
    <n v="2"/>
    <n v="2"/>
    <n v="0"/>
    <n v="0"/>
    <n v="0"/>
    <n v="6"/>
    <n v="4"/>
    <n v="6"/>
    <n v="1"/>
    <n v="105"/>
    <n v="0"/>
    <n v="34"/>
    <n v="55"/>
    <n v="0"/>
    <n v="76"/>
    <n v="0"/>
    <n v="0"/>
    <n v="11"/>
    <n v="13"/>
    <n v="24"/>
  </r>
  <r>
    <x v="691"/>
    <x v="1"/>
    <x v="1430"/>
    <n v="1992"/>
    <n v="25"/>
    <x v="8"/>
    <s v="Cote D'Ivoire"/>
    <n v="16200000"/>
    <n v="27000000"/>
    <x v="0"/>
    <n v="29"/>
    <n v="2551"/>
    <x v="3"/>
    <n v="623"/>
    <x v="6"/>
    <x v="2"/>
    <x v="0"/>
    <n v="1"/>
    <n v="2"/>
    <n v="64"/>
    <n v="26"/>
    <n v="0"/>
    <n v="0"/>
    <n v="1"/>
    <n v="0"/>
    <n v="0"/>
    <n v="19"/>
    <n v="6"/>
    <n v="38"/>
    <n v="0"/>
    <n v="76"/>
    <n v="0"/>
    <n v="7"/>
    <n v="45"/>
    <n v="0"/>
    <n v="30"/>
    <n v="0"/>
    <n v="0"/>
    <n v="1"/>
    <n v="4"/>
    <n v="15"/>
  </r>
  <r>
    <x v="691"/>
    <x v="2"/>
    <x v="1431"/>
    <n v="1992"/>
    <n v="25"/>
    <x v="8"/>
    <s v="Cote D'Ivoire"/>
    <n v="27000000"/>
    <n v="40500000"/>
    <x v="0"/>
    <n v="34"/>
    <n v="3040"/>
    <x v="15"/>
    <n v="1006"/>
    <x v="8"/>
    <x v="9"/>
    <x v="0"/>
    <n v="0"/>
    <n v="4"/>
    <n v="73"/>
    <n v="27"/>
    <n v="2"/>
    <n v="0"/>
    <n v="0"/>
    <n v="0"/>
    <n v="0"/>
    <n v="16"/>
    <n v="6"/>
    <n v="46"/>
    <n v="2"/>
    <n v="37"/>
    <n v="0"/>
    <n v="10"/>
    <n v="44"/>
    <n v="0"/>
    <n v="39"/>
    <n v="0"/>
    <n v="0"/>
    <n v="1"/>
    <n v="9"/>
    <n v="35"/>
  </r>
  <r>
    <x v="692"/>
    <x v="1"/>
    <x v="1432"/>
    <n v="1995"/>
    <n v="22"/>
    <x v="9"/>
    <s v="England"/>
    <n v="8800000"/>
    <n v="11000000"/>
    <x v="2"/>
    <n v="15"/>
    <n v="993"/>
    <x v="5"/>
    <n v="403"/>
    <x v="6"/>
    <x v="0"/>
    <x v="0"/>
    <n v="4"/>
    <n v="9"/>
    <n v="12"/>
    <n v="4"/>
    <n v="0"/>
    <n v="2"/>
    <n v="0"/>
    <n v="0"/>
    <n v="0"/>
    <n v="0"/>
    <n v="4"/>
    <n v="8"/>
    <n v="6"/>
    <n v="10"/>
    <n v="1"/>
    <n v="15"/>
    <n v="19"/>
    <n v="0"/>
    <n v="34"/>
    <n v="0"/>
    <n v="0"/>
    <n v="6"/>
    <n v="3"/>
    <n v="14"/>
  </r>
  <r>
    <x v="692"/>
    <x v="2"/>
    <x v="1433"/>
    <n v="1995"/>
    <n v="23"/>
    <x v="9"/>
    <s v="England"/>
    <n v="11000000"/>
    <n v="19800000"/>
    <x v="2"/>
    <n v="32"/>
    <n v="2433"/>
    <x v="5"/>
    <n v="960"/>
    <x v="2"/>
    <x v="2"/>
    <x v="0"/>
    <n v="1"/>
    <n v="19"/>
    <n v="31"/>
    <n v="7"/>
    <n v="0"/>
    <n v="5"/>
    <n v="0"/>
    <n v="0"/>
    <n v="0"/>
    <n v="0"/>
    <n v="2"/>
    <n v="24"/>
    <n v="3"/>
    <n v="21"/>
    <n v="6"/>
    <n v="25"/>
    <n v="54"/>
    <n v="0"/>
    <n v="73"/>
    <n v="0"/>
    <n v="0"/>
    <n v="22"/>
    <n v="23"/>
    <n v="39"/>
  </r>
  <r>
    <x v="693"/>
    <x v="3"/>
    <x v="1434"/>
    <n v="1988"/>
    <n v="27"/>
    <x v="1"/>
    <s v="Brazil"/>
    <n v="28800000"/>
    <n v="28800000"/>
    <x v="0"/>
    <n v="34"/>
    <n v="1529"/>
    <x v="9"/>
    <n v="777"/>
    <x v="5"/>
    <x v="6"/>
    <x v="0"/>
    <n v="19"/>
    <n v="13"/>
    <n v="44"/>
    <n v="15"/>
    <n v="1"/>
    <n v="2"/>
    <n v="0"/>
    <n v="0"/>
    <n v="1"/>
    <n v="2"/>
    <n v="8"/>
    <n v="0"/>
    <n v="62"/>
    <n v="106"/>
    <n v="0"/>
    <n v="7"/>
    <n v="12"/>
    <n v="0"/>
    <n v="19"/>
    <n v="0"/>
    <n v="0"/>
    <n v="5"/>
    <n v="1"/>
    <n v="11"/>
  </r>
  <r>
    <x v="693"/>
    <x v="0"/>
    <x v="1435"/>
    <n v="1988"/>
    <n v="26"/>
    <x v="1"/>
    <s v="Brazil"/>
    <n v="28800000"/>
    <n v="27000000"/>
    <x v="0"/>
    <n v="35"/>
    <n v="2749"/>
    <x v="2"/>
    <n v="1500"/>
    <x v="1"/>
    <x v="2"/>
    <x v="0"/>
    <n v="3"/>
    <n v="14"/>
    <n v="60"/>
    <n v="20"/>
    <n v="0"/>
    <n v="1"/>
    <n v="0"/>
    <n v="0"/>
    <n v="2"/>
    <n v="3"/>
    <n v="9"/>
    <n v="2"/>
    <n v="137"/>
    <n v="233"/>
    <n v="1"/>
    <n v="20"/>
    <n v="27"/>
    <n v="0"/>
    <n v="42"/>
    <n v="1"/>
    <n v="0"/>
    <n v="5"/>
    <n v="3"/>
    <n v="26"/>
  </r>
  <r>
    <x v="693"/>
    <x v="2"/>
    <x v="1436"/>
    <n v="1988"/>
    <n v="29"/>
    <x v="1"/>
    <s v="Brazil"/>
    <n v="27000000"/>
    <n v="36000000"/>
    <x v="0"/>
    <n v="32"/>
    <n v="2108"/>
    <x v="7"/>
    <n v="1230"/>
    <x v="1"/>
    <x v="4"/>
    <x v="0"/>
    <n v="6"/>
    <n v="17"/>
    <n v="62"/>
    <n v="22"/>
    <n v="5"/>
    <n v="6"/>
    <n v="0"/>
    <n v="0"/>
    <n v="0"/>
    <n v="11"/>
    <n v="8"/>
    <n v="40"/>
    <n v="111"/>
    <n v="169"/>
    <n v="1"/>
    <n v="13"/>
    <n v="12"/>
    <n v="0"/>
    <n v="35"/>
    <n v="1"/>
    <n v="0"/>
    <n v="11"/>
    <n v="11"/>
    <n v="23"/>
  </r>
  <r>
    <x v="693"/>
    <x v="1"/>
    <x v="1437"/>
    <n v="1988"/>
    <n v="29"/>
    <x v="1"/>
    <s v="Brazil"/>
    <n v="35200000"/>
    <n v="35200000"/>
    <x v="2"/>
    <n v="36"/>
    <n v="1883"/>
    <x v="14"/>
    <n v="924"/>
    <x v="4"/>
    <x v="3"/>
    <x v="0"/>
    <n v="16"/>
    <n v="9"/>
    <n v="54"/>
    <n v="25"/>
    <n v="2"/>
    <n v="5"/>
    <n v="1"/>
    <n v="1"/>
    <n v="0"/>
    <n v="5"/>
    <n v="5"/>
    <n v="29"/>
    <n v="49"/>
    <n v="99"/>
    <n v="1"/>
    <n v="10"/>
    <n v="10"/>
    <n v="0"/>
    <n v="22"/>
    <n v="0"/>
    <n v="0"/>
    <n v="9"/>
    <n v="10"/>
    <n v="15"/>
  </r>
  <r>
    <x v="694"/>
    <x v="2"/>
    <x v="1438"/>
    <n v="1991"/>
    <n v="27"/>
    <x v="16"/>
    <s v="France"/>
    <n v="9000000"/>
    <n v="10800000"/>
    <x v="1"/>
    <n v="36"/>
    <n v="3168"/>
    <x v="6"/>
    <n v="1715"/>
    <x v="0"/>
    <x v="4"/>
    <x v="1"/>
    <n v="0"/>
    <n v="1"/>
    <n v="24"/>
    <n v="6"/>
    <n v="0"/>
    <n v="108"/>
    <n v="3"/>
    <n v="0"/>
    <n v="0"/>
    <n v="3"/>
    <n v="2"/>
    <n v="18"/>
    <n v="0"/>
    <n v="0"/>
    <n v="32"/>
    <n v="72"/>
    <n v="29"/>
    <n v="1"/>
    <n v="85"/>
    <n v="0"/>
    <n v="0"/>
    <n v="172"/>
    <n v="136"/>
    <n v="64"/>
  </r>
  <r>
    <x v="695"/>
    <x v="0"/>
    <x v="1439"/>
    <n v="1988"/>
    <n v="27"/>
    <x v="3"/>
    <s v="New Zealand"/>
    <n v="8100000"/>
    <n v="9000000"/>
    <x v="1"/>
    <n v="24"/>
    <n v="2136"/>
    <x v="4"/>
    <n v="833"/>
    <x v="3"/>
    <x v="2"/>
    <x v="0"/>
    <n v="0"/>
    <n v="1"/>
    <n v="17"/>
    <n v="0"/>
    <n v="2"/>
    <n v="85"/>
    <n v="0"/>
    <n v="0"/>
    <n v="0"/>
    <n v="0"/>
    <n v="0"/>
    <n v="1"/>
    <n v="0"/>
    <n v="2"/>
    <n v="27"/>
    <n v="76"/>
    <n v="23"/>
    <n v="0"/>
    <n v="45"/>
    <n v="0"/>
    <n v="0"/>
    <n v="154"/>
    <n v="50"/>
    <n v="28"/>
  </r>
  <r>
    <x v="695"/>
    <x v="1"/>
    <x v="1440"/>
    <n v="1988"/>
    <n v="29"/>
    <x v="3"/>
    <s v="New Zealand"/>
    <n v="9000000"/>
    <n v="6300000"/>
    <x v="1"/>
    <n v="17"/>
    <n v="1454"/>
    <x v="0"/>
    <n v="659"/>
    <x v="0"/>
    <x v="2"/>
    <x v="0"/>
    <n v="0"/>
    <n v="2"/>
    <n v="0"/>
    <n v="0"/>
    <n v="0"/>
    <n v="57"/>
    <n v="0"/>
    <n v="0"/>
    <n v="0"/>
    <n v="0"/>
    <n v="0"/>
    <n v="0"/>
    <n v="0"/>
    <n v="1"/>
    <n v="14"/>
    <n v="22"/>
    <n v="14"/>
    <n v="0"/>
    <n v="11"/>
    <n v="0"/>
    <n v="0"/>
    <n v="101"/>
    <n v="44"/>
    <n v="25"/>
  </r>
  <r>
    <x v="695"/>
    <x v="3"/>
    <x v="1441"/>
    <n v="1988"/>
    <n v="28"/>
    <x v="3"/>
    <s v="New Zealand"/>
    <n v="9000000"/>
    <n v="9000000"/>
    <x v="1"/>
    <n v="30"/>
    <n v="2589"/>
    <x v="5"/>
    <n v="983"/>
    <x v="5"/>
    <x v="9"/>
    <x v="0"/>
    <n v="0"/>
    <n v="3"/>
    <n v="11"/>
    <n v="2"/>
    <n v="0"/>
    <n v="144"/>
    <n v="1"/>
    <n v="0"/>
    <n v="0"/>
    <n v="1"/>
    <n v="0"/>
    <n v="0"/>
    <n v="0"/>
    <n v="3"/>
    <n v="23"/>
    <n v="82"/>
    <n v="31"/>
    <n v="0"/>
    <n v="32"/>
    <n v="0"/>
    <n v="0"/>
    <n v="244"/>
    <n v="55"/>
    <n v="38"/>
  </r>
  <r>
    <x v="696"/>
    <x v="0"/>
    <x v="1442"/>
    <n v="1991"/>
    <n v="23"/>
    <x v="25"/>
    <s v="Switzerland"/>
    <n v="18700000"/>
    <n v="16500000"/>
    <x v="2"/>
    <n v="27"/>
    <n v="2028"/>
    <x v="7"/>
    <n v="639"/>
    <x v="1"/>
    <x v="6"/>
    <x v="0"/>
    <n v="0"/>
    <n v="18"/>
    <n v="40"/>
    <n v="11"/>
    <n v="0"/>
    <n v="2"/>
    <n v="0"/>
    <n v="0"/>
    <n v="0"/>
    <n v="8"/>
    <n v="15"/>
    <n v="3"/>
    <n v="71"/>
    <n v="170"/>
    <n v="1"/>
    <n v="12"/>
    <n v="25"/>
    <n v="0"/>
    <n v="19"/>
    <n v="0"/>
    <n v="0"/>
    <n v="3"/>
    <n v="2"/>
    <n v="13"/>
  </r>
  <r>
    <x v="696"/>
    <x v="3"/>
    <x v="1443"/>
    <n v="1991"/>
    <n v="24"/>
    <x v="25"/>
    <s v="Switzerland"/>
    <n v="16500000"/>
    <n v="16500000"/>
    <x v="2"/>
    <n v="21"/>
    <n v="1707"/>
    <x v="6"/>
    <n v="609"/>
    <x v="5"/>
    <x v="4"/>
    <x v="0"/>
    <n v="0"/>
    <n v="11"/>
    <n v="48"/>
    <n v="10"/>
    <n v="1"/>
    <n v="1"/>
    <n v="0"/>
    <n v="0"/>
    <n v="2"/>
    <n v="4"/>
    <n v="16"/>
    <n v="1"/>
    <n v="71"/>
    <n v="131"/>
    <n v="0"/>
    <n v="9"/>
    <n v="16"/>
    <n v="0"/>
    <n v="11"/>
    <n v="0"/>
    <n v="0"/>
    <n v="2"/>
    <n v="2"/>
    <n v="5"/>
  </r>
  <r>
    <x v="696"/>
    <x v="1"/>
    <x v="1444"/>
    <n v="1991"/>
    <n v="26"/>
    <x v="25"/>
    <s v="Switzerland"/>
    <n v="16500000"/>
    <n v="19800000"/>
    <x v="2"/>
    <n v="36"/>
    <n v="3049"/>
    <x v="9"/>
    <n v="1055"/>
    <x v="4"/>
    <x v="2"/>
    <x v="0"/>
    <n v="0"/>
    <n v="10"/>
    <n v="69"/>
    <n v="32"/>
    <n v="2"/>
    <n v="2"/>
    <n v="1"/>
    <n v="0"/>
    <n v="1"/>
    <n v="15"/>
    <n v="15"/>
    <n v="37"/>
    <n v="88"/>
    <n v="201"/>
    <n v="1"/>
    <n v="16"/>
    <n v="28"/>
    <n v="0"/>
    <n v="25"/>
    <n v="0"/>
    <n v="0"/>
    <n v="4"/>
    <n v="5"/>
    <n v="20"/>
  </r>
  <r>
    <x v="696"/>
    <x v="2"/>
    <x v="1445"/>
    <n v="1991"/>
    <n v="26"/>
    <x v="13"/>
    <s v="Switzerland"/>
    <n v="19800000"/>
    <n v="27500000"/>
    <x v="2"/>
    <n v="24"/>
    <n v="1058"/>
    <x v="14"/>
    <n v="639"/>
    <x v="6"/>
    <x v="4"/>
    <x v="0"/>
    <n v="13"/>
    <n v="7"/>
    <n v="26"/>
    <n v="10"/>
    <n v="0"/>
    <n v="3"/>
    <n v="0"/>
    <n v="0"/>
    <n v="0"/>
    <n v="2"/>
    <n v="9"/>
    <n v="16"/>
    <n v="27"/>
    <n v="47"/>
    <n v="1"/>
    <n v="6"/>
    <n v="9"/>
    <n v="0"/>
    <n v="14"/>
    <n v="0"/>
    <n v="0"/>
    <n v="6"/>
    <n v="4"/>
    <n v="6"/>
  </r>
  <r>
    <x v="697"/>
    <x v="2"/>
    <x v="1446"/>
    <n v="1999"/>
    <n v="19"/>
    <x v="27"/>
    <s v="France"/>
    <n v="1100000"/>
    <n v="2250000"/>
    <x v="1"/>
    <n v="23"/>
    <n v="1714"/>
    <x v="5"/>
    <n v="399"/>
    <x v="0"/>
    <x v="6"/>
    <x v="1"/>
    <n v="3"/>
    <n v="5"/>
    <n v="6"/>
    <n v="5"/>
    <n v="0"/>
    <n v="19"/>
    <n v="0"/>
    <n v="0"/>
    <n v="0"/>
    <n v="2"/>
    <n v="0"/>
    <n v="1"/>
    <n v="0"/>
    <n v="55"/>
    <n v="3"/>
    <n v="22"/>
    <n v="27"/>
    <n v="0"/>
    <n v="42"/>
    <n v="0"/>
    <n v="0"/>
    <n v="57"/>
    <n v="42"/>
    <n v="54"/>
  </r>
  <r>
    <x v="698"/>
    <x v="0"/>
    <x v="1447"/>
    <n v="1990"/>
    <n v="25"/>
    <x v="12"/>
    <s v="France"/>
    <n v="7700000"/>
    <n v="8200000"/>
    <x v="2"/>
    <n v="37"/>
    <n v="3188"/>
    <x v="4"/>
    <n v="1679"/>
    <x v="2"/>
    <x v="3"/>
    <x v="0"/>
    <n v="1"/>
    <n v="4"/>
    <n v="29"/>
    <n v="0"/>
    <n v="0"/>
    <n v="40"/>
    <n v="0"/>
    <n v="0"/>
    <n v="1"/>
    <n v="0"/>
    <n v="9"/>
    <n v="0"/>
    <n v="36"/>
    <n v="83"/>
    <n v="9"/>
    <n v="86"/>
    <n v="18"/>
    <n v="0"/>
    <n v="99"/>
    <n v="0"/>
    <n v="0"/>
    <n v="110"/>
    <n v="45"/>
    <n v="28"/>
  </r>
  <r>
    <x v="699"/>
    <x v="0"/>
    <x v="1448"/>
    <n v="1989"/>
    <n v="26"/>
    <x v="8"/>
    <s v="The Democratic Republic Of Congo"/>
    <n v="11000000"/>
    <n v="15400000"/>
    <x v="2"/>
    <n v="26"/>
    <n v="2076"/>
    <x v="2"/>
    <n v="506"/>
    <x v="6"/>
    <x v="4"/>
    <x v="0"/>
    <n v="3"/>
    <n v="4"/>
    <n v="57"/>
    <n v="26"/>
    <n v="1"/>
    <n v="15"/>
    <n v="1"/>
    <n v="0"/>
    <n v="0"/>
    <n v="17"/>
    <n v="1"/>
    <n v="4"/>
    <n v="1"/>
    <n v="138"/>
    <n v="6"/>
    <n v="10"/>
    <n v="25"/>
    <n v="0"/>
    <n v="26"/>
    <n v="0"/>
    <n v="0"/>
    <n v="27"/>
    <n v="20"/>
    <n v="34"/>
  </r>
  <r>
    <x v="699"/>
    <x v="3"/>
    <x v="1449"/>
    <n v="1989"/>
    <n v="27"/>
    <x v="4"/>
    <s v="The Democratic Republic Of Congo"/>
    <n v="15400000"/>
    <n v="22000000"/>
    <x v="2"/>
    <n v="14"/>
    <n v="1052"/>
    <x v="4"/>
    <n v="291"/>
    <x v="2"/>
    <x v="6"/>
    <x v="0"/>
    <n v="2"/>
    <n v="6"/>
    <n v="27"/>
    <n v="6"/>
    <n v="0"/>
    <n v="7"/>
    <n v="0"/>
    <n v="0"/>
    <n v="0"/>
    <n v="3"/>
    <n v="2"/>
    <n v="1"/>
    <n v="1"/>
    <n v="84"/>
    <n v="2"/>
    <n v="3"/>
    <n v="24"/>
    <n v="0"/>
    <n v="18"/>
    <n v="0"/>
    <n v="0"/>
    <n v="8"/>
    <n v="17"/>
    <n v="19"/>
  </r>
  <r>
    <x v="699"/>
    <x v="1"/>
    <x v="1450"/>
    <n v="1989"/>
    <n v="28"/>
    <x v="4"/>
    <s v="The Democratic Republic Of Congo"/>
    <n v="22000000"/>
    <n v="19800000"/>
    <x v="2"/>
    <n v="16"/>
    <n v="854"/>
    <x v="4"/>
    <n v="210"/>
    <x v="0"/>
    <x v="0"/>
    <x v="0"/>
    <n v="5"/>
    <n v="9"/>
    <n v="19"/>
    <n v="7"/>
    <n v="0"/>
    <n v="3"/>
    <n v="0"/>
    <n v="0"/>
    <n v="0"/>
    <n v="4"/>
    <n v="0"/>
    <n v="12"/>
    <n v="1"/>
    <n v="53"/>
    <n v="0"/>
    <n v="4"/>
    <n v="12"/>
    <n v="0"/>
    <n v="8"/>
    <n v="0"/>
    <n v="0"/>
    <n v="7"/>
    <n v="12"/>
    <n v="10"/>
  </r>
  <r>
    <x v="700"/>
    <x v="3"/>
    <x v="1451"/>
    <n v="1983"/>
    <n v="33"/>
    <x v="19"/>
    <s v="Cote D'Ivoire"/>
    <n v="17600000"/>
    <n v="8800000"/>
    <x v="2"/>
    <n v="25"/>
    <n v="1947"/>
    <x v="2"/>
    <n v="1798"/>
    <x v="0"/>
    <x v="5"/>
    <x v="0"/>
    <n v="3"/>
    <n v="8"/>
    <n v="32"/>
    <n v="15"/>
    <n v="0"/>
    <n v="26"/>
    <n v="0"/>
    <n v="0"/>
    <n v="0"/>
    <n v="0"/>
    <n v="12"/>
    <n v="1"/>
    <n v="1"/>
    <n v="4"/>
    <n v="4"/>
    <n v="16"/>
    <n v="26"/>
    <n v="0"/>
    <n v="42"/>
    <n v="0"/>
    <n v="0"/>
    <n v="39"/>
    <n v="40"/>
    <n v="28"/>
  </r>
  <r>
    <x v="700"/>
    <x v="0"/>
    <x v="1452"/>
    <n v="1983"/>
    <n v="32"/>
    <x v="19"/>
    <s v="Cote D'Ivoire"/>
    <n v="24200000"/>
    <n v="17600000"/>
    <x v="2"/>
    <n v="26"/>
    <n v="2331"/>
    <x v="14"/>
    <n v="1838"/>
    <x v="8"/>
    <x v="6"/>
    <x v="0"/>
    <n v="4"/>
    <n v="12"/>
    <n v="77"/>
    <n v="23"/>
    <n v="0"/>
    <n v="27"/>
    <n v="0"/>
    <n v="1"/>
    <n v="0"/>
    <n v="2"/>
    <n v="20"/>
    <n v="5"/>
    <n v="0"/>
    <n v="12"/>
    <n v="0"/>
    <n v="25"/>
    <n v="27"/>
    <n v="0"/>
    <n v="43"/>
    <n v="0"/>
    <n v="0"/>
    <n v="35"/>
    <n v="28"/>
    <n v="33"/>
  </r>
  <r>
    <x v="700"/>
    <x v="1"/>
    <x v="1453"/>
    <n v="1983"/>
    <n v="34"/>
    <x v="19"/>
    <s v="Cote D'Ivoire"/>
    <n v="8800000"/>
    <n v="2750000"/>
    <x v="2"/>
    <n v="10"/>
    <n v="228"/>
    <x v="0"/>
    <n v="416"/>
    <x v="5"/>
    <x v="3"/>
    <x v="0"/>
    <n v="9"/>
    <n v="1"/>
    <n v="1"/>
    <n v="1"/>
    <n v="0"/>
    <n v="4"/>
    <n v="0"/>
    <n v="0"/>
    <n v="0"/>
    <n v="0"/>
    <n v="3"/>
    <n v="0"/>
    <n v="0"/>
    <n v="0"/>
    <n v="1"/>
    <n v="5"/>
    <n v="5"/>
    <n v="0"/>
    <n v="2"/>
    <n v="0"/>
    <n v="0"/>
    <n v="4"/>
    <n v="5"/>
    <n v="4"/>
  </r>
  <r>
    <x v="701"/>
    <x v="2"/>
    <x v="1454"/>
    <n v="1994"/>
    <n v="23"/>
    <x v="4"/>
    <s v="Colombia"/>
    <n v="8100000"/>
    <n v="22500000"/>
    <x v="1"/>
    <n v="13"/>
    <n v="892"/>
    <x v="4"/>
    <n v="504"/>
    <x v="0"/>
    <x v="6"/>
    <x v="0"/>
    <n v="3"/>
    <n v="1"/>
    <n v="4"/>
    <n v="1"/>
    <n v="0"/>
    <n v="29"/>
    <n v="1"/>
    <n v="0"/>
    <n v="0"/>
    <n v="1"/>
    <n v="0"/>
    <n v="3"/>
    <n v="0"/>
    <n v="0"/>
    <n v="5"/>
    <n v="8"/>
    <n v="13"/>
    <n v="0"/>
    <n v="14"/>
    <n v="1"/>
    <n v="0"/>
    <n v="50"/>
    <n v="38"/>
    <n v="27"/>
  </r>
  <r>
    <x v="702"/>
    <x v="3"/>
    <x v="1455"/>
    <n v="1987"/>
    <n v="29"/>
    <x v="17"/>
    <s v="Tunisia"/>
    <n v="2200000"/>
    <n v="1100000"/>
    <x v="1"/>
    <n v="11"/>
    <n v="920"/>
    <x v="0"/>
    <n v="188"/>
    <x v="0"/>
    <x v="5"/>
    <x v="0"/>
    <n v="0"/>
    <n v="4"/>
    <n v="4"/>
    <n v="1"/>
    <n v="0"/>
    <n v="33"/>
    <n v="0"/>
    <n v="0"/>
    <n v="0"/>
    <n v="0"/>
    <n v="0"/>
    <n v="0"/>
    <n v="0"/>
    <n v="0"/>
    <n v="5"/>
    <n v="26"/>
    <n v="15"/>
    <n v="0"/>
    <n v="17"/>
    <n v="0"/>
    <n v="0"/>
    <n v="56"/>
    <n v="18"/>
    <n v="23"/>
  </r>
  <r>
    <x v="703"/>
    <x v="0"/>
    <x v="1456"/>
    <n v="1986"/>
    <n v="29"/>
    <x v="8"/>
    <s v="France"/>
    <n v="17600000"/>
    <n v="19800000"/>
    <x v="2"/>
    <n v="33"/>
    <n v="2703"/>
    <x v="2"/>
    <n v="1269"/>
    <x v="0"/>
    <x v="1"/>
    <x v="0"/>
    <n v="1"/>
    <n v="15"/>
    <n v="67"/>
    <n v="21"/>
    <n v="2"/>
    <n v="6"/>
    <n v="0"/>
    <n v="3"/>
    <n v="0"/>
    <n v="0"/>
    <n v="3"/>
    <n v="3"/>
    <n v="92"/>
    <n v="143"/>
    <n v="6"/>
    <n v="120"/>
    <n v="38"/>
    <n v="0"/>
    <n v="107"/>
    <n v="0"/>
    <n v="0"/>
    <n v="17"/>
    <n v="8"/>
    <n v="12"/>
  </r>
  <r>
    <x v="703"/>
    <x v="3"/>
    <x v="1457"/>
    <n v="1986"/>
    <n v="30"/>
    <x v="8"/>
    <s v="France"/>
    <n v="19800000"/>
    <n v="16500000"/>
    <x v="2"/>
    <n v="32"/>
    <n v="2132"/>
    <x v="6"/>
    <n v="984"/>
    <x v="6"/>
    <x v="1"/>
    <x v="0"/>
    <n v="7"/>
    <n v="13"/>
    <n v="40"/>
    <n v="11"/>
    <n v="0"/>
    <n v="5"/>
    <n v="0"/>
    <n v="0"/>
    <n v="0"/>
    <n v="2"/>
    <n v="3"/>
    <n v="0"/>
    <n v="58"/>
    <n v="109"/>
    <n v="5"/>
    <n v="72"/>
    <n v="31"/>
    <n v="0"/>
    <n v="60"/>
    <n v="2"/>
    <n v="0"/>
    <n v="21"/>
    <n v="8"/>
    <n v="12"/>
  </r>
  <r>
    <x v="703"/>
    <x v="1"/>
    <x v="1458"/>
    <n v="1986"/>
    <n v="31"/>
    <x v="8"/>
    <s v="France"/>
    <n v="16500000"/>
    <n v="11000000"/>
    <x v="2"/>
    <n v="31"/>
    <n v="2386"/>
    <x v="0"/>
    <n v="1293"/>
    <x v="3"/>
    <x v="1"/>
    <x v="0"/>
    <n v="3"/>
    <n v="15"/>
    <n v="38"/>
    <n v="12"/>
    <n v="2"/>
    <n v="5"/>
    <n v="0"/>
    <n v="0"/>
    <n v="0"/>
    <n v="1"/>
    <n v="6"/>
    <n v="26"/>
    <n v="104"/>
    <n v="136"/>
    <n v="4"/>
    <n v="79"/>
    <n v="35"/>
    <n v="0"/>
    <n v="70"/>
    <n v="1"/>
    <n v="0"/>
    <n v="28"/>
    <n v="6"/>
    <n v="14"/>
  </r>
  <r>
    <x v="704"/>
    <x v="2"/>
    <x v="1459"/>
    <n v="1992"/>
    <n v="26"/>
    <x v="20"/>
    <s v="Japan"/>
    <n v="11000000"/>
    <n v="8100000"/>
    <x v="0"/>
    <n v="17"/>
    <n v="517"/>
    <x v="4"/>
    <n v="113"/>
    <x v="0"/>
    <x v="3"/>
    <x v="0"/>
    <n v="12"/>
    <n v="4"/>
    <n v="6"/>
    <n v="3"/>
    <n v="0"/>
    <n v="2"/>
    <n v="0"/>
    <n v="0"/>
    <n v="0"/>
    <n v="2"/>
    <n v="1"/>
    <n v="3"/>
    <n v="0"/>
    <n v="4"/>
    <n v="0"/>
    <n v="5"/>
    <n v="13"/>
    <n v="0"/>
    <n v="8"/>
    <n v="0"/>
    <n v="0"/>
    <n v="3"/>
    <n v="10"/>
    <n v="27"/>
  </r>
  <r>
    <x v="705"/>
    <x v="3"/>
    <x v="1460"/>
    <n v="1986"/>
    <n v="30"/>
    <x v="9"/>
    <s v="France"/>
    <n v="2750000"/>
    <n v="2750000"/>
    <x v="2"/>
    <n v="23"/>
    <n v="1915"/>
    <x v="5"/>
    <n v="701"/>
    <x v="0"/>
    <x v="4"/>
    <x v="0"/>
    <n v="0"/>
    <n v="5"/>
    <n v="12"/>
    <n v="4"/>
    <n v="0"/>
    <n v="62"/>
    <n v="0"/>
    <n v="0"/>
    <n v="0"/>
    <n v="0"/>
    <n v="0"/>
    <n v="1"/>
    <n v="0"/>
    <n v="13"/>
    <n v="15"/>
    <n v="47"/>
    <n v="19"/>
    <n v="0"/>
    <n v="37"/>
    <n v="1"/>
    <n v="0"/>
    <n v="136"/>
    <n v="65"/>
    <n v="35"/>
  </r>
  <r>
    <x v="705"/>
    <x v="0"/>
    <x v="1461"/>
    <n v="1986"/>
    <n v="29"/>
    <x v="12"/>
    <s v="France"/>
    <n v="4000000"/>
    <n v="2200000"/>
    <x v="1"/>
    <n v="22"/>
    <n v="2009"/>
    <x v="0"/>
    <n v="654"/>
    <x v="3"/>
    <x v="6"/>
    <x v="1"/>
    <n v="1"/>
    <n v="1"/>
    <n v="12"/>
    <n v="4"/>
    <n v="0"/>
    <n v="110"/>
    <n v="0"/>
    <n v="0"/>
    <n v="0"/>
    <n v="1"/>
    <n v="2"/>
    <n v="0"/>
    <n v="0"/>
    <n v="13"/>
    <n v="20"/>
    <n v="52"/>
    <n v="15"/>
    <n v="0"/>
    <n v="43"/>
    <n v="1"/>
    <n v="0"/>
    <n v="196"/>
    <n v="78"/>
    <n v="55"/>
  </r>
  <r>
    <x v="706"/>
    <x v="2"/>
    <x v="1462"/>
    <n v="1997"/>
    <n v="21"/>
    <x v="17"/>
    <s v="Belgium"/>
    <n v="22000000"/>
    <n v="41800000"/>
    <x v="2"/>
    <n v="13"/>
    <n v="1091"/>
    <x v="7"/>
    <n v="641"/>
    <x v="2"/>
    <x v="4"/>
    <x v="0"/>
    <n v="0"/>
    <n v="6"/>
    <n v="31"/>
    <n v="12"/>
    <n v="0"/>
    <n v="6"/>
    <n v="0"/>
    <n v="0"/>
    <n v="0"/>
    <n v="0"/>
    <n v="11"/>
    <n v="19"/>
    <n v="0"/>
    <n v="16"/>
    <n v="2"/>
    <n v="5"/>
    <n v="10"/>
    <n v="0"/>
    <n v="17"/>
    <n v="0"/>
    <n v="0"/>
    <n v="11"/>
    <n v="12"/>
    <n v="9"/>
  </r>
  <r>
    <x v="707"/>
    <x v="2"/>
    <x v="1463"/>
    <n v="1996"/>
    <n v="21"/>
    <x v="23"/>
    <s v="Mali"/>
    <n v="13500000"/>
    <n v="13500000"/>
    <x v="2"/>
    <n v="28"/>
    <n v="1768"/>
    <x v="0"/>
    <n v="715"/>
    <x v="0"/>
    <x v="2"/>
    <x v="0"/>
    <n v="11"/>
    <n v="6"/>
    <n v="31"/>
    <n v="3"/>
    <n v="0"/>
    <n v="12"/>
    <n v="0"/>
    <n v="0"/>
    <n v="0"/>
    <n v="2"/>
    <n v="3"/>
    <n v="28"/>
    <n v="3"/>
    <n v="8"/>
    <n v="5"/>
    <n v="33"/>
    <n v="40"/>
    <n v="0"/>
    <n v="62"/>
    <n v="1"/>
    <n v="0"/>
    <n v="25"/>
    <n v="27"/>
    <n v="31"/>
  </r>
  <r>
    <x v="708"/>
    <x v="2"/>
    <x v="1464"/>
    <n v="1990"/>
    <n v="28"/>
    <x v="6"/>
    <s v="Denmark"/>
    <n v="5500000"/>
    <n v="5500000"/>
    <x v="2"/>
    <n v="24"/>
    <n v="2148"/>
    <x v="7"/>
    <n v="1173"/>
    <x v="3"/>
    <x v="8"/>
    <x v="0"/>
    <n v="0"/>
    <n v="1"/>
    <n v="8"/>
    <n v="4"/>
    <n v="0"/>
    <n v="25"/>
    <n v="1"/>
    <n v="0"/>
    <n v="0"/>
    <n v="0"/>
    <n v="0"/>
    <n v="4"/>
    <n v="0"/>
    <n v="4"/>
    <n v="14"/>
    <n v="69"/>
    <n v="33"/>
    <n v="0"/>
    <n v="49"/>
    <n v="0"/>
    <n v="0"/>
    <n v="82"/>
    <n v="36"/>
    <n v="52"/>
  </r>
  <r>
    <x v="708"/>
    <x v="1"/>
    <x v="1465"/>
    <n v="1990"/>
    <n v="27"/>
    <x v="6"/>
    <s v="Denmark"/>
    <n v="2750000"/>
    <n v="5500000"/>
    <x v="1"/>
    <n v="38"/>
    <n v="3420"/>
    <x v="0"/>
    <n v="1561"/>
    <x v="5"/>
    <x v="8"/>
    <x v="0"/>
    <n v="0"/>
    <n v="0"/>
    <n v="13"/>
    <n v="3"/>
    <n v="0"/>
    <n v="121"/>
    <n v="0"/>
    <n v="0"/>
    <n v="0"/>
    <n v="2"/>
    <n v="2"/>
    <n v="10"/>
    <n v="0"/>
    <n v="0"/>
    <n v="20"/>
    <n v="76"/>
    <n v="45"/>
    <n v="0"/>
    <n v="55"/>
    <n v="1"/>
    <n v="0"/>
    <n v="241"/>
    <n v="88"/>
    <n v="82"/>
  </r>
  <r>
    <x v="709"/>
    <x v="3"/>
    <x v="1466"/>
    <n v="1981"/>
    <n v="35"/>
    <x v="22"/>
    <s v="Sweden"/>
    <n v="13500000"/>
    <n v="9000000"/>
    <x v="0"/>
    <n v="28"/>
    <n v="2437"/>
    <x v="23"/>
    <n v="1041"/>
    <x v="8"/>
    <x v="1"/>
    <x v="0"/>
    <n v="1"/>
    <n v="0"/>
    <n v="115"/>
    <n v="46"/>
    <n v="1"/>
    <n v="18"/>
    <n v="4"/>
    <n v="2"/>
    <n v="0"/>
    <n v="37"/>
    <n v="12"/>
    <n v="18"/>
    <n v="0"/>
    <n v="18"/>
    <n v="1"/>
    <n v="10"/>
    <n v="54"/>
    <n v="0"/>
    <n v="10"/>
    <n v="0"/>
    <n v="0"/>
    <n v="22"/>
    <n v="83"/>
    <n v="84"/>
  </r>
  <r>
    <x v="710"/>
    <x v="4"/>
    <x v="1467"/>
    <m/>
    <m/>
    <x v="28"/>
    <m/>
    <m/>
    <m/>
    <x v="3"/>
    <m/>
    <m/>
    <x v="27"/>
    <m/>
    <x v="19"/>
    <x v="14"/>
    <x v="4"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2389A9-8935-417F-9229-F47A08D6CA6A}" name="PivotTable1" cacheId="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13:O25" firstHeaderRow="1" firstDataRow="2" firstDataCol="1" rowPageCount="2" colPageCount="1"/>
  <pivotFields count="41">
    <pivotField showAll="0">
      <items count="712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1"/>
        <item x="2"/>
        <item x="49"/>
        <item x="50"/>
        <item x="51"/>
        <item x="52"/>
        <item x="53"/>
        <item x="55"/>
        <item x="54"/>
        <item x="56"/>
        <item x="58"/>
        <item x="59"/>
        <item x="60"/>
        <item x="57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x="119"/>
        <item x="120"/>
        <item x="121"/>
        <item x="11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0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9"/>
        <item x="250"/>
        <item x="251"/>
        <item x="247"/>
        <item x="248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6"/>
        <item x="277"/>
        <item x="278"/>
        <item x="279"/>
        <item x="280"/>
        <item x="281"/>
        <item x="274"/>
        <item x="282"/>
        <item x="275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7"/>
        <item x="336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1"/>
        <item x="350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296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1"/>
        <item x="459"/>
        <item x="462"/>
        <item x="460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39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08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60"/>
        <item x="561"/>
        <item x="562"/>
        <item x="563"/>
        <item x="564"/>
        <item x="565"/>
        <item x="566"/>
        <item x="567"/>
        <item x="559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57"/>
        <item x="558"/>
        <item x="586"/>
        <item x="587"/>
        <item x="588"/>
        <item x="589"/>
        <item x="590"/>
        <item x="591"/>
        <item x="592"/>
        <item x="593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596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4"/>
        <item x="635"/>
        <item x="636"/>
        <item x="633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1"/>
        <item x="672"/>
        <item x="673"/>
        <item x="674"/>
        <item x="670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axis="axisPage" multipleItemSelectionAllowed="1" showAll="0">
      <items count="6">
        <item x="0"/>
        <item x="3"/>
        <item x="1"/>
        <item x="2"/>
        <item h="1" x="4"/>
        <item t="default"/>
      </items>
    </pivotField>
    <pivotField showAll="0"/>
    <pivotField showAll="0"/>
    <pivotField dataField="1" showAll="0"/>
    <pivotField axis="axisPage" multipleItemSelectionAllowed="1" showAll="0">
      <items count="30">
        <item x="14"/>
        <item x="7"/>
        <item x="15"/>
        <item x="23"/>
        <item x="5"/>
        <item x="24"/>
        <item x="1"/>
        <item x="8"/>
        <item x="4"/>
        <item x="11"/>
        <item x="6"/>
        <item x="10"/>
        <item x="17"/>
        <item x="13"/>
        <item x="19"/>
        <item x="22"/>
        <item x="2"/>
        <item x="20"/>
        <item x="21"/>
        <item x="27"/>
        <item x="25"/>
        <item x="12"/>
        <item x="0"/>
        <item x="26"/>
        <item x="9"/>
        <item x="18"/>
        <item x="3"/>
        <item x="16"/>
        <item h="1" x="28"/>
        <item t="default"/>
      </items>
    </pivotField>
    <pivotField showAll="0"/>
    <pivotField showAll="0"/>
    <pivotField dataField="1" showAll="0"/>
    <pivotField axis="axisCol" showAll="0">
      <items count="5">
        <item x="1"/>
        <item x="0"/>
        <item x="2"/>
        <item x="3"/>
        <item t="default"/>
      </items>
    </pivotField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rowItems>
  <colFields count="1">
    <field x="9"/>
  </colFields>
  <colItems count="4">
    <i>
      <x/>
    </i>
    <i>
      <x v="1"/>
    </i>
    <i>
      <x v="2"/>
    </i>
    <i t="grand">
      <x/>
    </i>
  </colItems>
  <pageFields count="2">
    <pageField fld="5" hier="-1"/>
    <pageField fld="1" hier="-1"/>
  </pageFields>
  <dataFields count="11">
    <dataField name="Average of Age" fld="4" subtotal="average" baseField="9" baseItem="0"/>
    <dataField name="Average of Goals" fld="12" subtotal="average" baseField="9" baseItem="0"/>
    <dataField name="Average of Shots" fld="19" subtotal="average" baseField="9" baseItem="0"/>
    <dataField name="Average of HeadGoal" fld="23" subtotal="average" baseField="9" baseItem="0"/>
    <dataField name="Average of Passes" fld="13" subtotal="average" baseField="9" baseItem="0"/>
    <dataField name="Average of Offsides" fld="26" subtotal="average" baseField="9" baseItem="0"/>
    <dataField name="Average of Misses" fld="28" subtotal="average" baseField="9" baseItem="0"/>
    <dataField name="Average of Assists" fld="14" subtotal="average" baseField="9" baseItem="0"/>
    <dataField name="Average of Corners" fld="29" subtotal="average" baseField="9" baseItem="0"/>
    <dataField name="Average of Fouls" fld="33" subtotal="average" baseField="9" baseItem="0"/>
    <dataField name="Average of Market Value" fld="8" subtotal="average" baseField="9" baseItem="0"/>
  </dataFields>
  <formats count="6">
    <format dxfId="5">
      <pivotArea collapsedLevelsAreSubtotals="1" fieldPosition="0">
        <references count="2">
          <reference field="4294967294" count="1">
            <x v="1"/>
          </reference>
          <reference field="9" count="1" selected="0">
            <x v="1"/>
          </reference>
        </references>
      </pivotArea>
    </format>
    <format dxfId="4">
      <pivotArea outline="0" collapsedLevelsAreSubtotals="1" fieldPosition="0"/>
    </format>
    <format dxfId="3">
      <pivotArea collapsedLevelsAreSubtotals="1" fieldPosition="0">
        <references count="1">
          <reference field="4294967294" count="1">
            <x v="10"/>
          </reference>
        </references>
      </pivotArea>
    </format>
    <format dxfId="2">
      <pivotArea collapsedLevelsAreSubtotals="1" fieldPosition="0">
        <references count="2">
          <reference field="4294967294" count="1">
            <x v="0"/>
          </reference>
          <reference field="9" count="1" selected="0">
            <x v="2"/>
          </reference>
        </references>
      </pivotArea>
    </format>
    <format dxfId="1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65364D-D51A-489E-946D-3EF9870EC57D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:A2186" firstHeaderRow="1" firstDataRow="1" firstDataCol="1" rowPageCount="4" colPageCount="1"/>
  <pivotFields count="41">
    <pivotField axis="axisRow" showAll="0">
      <items count="712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1"/>
        <item x="2"/>
        <item x="49"/>
        <item x="50"/>
        <item x="51"/>
        <item x="52"/>
        <item x="53"/>
        <item x="55"/>
        <item x="54"/>
        <item x="56"/>
        <item x="58"/>
        <item x="59"/>
        <item x="60"/>
        <item x="57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x="119"/>
        <item x="120"/>
        <item x="121"/>
        <item x="11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0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9"/>
        <item x="250"/>
        <item x="251"/>
        <item x="247"/>
        <item x="248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6"/>
        <item x="277"/>
        <item x="278"/>
        <item x="279"/>
        <item x="280"/>
        <item x="281"/>
        <item x="274"/>
        <item x="282"/>
        <item x="275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7"/>
        <item x="336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1"/>
        <item x="350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296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1"/>
        <item x="459"/>
        <item x="462"/>
        <item x="460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39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08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60"/>
        <item x="561"/>
        <item x="562"/>
        <item x="563"/>
        <item x="564"/>
        <item x="565"/>
        <item x="566"/>
        <item x="567"/>
        <item x="559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57"/>
        <item x="558"/>
        <item x="586"/>
        <item x="587"/>
        <item x="588"/>
        <item x="589"/>
        <item x="590"/>
        <item x="591"/>
        <item x="592"/>
        <item x="593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596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4"/>
        <item x="635"/>
        <item x="636"/>
        <item x="633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1"/>
        <item x="672"/>
        <item x="673"/>
        <item x="674"/>
        <item x="670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axis="axisRow" showAll="0">
      <items count="6">
        <item x="0"/>
        <item x="3"/>
        <item x="1"/>
        <item x="2"/>
        <item x="4"/>
        <item t="default"/>
      </items>
    </pivotField>
    <pivotField showAll="0">
      <items count="1469">
        <item x="6"/>
        <item x="7"/>
        <item x="5"/>
        <item x="4"/>
        <item x="8"/>
        <item x="9"/>
        <item x="11"/>
        <item x="1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0"/>
        <item x="32"/>
        <item x="34"/>
        <item x="35"/>
        <item x="36"/>
        <item x="33"/>
        <item x="37"/>
        <item x="38"/>
        <item x="39"/>
        <item x="41"/>
        <item x="40"/>
        <item x="42"/>
        <item x="44"/>
        <item x="43"/>
        <item x="45"/>
        <item x="46"/>
        <item x="47"/>
        <item x="48"/>
        <item x="49"/>
        <item x="50"/>
        <item x="51"/>
        <item x="53"/>
        <item x="52"/>
        <item x="54"/>
        <item x="55"/>
        <item x="57"/>
        <item x="56"/>
        <item x="58"/>
        <item x="59"/>
        <item x="61"/>
        <item x="60"/>
        <item x="62"/>
        <item x="63"/>
        <item x="64"/>
        <item x="65"/>
        <item x="66"/>
        <item x="67"/>
        <item x="68"/>
        <item x="69"/>
        <item x="70"/>
        <item x="72"/>
        <item x="71"/>
        <item x="73"/>
        <item x="74"/>
        <item x="75"/>
        <item x="76"/>
        <item x="77"/>
        <item x="79"/>
        <item x="78"/>
        <item x="80"/>
        <item x="81"/>
        <item x="83"/>
        <item x="82"/>
        <item x="84"/>
        <item x="85"/>
        <item x="86"/>
        <item x="88"/>
        <item x="87"/>
        <item x="89"/>
        <item x="90"/>
        <item x="1"/>
        <item x="2"/>
        <item x="3"/>
        <item x="91"/>
        <item x="92"/>
        <item x="93"/>
        <item x="94"/>
        <item x="95"/>
        <item x="96"/>
        <item x="97"/>
        <item x="98"/>
        <item x="99"/>
        <item x="100"/>
        <item x="102"/>
        <item x="103"/>
        <item x="104"/>
        <item x="101"/>
        <item x="105"/>
        <item x="107"/>
        <item x="108"/>
        <item x="109"/>
        <item x="106"/>
        <item x="112"/>
        <item x="110"/>
        <item x="111"/>
        <item x="113"/>
        <item x="114"/>
        <item x="116"/>
        <item x="115"/>
        <item x="117"/>
        <item x="118"/>
        <item x="120"/>
        <item x="119"/>
        <item x="122"/>
        <item x="123"/>
        <item x="124"/>
        <item x="121"/>
        <item x="125"/>
        <item x="126"/>
        <item x="127"/>
        <item x="128"/>
        <item x="129"/>
        <item x="132"/>
        <item x="130"/>
        <item x="133"/>
        <item x="131"/>
        <item x="135"/>
        <item x="134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9"/>
        <item x="148"/>
        <item x="150"/>
        <item x="151"/>
        <item x="152"/>
        <item x="153"/>
        <item x="154"/>
        <item x="155"/>
        <item x="157"/>
        <item x="156"/>
        <item x="158"/>
        <item x="159"/>
        <item x="160"/>
        <item x="161"/>
        <item x="164"/>
        <item x="163"/>
        <item x="16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7"/>
        <item x="178"/>
        <item x="176"/>
        <item x="181"/>
        <item x="180"/>
        <item x="182"/>
        <item x="179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2"/>
        <item x="211"/>
        <item x="214"/>
        <item x="213"/>
        <item x="219"/>
        <item x="220"/>
        <item x="221"/>
        <item x="222"/>
        <item x="223"/>
        <item x="224"/>
        <item x="225"/>
        <item x="226"/>
        <item x="228"/>
        <item x="227"/>
        <item x="229"/>
        <item x="230"/>
        <item x="231"/>
        <item x="232"/>
        <item x="233"/>
        <item x="217"/>
        <item x="216"/>
        <item x="218"/>
        <item x="215"/>
        <item x="234"/>
        <item x="235"/>
        <item x="239"/>
        <item x="236"/>
        <item x="237"/>
        <item x="238"/>
        <item x="240"/>
        <item x="241"/>
        <item x="242"/>
        <item x="243"/>
        <item x="244"/>
        <item x="245"/>
        <item x="246"/>
        <item x="249"/>
        <item x="248"/>
        <item x="247"/>
        <item x="250"/>
        <item x="253"/>
        <item x="252"/>
        <item x="251"/>
        <item x="254"/>
        <item x="255"/>
        <item x="256"/>
        <item x="257"/>
        <item x="260"/>
        <item x="258"/>
        <item x="259"/>
        <item x="261"/>
        <item x="262"/>
        <item x="263"/>
        <item x="264"/>
        <item x="265"/>
        <item x="266"/>
        <item x="267"/>
        <item x="268"/>
        <item x="272"/>
        <item x="269"/>
        <item x="270"/>
        <item x="271"/>
        <item x="273"/>
        <item x="274"/>
        <item x="276"/>
        <item x="275"/>
        <item x="277"/>
        <item x="278"/>
        <item x="279"/>
        <item x="280"/>
        <item x="281"/>
        <item x="282"/>
        <item x="283"/>
        <item x="284"/>
        <item x="286"/>
        <item x="287"/>
        <item x="285"/>
        <item x="290"/>
        <item x="288"/>
        <item x="289"/>
        <item x="291"/>
        <item x="292"/>
        <item x="293"/>
        <item x="294"/>
        <item x="296"/>
        <item x="297"/>
        <item x="295"/>
        <item x="298"/>
        <item x="299"/>
        <item x="300"/>
        <item x="301"/>
        <item x="302"/>
        <item x="303"/>
        <item x="304"/>
        <item x="305"/>
        <item x="306"/>
        <item x="308"/>
        <item x="309"/>
        <item x="307"/>
        <item x="310"/>
        <item x="311"/>
        <item x="313"/>
        <item x="312"/>
        <item x="314"/>
        <item x="315"/>
        <item x="317"/>
        <item x="316"/>
        <item x="319"/>
        <item x="318"/>
        <item x="320"/>
        <item x="321"/>
        <item x="322"/>
        <item x="323"/>
        <item x="324"/>
        <item x="326"/>
        <item x="325"/>
        <item x="327"/>
        <item x="328"/>
        <item x="329"/>
        <item x="330"/>
        <item x="331"/>
        <item x="335"/>
        <item x="334"/>
        <item x="332"/>
        <item x="333"/>
        <item x="336"/>
        <item x="337"/>
        <item x="338"/>
        <item x="339"/>
        <item x="343"/>
        <item x="340"/>
        <item x="341"/>
        <item x="342"/>
        <item x="344"/>
        <item x="346"/>
        <item x="345"/>
        <item x="347"/>
        <item x="348"/>
        <item x="349"/>
        <item x="350"/>
        <item x="351"/>
        <item x="352"/>
        <item x="353"/>
        <item x="354"/>
        <item x="355"/>
        <item x="359"/>
        <item x="358"/>
        <item x="356"/>
        <item x="357"/>
        <item x="360"/>
        <item x="361"/>
        <item x="362"/>
        <item x="364"/>
        <item x="363"/>
        <item x="365"/>
        <item x="366"/>
        <item x="367"/>
        <item x="368"/>
        <item x="369"/>
        <item x="370"/>
        <item x="372"/>
        <item x="371"/>
        <item x="373"/>
        <item x="374"/>
        <item x="375"/>
        <item x="377"/>
        <item x="376"/>
        <item x="378"/>
        <item x="380"/>
        <item x="379"/>
        <item x="381"/>
        <item x="383"/>
        <item x="384"/>
        <item x="382"/>
        <item x="385"/>
        <item x="386"/>
        <item x="388"/>
        <item x="387"/>
        <item x="389"/>
        <item x="390"/>
        <item x="392"/>
        <item x="391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1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0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3"/>
        <item x="442"/>
        <item x="441"/>
        <item x="444"/>
        <item x="445"/>
        <item x="447"/>
        <item x="446"/>
        <item x="448"/>
        <item x="449"/>
        <item x="450"/>
        <item x="451"/>
        <item x="452"/>
        <item x="455"/>
        <item x="453"/>
        <item x="454"/>
        <item x="456"/>
        <item x="457"/>
        <item x="458"/>
        <item x="459"/>
        <item x="460"/>
        <item x="461"/>
        <item x="462"/>
        <item x="463"/>
        <item x="464"/>
        <item x="466"/>
        <item x="465"/>
        <item x="467"/>
        <item x="468"/>
        <item x="469"/>
        <item x="470"/>
        <item x="471"/>
        <item x="473"/>
        <item x="472"/>
        <item x="475"/>
        <item x="474"/>
        <item x="476"/>
        <item x="477"/>
        <item x="478"/>
        <item x="480"/>
        <item x="479"/>
        <item x="481"/>
        <item x="482"/>
        <item x="483"/>
        <item x="484"/>
        <item x="485"/>
        <item x="487"/>
        <item x="486"/>
        <item x="489"/>
        <item x="488"/>
        <item x="490"/>
        <item x="491"/>
        <item x="492"/>
        <item x="493"/>
        <item x="494"/>
        <item x="495"/>
        <item x="496"/>
        <item x="497"/>
        <item x="498"/>
        <item x="503"/>
        <item x="504"/>
        <item x="505"/>
        <item x="506"/>
        <item x="507"/>
        <item x="508"/>
        <item x="499"/>
        <item x="500"/>
        <item x="501"/>
        <item x="502"/>
        <item x="509"/>
        <item x="510"/>
        <item x="511"/>
        <item x="513"/>
        <item x="512"/>
        <item x="515"/>
        <item x="516"/>
        <item x="514"/>
        <item x="517"/>
        <item x="518"/>
        <item x="520"/>
        <item x="519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4"/>
        <item x="533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5"/>
        <item x="556"/>
        <item x="557"/>
        <item x="558"/>
        <item x="559"/>
        <item x="560"/>
        <item x="561"/>
        <item x="562"/>
        <item x="563"/>
        <item x="564"/>
        <item x="566"/>
        <item x="567"/>
        <item x="565"/>
        <item x="568"/>
        <item x="570"/>
        <item x="569"/>
        <item x="571"/>
        <item x="553"/>
        <item x="572"/>
        <item x="574"/>
        <item x="575"/>
        <item x="573"/>
        <item x="554"/>
        <item x="576"/>
        <item x="577"/>
        <item x="578"/>
        <item x="579"/>
        <item x="580"/>
        <item x="581"/>
        <item x="582"/>
        <item x="583"/>
        <item x="584"/>
        <item x="585"/>
        <item x="587"/>
        <item x="586"/>
        <item x="588"/>
        <item x="590"/>
        <item x="589"/>
        <item x="591"/>
        <item x="592"/>
        <item x="593"/>
        <item x="594"/>
        <item x="595"/>
        <item x="596"/>
        <item x="597"/>
        <item x="598"/>
        <item x="599"/>
        <item x="601"/>
        <item x="602"/>
        <item x="603"/>
        <item x="604"/>
        <item x="605"/>
        <item x="606"/>
        <item x="607"/>
        <item x="608"/>
        <item x="611"/>
        <item x="610"/>
        <item x="609"/>
        <item x="612"/>
        <item x="613"/>
        <item x="614"/>
        <item x="615"/>
        <item x="616"/>
        <item x="617"/>
        <item x="618"/>
        <item x="619"/>
        <item x="620"/>
        <item x="621"/>
        <item x="623"/>
        <item x="622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8"/>
        <item x="637"/>
        <item x="639"/>
        <item x="640"/>
        <item x="643"/>
        <item x="641"/>
        <item x="642"/>
        <item x="645"/>
        <item x="646"/>
        <item x="644"/>
        <item x="647"/>
        <item x="648"/>
        <item x="649"/>
        <item x="651"/>
        <item x="650"/>
        <item x="652"/>
        <item x="653"/>
        <item x="654"/>
        <item x="655"/>
        <item x="656"/>
        <item x="657"/>
        <item x="661"/>
        <item x="658"/>
        <item x="660"/>
        <item x="659"/>
        <item x="662"/>
        <item x="663"/>
        <item x="664"/>
        <item x="665"/>
        <item x="667"/>
        <item x="666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2"/>
        <item x="685"/>
        <item x="684"/>
        <item x="686"/>
        <item x="688"/>
        <item x="689"/>
        <item x="687"/>
        <item x="690"/>
        <item x="693"/>
        <item x="694"/>
        <item x="696"/>
        <item x="695"/>
        <item x="691"/>
        <item x="692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10"/>
        <item x="708"/>
        <item x="709"/>
        <item x="712"/>
        <item x="711"/>
        <item x="713"/>
        <item x="714"/>
        <item x="715"/>
        <item x="716"/>
        <item x="717"/>
        <item x="720"/>
        <item x="718"/>
        <item x="719"/>
        <item x="723"/>
        <item x="722"/>
        <item x="724"/>
        <item x="721"/>
        <item x="725"/>
        <item x="726"/>
        <item x="727"/>
        <item x="728"/>
        <item x="729"/>
        <item x="731"/>
        <item x="730"/>
        <item x="732"/>
        <item x="733"/>
        <item x="734"/>
        <item x="736"/>
        <item x="735"/>
        <item x="738"/>
        <item x="737"/>
        <item x="739"/>
        <item x="741"/>
        <item x="743"/>
        <item x="742"/>
        <item x="740"/>
        <item x="744"/>
        <item x="745"/>
        <item x="746"/>
        <item x="747"/>
        <item x="748"/>
        <item x="749"/>
        <item x="750"/>
        <item x="751"/>
        <item x="753"/>
        <item x="752"/>
        <item x="754"/>
        <item x="755"/>
        <item x="756"/>
        <item x="757"/>
        <item x="759"/>
        <item x="758"/>
        <item x="760"/>
        <item x="761"/>
        <item x="762"/>
        <item x="763"/>
        <item x="764"/>
        <item x="766"/>
        <item x="765"/>
        <item x="767"/>
        <item x="768"/>
        <item x="770"/>
        <item x="769"/>
        <item x="771"/>
        <item x="772"/>
        <item x="773"/>
        <item x="774"/>
        <item x="775"/>
        <item x="776"/>
        <item x="778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6"/>
        <item x="795"/>
        <item x="600"/>
        <item x="797"/>
        <item x="798"/>
        <item x="799"/>
        <item x="800"/>
        <item x="801"/>
        <item x="802"/>
        <item x="803"/>
        <item x="804"/>
        <item x="805"/>
        <item x="807"/>
        <item x="806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5"/>
        <item x="824"/>
        <item x="823"/>
        <item x="826"/>
        <item x="829"/>
        <item x="827"/>
        <item x="828"/>
        <item x="831"/>
        <item x="830"/>
        <item x="832"/>
        <item x="834"/>
        <item x="833"/>
        <item x="835"/>
        <item x="837"/>
        <item x="836"/>
        <item x="838"/>
        <item x="841"/>
        <item x="839"/>
        <item x="840"/>
        <item x="842"/>
        <item x="844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9"/>
        <item x="857"/>
        <item x="858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2"/>
        <item x="871"/>
        <item x="874"/>
        <item x="873"/>
        <item x="875"/>
        <item x="876"/>
        <item x="877"/>
        <item x="878"/>
        <item x="879"/>
        <item x="880"/>
        <item x="882"/>
        <item x="881"/>
        <item x="883"/>
        <item x="885"/>
        <item x="884"/>
        <item x="886"/>
        <item x="887"/>
        <item x="888"/>
        <item x="889"/>
        <item x="890"/>
        <item x="892"/>
        <item x="891"/>
        <item x="893"/>
        <item x="894"/>
        <item x="895"/>
        <item x="896"/>
        <item x="898"/>
        <item x="900"/>
        <item x="899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4"/>
        <item x="913"/>
        <item x="916"/>
        <item x="915"/>
        <item x="917"/>
        <item x="918"/>
        <item x="919"/>
        <item x="920"/>
        <item x="921"/>
        <item x="923"/>
        <item x="922"/>
        <item x="925"/>
        <item x="924"/>
        <item x="926"/>
        <item x="927"/>
        <item x="928"/>
        <item x="929"/>
        <item x="930"/>
        <item x="931"/>
        <item x="932"/>
        <item x="934"/>
        <item x="935"/>
        <item x="933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50"/>
        <item x="948"/>
        <item x="951"/>
        <item x="952"/>
        <item x="954"/>
        <item x="953"/>
        <item x="949"/>
        <item x="956"/>
        <item x="957"/>
        <item x="955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4"/>
        <item x="973"/>
        <item x="975"/>
        <item x="976"/>
        <item x="978"/>
        <item x="979"/>
        <item x="977"/>
        <item x="980"/>
        <item x="981"/>
        <item x="982"/>
        <item x="983"/>
        <item x="984"/>
        <item x="985"/>
        <item x="986"/>
        <item x="988"/>
        <item x="987"/>
        <item x="989"/>
        <item x="897"/>
        <item x="990"/>
        <item x="991"/>
        <item x="994"/>
        <item x="992"/>
        <item x="993"/>
        <item x="995"/>
        <item x="996"/>
        <item x="997"/>
        <item x="998"/>
        <item x="999"/>
        <item x="1001"/>
        <item x="1000"/>
        <item x="1002"/>
        <item x="1003"/>
        <item x="1005"/>
        <item x="1004"/>
        <item x="1006"/>
        <item x="1007"/>
        <item x="1008"/>
        <item x="1009"/>
        <item x="1011"/>
        <item x="1010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3"/>
        <item x="1032"/>
        <item x="1034"/>
        <item x="1035"/>
        <item x="1036"/>
        <item x="1037"/>
        <item x="1038"/>
        <item x="1039"/>
        <item x="1040"/>
        <item x="1045"/>
        <item x="1046"/>
        <item x="1047"/>
        <item x="1048"/>
        <item x="1050"/>
        <item x="1049"/>
        <item x="1051"/>
        <item x="1052"/>
        <item x="1054"/>
        <item x="1053"/>
        <item x="1056"/>
        <item x="1055"/>
        <item x="1057"/>
        <item x="1058"/>
        <item x="1060"/>
        <item x="1061"/>
        <item x="1059"/>
        <item x="1062"/>
        <item x="1063"/>
        <item x="1064"/>
        <item x="1066"/>
        <item x="1065"/>
        <item x="1067"/>
        <item x="1069"/>
        <item x="1068"/>
        <item x="1070"/>
        <item x="1071"/>
        <item x="1072"/>
        <item x="1073"/>
        <item x="1042"/>
        <item x="1041"/>
        <item x="1043"/>
        <item x="1044"/>
        <item x="1074"/>
        <item x="1075"/>
        <item x="1077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91"/>
        <item x="1092"/>
        <item x="1089"/>
        <item x="1090"/>
        <item x="1093"/>
        <item x="1094"/>
        <item x="1095"/>
        <item x="1096"/>
        <item x="1097"/>
        <item x="1098"/>
        <item x="1099"/>
        <item x="1100"/>
        <item x="1102"/>
        <item x="1101"/>
        <item x="1103"/>
        <item x="1104"/>
        <item x="1105"/>
        <item x="1106"/>
        <item x="1107"/>
        <item x="1108"/>
        <item x="1109"/>
        <item x="1110"/>
        <item x="1111"/>
        <item x="1113"/>
        <item x="1115"/>
        <item x="1112"/>
        <item x="1114"/>
        <item x="1118"/>
        <item x="1117"/>
        <item x="1116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7"/>
        <item x="1136"/>
        <item x="1135"/>
        <item x="1138"/>
        <item x="1141"/>
        <item x="1139"/>
        <item x="1140"/>
        <item x="1142"/>
        <item x="1145"/>
        <item x="1143"/>
        <item x="1144"/>
        <item x="1146"/>
        <item x="1147"/>
        <item x="1148"/>
        <item x="1149"/>
        <item x="1150"/>
        <item x="1151"/>
        <item x="1152"/>
        <item x="1153"/>
        <item x="1155"/>
        <item x="1156"/>
        <item x="1154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3"/>
        <item x="1172"/>
        <item x="1159"/>
        <item x="1174"/>
        <item x="1175"/>
        <item x="1176"/>
        <item x="1177"/>
        <item x="1178"/>
        <item x="1179"/>
        <item x="1180"/>
        <item x="1181"/>
        <item x="1182"/>
        <item x="1183"/>
        <item x="1185"/>
        <item x="1184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2"/>
        <item x="1211"/>
        <item x="1213"/>
        <item x="1157"/>
        <item x="1158"/>
        <item x="1214"/>
        <item x="1215"/>
        <item x="1216"/>
        <item x="1217"/>
        <item x="1218"/>
        <item x="1219"/>
        <item x="1220"/>
        <item x="1221"/>
        <item x="1223"/>
        <item x="1222"/>
        <item x="1224"/>
        <item x="1225"/>
        <item x="1226"/>
        <item x="1227"/>
        <item x="1228"/>
        <item x="1229"/>
        <item x="1230"/>
        <item x="1231"/>
        <item x="1233"/>
        <item x="1232"/>
        <item x="1235"/>
        <item x="1238"/>
        <item x="1236"/>
        <item x="1237"/>
        <item x="1239"/>
        <item x="1240"/>
        <item x="1244"/>
        <item x="1241"/>
        <item x="1242"/>
        <item x="1243"/>
        <item x="1246"/>
        <item x="1245"/>
        <item x="1248"/>
        <item x="1247"/>
        <item x="1249"/>
        <item x="1250"/>
        <item x="1251"/>
        <item x="1252"/>
        <item x="1253"/>
        <item x="1254"/>
        <item x="1255"/>
        <item x="1256"/>
        <item x="1257"/>
        <item x="1258"/>
        <item x="1261"/>
        <item x="1260"/>
        <item x="1259"/>
        <item x="1262"/>
        <item x="1263"/>
        <item x="1264"/>
        <item x="1265"/>
        <item x="1266"/>
        <item x="1267"/>
        <item x="1269"/>
        <item x="1268"/>
        <item x="1271"/>
        <item x="1270"/>
        <item x="1272"/>
        <item x="1273"/>
        <item x="1275"/>
        <item x="1274"/>
        <item x="1277"/>
        <item x="1276"/>
        <item x="1278"/>
        <item x="1279"/>
        <item x="1234"/>
        <item x="1280"/>
        <item x="1281"/>
        <item x="1282"/>
        <item x="1283"/>
        <item x="1284"/>
        <item x="1286"/>
        <item x="1285"/>
        <item x="1287"/>
        <item x="1288"/>
        <item x="1289"/>
        <item x="1290"/>
        <item x="1291"/>
        <item x="1292"/>
        <item x="1293"/>
        <item x="1294"/>
        <item x="1296"/>
        <item x="1297"/>
        <item x="1295"/>
        <item x="1298"/>
        <item x="1300"/>
        <item x="1301"/>
        <item x="1299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5"/>
        <item x="1316"/>
        <item x="1317"/>
        <item x="1318"/>
        <item x="1314"/>
        <item x="1319"/>
        <item x="1320"/>
        <item x="1322"/>
        <item x="1321"/>
        <item x="1325"/>
        <item x="1323"/>
        <item x="1324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5"/>
        <item x="1346"/>
        <item x="1344"/>
        <item x="1347"/>
        <item x="1348"/>
        <item x="1349"/>
        <item x="1350"/>
        <item x="1351"/>
        <item x="1352"/>
        <item x="1353"/>
        <item x="1355"/>
        <item x="1356"/>
        <item x="1354"/>
        <item x="1357"/>
        <item x="1359"/>
        <item x="1360"/>
        <item x="1358"/>
        <item x="1362"/>
        <item x="1363"/>
        <item x="1361"/>
        <item x="1364"/>
        <item x="1366"/>
        <item x="1365"/>
        <item x="1367"/>
        <item x="1368"/>
        <item x="1369"/>
        <item x="1370"/>
        <item x="1371"/>
        <item x="1372"/>
        <item x="1373"/>
        <item x="1375"/>
        <item x="1374"/>
        <item x="1376"/>
        <item x="1377"/>
        <item x="1378"/>
        <item x="1379"/>
        <item x="1381"/>
        <item x="1382"/>
        <item x="1383"/>
        <item x="1384"/>
        <item x="1385"/>
        <item x="1386"/>
        <item x="1380"/>
        <item x="1388"/>
        <item x="1387"/>
        <item x="1389"/>
        <item x="1390"/>
        <item x="1391"/>
        <item x="1392"/>
        <item x="1393"/>
        <item x="1394"/>
        <item x="1395"/>
        <item x="1396"/>
        <item x="1397"/>
        <item x="1398"/>
        <item x="1401"/>
        <item x="1399"/>
        <item x="1400"/>
        <item x="1404"/>
        <item x="1402"/>
        <item x="1405"/>
        <item x="1403"/>
        <item x="1406"/>
        <item x="1407"/>
        <item x="1408"/>
        <item x="1409"/>
        <item x="1410"/>
        <item x="1411"/>
        <item x="1413"/>
        <item x="1414"/>
        <item x="1412"/>
        <item x="1415"/>
        <item x="1418"/>
        <item x="1419"/>
        <item x="1417"/>
        <item x="1416"/>
        <item x="1421"/>
        <item x="1420"/>
        <item x="1424"/>
        <item x="1422"/>
        <item x="1423"/>
        <item x="1425"/>
        <item x="1426"/>
        <item x="1427"/>
        <item x="1428"/>
        <item x="1429"/>
        <item x="1430"/>
        <item x="1431"/>
        <item x="1432"/>
        <item x="1433"/>
        <item x="1435"/>
        <item x="1434"/>
        <item x="1437"/>
        <item x="1436"/>
        <item x="1438"/>
        <item x="1439"/>
        <item x="1441"/>
        <item x="1440"/>
        <item x="1442"/>
        <item x="1443"/>
        <item x="1444"/>
        <item x="1445"/>
        <item x="1446"/>
        <item x="1447"/>
        <item x="1448"/>
        <item x="1449"/>
        <item x="1450"/>
        <item x="1452"/>
        <item x="1451"/>
        <item x="1453"/>
        <item x="1454"/>
        <item x="1455"/>
        <item x="1456"/>
        <item x="1457"/>
        <item x="1458"/>
        <item x="1459"/>
        <item x="1461"/>
        <item x="1460"/>
        <item x="1462"/>
        <item x="1463"/>
        <item x="1465"/>
        <item x="1464"/>
        <item x="1466"/>
        <item x="14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maxSubtotal="1">
      <items count="29">
        <item x="0"/>
        <item x="4"/>
        <item x="5"/>
        <item x="7"/>
        <item x="6"/>
        <item x="2"/>
        <item x="14"/>
        <item x="8"/>
        <item x="9"/>
        <item x="3"/>
        <item x="15"/>
        <item x="1"/>
        <item x="13"/>
        <item x="11"/>
        <item x="10"/>
        <item x="16"/>
        <item x="19"/>
        <item x="23"/>
        <item x="17"/>
        <item x="18"/>
        <item x="26"/>
        <item x="25"/>
        <item x="12"/>
        <item x="20"/>
        <item x="21"/>
        <item x="22"/>
        <item x="24"/>
        <item x="27"/>
        <item t="max"/>
      </items>
    </pivotField>
    <pivotField showAll="0"/>
    <pivotField axis="axisPage" showAll="0" maxSubtotal="1">
      <items count="21">
        <item x="0"/>
        <item x="3"/>
        <item x="5"/>
        <item x="6"/>
        <item x="2"/>
        <item x="8"/>
        <item x="1"/>
        <item x="4"/>
        <item x="7"/>
        <item x="11"/>
        <item x="9"/>
        <item x="10"/>
        <item x="12"/>
        <item x="13"/>
        <item x="18"/>
        <item x="14"/>
        <item x="16"/>
        <item x="15"/>
        <item x="17"/>
        <item x="19"/>
        <item t="max"/>
      </items>
    </pivotField>
    <pivotField axis="axisPage" showAll="0" maxSubtotal="1">
      <items count="16">
        <item x="0"/>
        <item x="3"/>
        <item x="4"/>
        <item x="6"/>
        <item x="5"/>
        <item x="2"/>
        <item x="8"/>
        <item x="1"/>
        <item x="9"/>
        <item x="10"/>
        <item x="7"/>
        <item x="12"/>
        <item x="11"/>
        <item x="13"/>
        <item x="14"/>
        <item t="max"/>
      </items>
    </pivotField>
    <pivotField axis="axisPage" showAll="0" maxSubtotal="1">
      <items count="6">
        <item x="0"/>
        <item x="1"/>
        <item x="2"/>
        <item x="3"/>
        <item x="4"/>
        <item t="max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2180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 v="3"/>
    </i>
    <i>
      <x v="5"/>
    </i>
    <i r="1">
      <x v="1"/>
    </i>
    <i r="1">
      <x v="2"/>
    </i>
    <i r="1">
      <x v="3"/>
    </i>
    <i>
      <x v="6"/>
    </i>
    <i r="1">
      <x/>
    </i>
    <i>
      <x v="7"/>
    </i>
    <i r="1">
      <x v="1"/>
    </i>
    <i>
      <x v="8"/>
    </i>
    <i r="1">
      <x v="3"/>
    </i>
    <i>
      <x v="9"/>
    </i>
    <i r="1">
      <x v="1"/>
    </i>
    <i>
      <x v="10"/>
    </i>
    <i r="1">
      <x v="1"/>
    </i>
    <i>
      <x v="11"/>
    </i>
    <i r="1">
      <x/>
    </i>
    <i>
      <x v="12"/>
    </i>
    <i r="1">
      <x/>
    </i>
    <i r="1">
      <x v="1"/>
    </i>
    <i r="1">
      <x v="2"/>
    </i>
    <i r="1">
      <x v="3"/>
    </i>
    <i>
      <x v="13"/>
    </i>
    <i r="1">
      <x v="3"/>
    </i>
    <i>
      <x v="14"/>
    </i>
    <i r="1">
      <x/>
    </i>
    <i r="1">
      <x v="1"/>
    </i>
    <i r="1">
      <x v="2"/>
    </i>
    <i r="1">
      <x v="3"/>
    </i>
    <i>
      <x v="15"/>
    </i>
    <i r="1">
      <x v="3"/>
    </i>
    <i>
      <x v="16"/>
    </i>
    <i r="1">
      <x v="1"/>
    </i>
    <i>
      <x v="17"/>
    </i>
    <i r="1">
      <x/>
    </i>
    <i r="1">
      <x v="1"/>
    </i>
    <i r="1">
      <x v="3"/>
    </i>
    <i>
      <x v="18"/>
    </i>
    <i r="1">
      <x v="3"/>
    </i>
    <i>
      <x v="19"/>
    </i>
    <i r="1">
      <x/>
    </i>
    <i r="1">
      <x v="1"/>
    </i>
    <i>
      <x v="20"/>
    </i>
    <i r="1">
      <x v="1"/>
    </i>
    <i>
      <x v="21"/>
    </i>
    <i r="1">
      <x v="2"/>
    </i>
    <i r="1">
      <x v="3"/>
    </i>
    <i>
      <x v="22"/>
    </i>
    <i r="1">
      <x v="2"/>
    </i>
    <i>
      <x v="23"/>
    </i>
    <i r="1">
      <x v="1"/>
    </i>
    <i>
      <x v="24"/>
    </i>
    <i r="1">
      <x v="2"/>
    </i>
    <i>
      <x v="25"/>
    </i>
    <i r="1">
      <x v="1"/>
    </i>
    <i>
      <x v="26"/>
    </i>
    <i r="1">
      <x v="2"/>
    </i>
    <i r="1">
      <x v="3"/>
    </i>
    <i>
      <x v="27"/>
    </i>
    <i r="1">
      <x/>
    </i>
    <i>
      <x v="28"/>
    </i>
    <i r="1">
      <x/>
    </i>
    <i r="1">
      <x v="1"/>
    </i>
    <i r="1">
      <x v="2"/>
    </i>
    <i>
      <x v="29"/>
    </i>
    <i r="1">
      <x/>
    </i>
    <i>
      <x v="30"/>
    </i>
    <i r="1">
      <x v="2"/>
    </i>
    <i>
      <x v="31"/>
    </i>
    <i r="1">
      <x/>
    </i>
    <i r="1">
      <x v="1"/>
    </i>
    <i>
      <x v="32"/>
    </i>
    <i r="1">
      <x/>
    </i>
    <i r="1">
      <x v="3"/>
    </i>
    <i>
      <x v="33"/>
    </i>
    <i r="1">
      <x/>
    </i>
    <i r="1">
      <x v="1"/>
    </i>
    <i r="1">
      <x v="2"/>
    </i>
    <i r="1">
      <x v="3"/>
    </i>
    <i>
      <x v="34"/>
    </i>
    <i r="1">
      <x/>
    </i>
    <i r="1">
      <x v="1"/>
    </i>
    <i r="1">
      <x v="2"/>
    </i>
    <i>
      <x v="35"/>
    </i>
    <i r="1">
      <x v="2"/>
    </i>
    <i r="1">
      <x v="3"/>
    </i>
    <i>
      <x v="36"/>
    </i>
    <i r="1">
      <x v="3"/>
    </i>
    <i>
      <x v="37"/>
    </i>
    <i r="1">
      <x/>
    </i>
    <i>
      <x v="38"/>
    </i>
    <i r="1">
      <x v="2"/>
    </i>
    <i r="1">
      <x v="3"/>
    </i>
    <i>
      <x v="39"/>
    </i>
    <i r="1">
      <x/>
    </i>
    <i>
      <x v="40"/>
    </i>
    <i r="1">
      <x/>
    </i>
    <i r="1">
      <x v="1"/>
    </i>
    <i r="1">
      <x v="2"/>
    </i>
    <i r="1">
      <x v="3"/>
    </i>
    <i>
      <x v="41"/>
    </i>
    <i r="1">
      <x v="1"/>
    </i>
    <i r="1">
      <x v="2"/>
    </i>
    <i r="1">
      <x v="3"/>
    </i>
    <i>
      <x v="42"/>
    </i>
    <i r="1">
      <x v="1"/>
    </i>
    <i>
      <x v="43"/>
    </i>
    <i r="1">
      <x v="3"/>
    </i>
    <i>
      <x v="44"/>
    </i>
    <i r="1">
      <x/>
    </i>
    <i r="1">
      <x v="1"/>
    </i>
    <i r="1">
      <x v="2"/>
    </i>
    <i>
      <x v="45"/>
    </i>
    <i r="1">
      <x/>
    </i>
    <i>
      <x v="46"/>
    </i>
    <i r="1">
      <x v="2"/>
    </i>
    <i r="1">
      <x v="3"/>
    </i>
    <i>
      <x v="47"/>
    </i>
    <i r="1">
      <x v="1"/>
    </i>
    <i>
      <x v="48"/>
    </i>
    <i r="1">
      <x/>
    </i>
    <i>
      <x v="49"/>
    </i>
    <i r="1">
      <x/>
    </i>
    <i r="1">
      <x v="1"/>
    </i>
    <i r="1">
      <x v="2"/>
    </i>
    <i r="1">
      <x v="3"/>
    </i>
    <i>
      <x v="50"/>
    </i>
    <i r="1">
      <x/>
    </i>
    <i r="1">
      <x v="1"/>
    </i>
    <i r="1">
      <x v="2"/>
    </i>
    <i>
      <x v="51"/>
    </i>
    <i r="1">
      <x v="2"/>
    </i>
    <i>
      <x v="52"/>
    </i>
    <i r="1">
      <x v="3"/>
    </i>
    <i>
      <x v="53"/>
    </i>
    <i r="1">
      <x v="1"/>
    </i>
    <i r="1">
      <x v="2"/>
    </i>
    <i r="1">
      <x v="3"/>
    </i>
    <i>
      <x v="54"/>
    </i>
    <i r="1">
      <x v="3"/>
    </i>
    <i>
      <x v="55"/>
    </i>
    <i r="1">
      <x/>
    </i>
    <i>
      <x v="56"/>
    </i>
    <i r="1">
      <x v="1"/>
    </i>
    <i>
      <x v="57"/>
    </i>
    <i r="1">
      <x v="2"/>
    </i>
    <i>
      <x v="58"/>
    </i>
    <i r="1">
      <x v="3"/>
    </i>
    <i>
      <x v="59"/>
    </i>
    <i r="1">
      <x v="3"/>
    </i>
    <i>
      <x v="60"/>
    </i>
    <i r="1">
      <x v="1"/>
    </i>
    <i r="1">
      <x v="2"/>
    </i>
    <i r="1">
      <x v="3"/>
    </i>
    <i>
      <x v="61"/>
    </i>
    <i r="1">
      <x/>
    </i>
    <i r="1">
      <x v="1"/>
    </i>
    <i r="1">
      <x v="2"/>
    </i>
    <i r="1">
      <x v="3"/>
    </i>
    <i>
      <x v="62"/>
    </i>
    <i r="1">
      <x/>
    </i>
    <i r="1">
      <x v="1"/>
    </i>
    <i r="1">
      <x v="2"/>
    </i>
    <i r="1">
      <x v="3"/>
    </i>
    <i>
      <x v="63"/>
    </i>
    <i r="1">
      <x/>
    </i>
    <i r="1">
      <x v="1"/>
    </i>
    <i r="1">
      <x v="2"/>
    </i>
    <i r="1">
      <x v="3"/>
    </i>
    <i>
      <x v="64"/>
    </i>
    <i r="1">
      <x/>
    </i>
    <i r="1">
      <x v="1"/>
    </i>
    <i r="1">
      <x v="2"/>
    </i>
    <i>
      <x v="65"/>
    </i>
    <i r="1">
      <x/>
    </i>
    <i r="1">
      <x v="1"/>
    </i>
    <i>
      <x v="66"/>
    </i>
    <i r="1">
      <x/>
    </i>
    <i r="1">
      <x v="1"/>
    </i>
    <i r="1">
      <x v="2"/>
    </i>
    <i r="1">
      <x v="3"/>
    </i>
    <i>
      <x v="67"/>
    </i>
    <i r="1">
      <x v="2"/>
    </i>
    <i r="1">
      <x v="3"/>
    </i>
    <i>
      <x v="68"/>
    </i>
    <i r="1">
      <x/>
    </i>
    <i r="1">
      <x v="1"/>
    </i>
    <i r="1">
      <x v="2"/>
    </i>
    <i r="1">
      <x v="3"/>
    </i>
    <i>
      <x v="69"/>
    </i>
    <i r="1">
      <x v="1"/>
    </i>
    <i>
      <x v="70"/>
    </i>
    <i r="1">
      <x v="2"/>
    </i>
    <i r="1">
      <x v="3"/>
    </i>
    <i>
      <x v="71"/>
    </i>
    <i r="1">
      <x/>
    </i>
    <i r="1">
      <x v="1"/>
    </i>
    <i r="1">
      <x v="2"/>
    </i>
    <i>
      <x v="72"/>
    </i>
    <i r="1">
      <x v="3"/>
    </i>
    <i>
      <x v="73"/>
    </i>
    <i r="1">
      <x/>
    </i>
    <i>
      <x v="74"/>
    </i>
    <i r="1">
      <x v="1"/>
    </i>
    <i r="1">
      <x v="2"/>
    </i>
    <i r="1">
      <x v="3"/>
    </i>
    <i>
      <x v="75"/>
    </i>
    <i r="1">
      <x v="1"/>
    </i>
    <i r="1">
      <x v="2"/>
    </i>
    <i r="1">
      <x v="3"/>
    </i>
    <i>
      <x v="76"/>
    </i>
    <i r="1">
      <x v="1"/>
    </i>
    <i>
      <x v="77"/>
    </i>
    <i r="1">
      <x/>
    </i>
    <i r="1">
      <x v="2"/>
    </i>
    <i r="1">
      <x v="3"/>
    </i>
    <i>
      <x v="78"/>
    </i>
    <i r="1">
      <x/>
    </i>
    <i r="1">
      <x v="1"/>
    </i>
    <i r="1">
      <x v="2"/>
    </i>
    <i>
      <x v="79"/>
    </i>
    <i r="1">
      <x/>
    </i>
    <i r="1">
      <x v="1"/>
    </i>
    <i r="1">
      <x v="2"/>
    </i>
    <i r="1">
      <x v="3"/>
    </i>
    <i>
      <x v="80"/>
    </i>
    <i r="1">
      <x v="3"/>
    </i>
    <i>
      <x v="81"/>
    </i>
    <i r="1">
      <x/>
    </i>
    <i r="1">
      <x v="2"/>
    </i>
    <i r="1">
      <x v="3"/>
    </i>
    <i>
      <x v="82"/>
    </i>
    <i r="1">
      <x/>
    </i>
    <i r="1">
      <x v="1"/>
    </i>
    <i>
      <x v="83"/>
    </i>
    <i r="1">
      <x v="2"/>
    </i>
    <i>
      <x v="84"/>
    </i>
    <i r="1">
      <x/>
    </i>
    <i>
      <x v="85"/>
    </i>
    <i r="1">
      <x/>
    </i>
    <i r="1">
      <x v="2"/>
    </i>
    <i>
      <x v="86"/>
    </i>
    <i r="1">
      <x/>
    </i>
    <i>
      <x v="87"/>
    </i>
    <i r="1">
      <x v="1"/>
    </i>
    <i r="1">
      <x v="2"/>
    </i>
    <i r="1">
      <x v="3"/>
    </i>
    <i>
      <x v="88"/>
    </i>
    <i r="1">
      <x/>
    </i>
    <i r="1">
      <x v="1"/>
    </i>
    <i r="1">
      <x v="2"/>
    </i>
    <i r="1">
      <x v="3"/>
    </i>
    <i>
      <x v="89"/>
    </i>
    <i r="1">
      <x v="1"/>
    </i>
    <i>
      <x v="90"/>
    </i>
    <i r="1">
      <x v="1"/>
    </i>
    <i r="1">
      <x v="2"/>
    </i>
    <i r="1">
      <x v="3"/>
    </i>
    <i>
      <x v="91"/>
    </i>
    <i r="1">
      <x/>
    </i>
    <i>
      <x v="92"/>
    </i>
    <i r="1">
      <x/>
    </i>
    <i r="1">
      <x v="1"/>
    </i>
    <i r="1">
      <x v="2"/>
    </i>
    <i>
      <x v="93"/>
    </i>
    <i r="1">
      <x v="3"/>
    </i>
    <i>
      <x v="94"/>
    </i>
    <i r="1">
      <x v="2"/>
    </i>
    <i r="1">
      <x v="3"/>
    </i>
    <i>
      <x v="95"/>
    </i>
    <i r="1">
      <x v="3"/>
    </i>
    <i>
      <x v="96"/>
    </i>
    <i r="1">
      <x v="3"/>
    </i>
    <i>
      <x v="97"/>
    </i>
    <i r="1">
      <x v="1"/>
    </i>
    <i>
      <x v="98"/>
    </i>
    <i r="1">
      <x v="2"/>
    </i>
    <i r="1">
      <x v="3"/>
    </i>
    <i>
      <x v="99"/>
    </i>
    <i r="1">
      <x/>
    </i>
    <i>
      <x v="100"/>
    </i>
    <i r="1">
      <x/>
    </i>
    <i r="1">
      <x v="1"/>
    </i>
    <i>
      <x v="101"/>
    </i>
    <i r="1">
      <x v="3"/>
    </i>
    <i>
      <x v="102"/>
    </i>
    <i r="1">
      <x/>
    </i>
    <i>
      <x v="103"/>
    </i>
    <i r="1">
      <x v="1"/>
    </i>
    <i>
      <x v="104"/>
    </i>
    <i r="1">
      <x/>
    </i>
    <i r="1">
      <x v="1"/>
    </i>
    <i>
      <x v="105"/>
    </i>
    <i r="1">
      <x/>
    </i>
    <i>
      <x v="106"/>
    </i>
    <i r="1">
      <x v="2"/>
    </i>
    <i r="1">
      <x v="3"/>
    </i>
    <i>
      <x v="107"/>
    </i>
    <i r="1">
      <x v="3"/>
    </i>
    <i>
      <x v="108"/>
    </i>
    <i r="1">
      <x v="1"/>
    </i>
    <i r="1">
      <x v="2"/>
    </i>
    <i>
      <x v="109"/>
    </i>
    <i r="1">
      <x/>
    </i>
    <i r="1">
      <x v="1"/>
    </i>
    <i>
      <x v="110"/>
    </i>
    <i r="1">
      <x v="3"/>
    </i>
    <i>
      <x v="111"/>
    </i>
    <i r="1">
      <x/>
    </i>
    <i>
      <x v="112"/>
    </i>
    <i r="1">
      <x v="3"/>
    </i>
    <i>
      <x v="113"/>
    </i>
    <i r="1">
      <x v="1"/>
    </i>
    <i r="1">
      <x v="2"/>
    </i>
    <i r="1">
      <x v="3"/>
    </i>
    <i>
      <x v="114"/>
    </i>
    <i r="1">
      <x/>
    </i>
    <i r="1">
      <x v="1"/>
    </i>
    <i r="1">
      <x v="2"/>
    </i>
    <i r="1">
      <x v="3"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 r="1">
      <x v="1"/>
    </i>
    <i r="1">
      <x v="2"/>
    </i>
    <i r="1">
      <x v="3"/>
    </i>
    <i>
      <x v="121"/>
    </i>
    <i r="1">
      <x v="2"/>
    </i>
    <i r="1">
      <x v="3"/>
    </i>
    <i>
      <x v="122"/>
    </i>
    <i r="1">
      <x/>
    </i>
    <i r="1">
      <x v="1"/>
    </i>
    <i r="1">
      <x v="2"/>
    </i>
    <i r="1">
      <x v="3"/>
    </i>
    <i>
      <x v="123"/>
    </i>
    <i r="1">
      <x/>
    </i>
    <i r="1">
      <x v="1"/>
    </i>
    <i r="1">
      <x v="2"/>
    </i>
    <i>
      <x v="124"/>
    </i>
    <i r="1">
      <x/>
    </i>
    <i>
      <x v="125"/>
    </i>
    <i r="1">
      <x/>
    </i>
    <i r="1">
      <x v="1"/>
    </i>
    <i r="1">
      <x v="2"/>
    </i>
    <i>
      <x v="126"/>
    </i>
    <i r="1">
      <x v="1"/>
    </i>
    <i r="1">
      <x v="2"/>
    </i>
    <i r="1">
      <x v="3"/>
    </i>
    <i>
      <x v="127"/>
    </i>
    <i r="1">
      <x/>
    </i>
    <i r="1">
      <x v="1"/>
    </i>
    <i r="1">
      <x v="2"/>
    </i>
    <i r="1">
      <x v="3"/>
    </i>
    <i>
      <x v="128"/>
    </i>
    <i r="1">
      <x v="2"/>
    </i>
    <i r="1">
      <x v="3"/>
    </i>
    <i>
      <x v="129"/>
    </i>
    <i r="1">
      <x/>
    </i>
    <i>
      <x v="130"/>
    </i>
    <i r="1">
      <x/>
    </i>
    <i r="1">
      <x v="1"/>
    </i>
    <i r="1">
      <x v="2"/>
    </i>
    <i r="1">
      <x v="3"/>
    </i>
    <i>
      <x v="131"/>
    </i>
    <i r="1">
      <x v="2"/>
    </i>
    <i r="1">
      <x v="3"/>
    </i>
    <i>
      <x v="132"/>
    </i>
    <i r="1">
      <x/>
    </i>
    <i r="1">
      <x v="1"/>
    </i>
    <i r="1">
      <x v="2"/>
    </i>
    <i>
      <x v="133"/>
    </i>
    <i r="1">
      <x v="2"/>
    </i>
    <i r="1">
      <x v="3"/>
    </i>
    <i>
      <x v="134"/>
    </i>
    <i r="1">
      <x v="3"/>
    </i>
    <i>
      <x v="135"/>
    </i>
    <i r="1">
      <x/>
    </i>
    <i r="1">
      <x v="1"/>
    </i>
    <i r="1">
      <x v="2"/>
    </i>
    <i r="1">
      <x v="3"/>
    </i>
    <i>
      <x v="136"/>
    </i>
    <i r="1">
      <x v="2"/>
    </i>
    <i r="1">
      <x v="3"/>
    </i>
    <i>
      <x v="137"/>
    </i>
    <i r="1">
      <x v="2"/>
    </i>
    <i r="1">
      <x v="3"/>
    </i>
    <i>
      <x v="138"/>
    </i>
    <i r="1">
      <x/>
    </i>
    <i r="1">
      <x v="1"/>
    </i>
    <i r="1">
      <x v="2"/>
    </i>
    <i r="1">
      <x v="3"/>
    </i>
    <i>
      <x v="139"/>
    </i>
    <i r="1">
      <x/>
    </i>
    <i r="1">
      <x v="1"/>
    </i>
    <i r="1">
      <x v="2"/>
    </i>
    <i r="1">
      <x v="3"/>
    </i>
    <i>
      <x v="140"/>
    </i>
    <i r="1">
      <x/>
    </i>
    <i r="1">
      <x v="1"/>
    </i>
    <i r="1">
      <x v="2"/>
    </i>
    <i>
      <x v="141"/>
    </i>
    <i r="1">
      <x v="1"/>
    </i>
    <i r="1">
      <x v="2"/>
    </i>
    <i r="1">
      <x v="3"/>
    </i>
    <i>
      <x v="142"/>
    </i>
    <i r="1">
      <x v="2"/>
    </i>
    <i r="1">
      <x v="3"/>
    </i>
    <i>
      <x v="143"/>
    </i>
    <i r="1">
      <x/>
    </i>
    <i r="1">
      <x v="1"/>
    </i>
    <i>
      <x v="144"/>
    </i>
    <i r="1">
      <x/>
    </i>
    <i r="1">
      <x v="2"/>
    </i>
    <i r="1">
      <x v="3"/>
    </i>
    <i>
      <x v="145"/>
    </i>
    <i r="1">
      <x/>
    </i>
    <i r="1">
      <x v="1"/>
    </i>
    <i r="1">
      <x v="2"/>
    </i>
    <i>
      <x v="146"/>
    </i>
    <i r="1">
      <x v="2"/>
    </i>
    <i>
      <x v="147"/>
    </i>
    <i r="1">
      <x/>
    </i>
    <i>
      <x v="148"/>
    </i>
    <i r="1">
      <x v="3"/>
    </i>
    <i>
      <x v="149"/>
    </i>
    <i r="1">
      <x/>
    </i>
    <i r="1">
      <x v="1"/>
    </i>
    <i r="1">
      <x v="3"/>
    </i>
    <i>
      <x v="150"/>
    </i>
    <i r="1">
      <x/>
    </i>
    <i r="1">
      <x v="1"/>
    </i>
    <i r="1">
      <x v="2"/>
    </i>
    <i>
      <x v="151"/>
    </i>
    <i r="1">
      <x/>
    </i>
    <i>
      <x v="152"/>
    </i>
    <i r="1">
      <x v="1"/>
    </i>
    <i>
      <x v="153"/>
    </i>
    <i r="1">
      <x/>
    </i>
    <i r="1">
      <x v="2"/>
    </i>
    <i>
      <x v="154"/>
    </i>
    <i r="1">
      <x v="1"/>
    </i>
    <i>
      <x v="155"/>
    </i>
    <i r="1">
      <x v="3"/>
    </i>
    <i>
      <x v="156"/>
    </i>
    <i r="1">
      <x v="2"/>
    </i>
    <i r="1">
      <x v="3"/>
    </i>
    <i>
      <x v="157"/>
    </i>
    <i r="1">
      <x/>
    </i>
    <i r="1">
      <x v="1"/>
    </i>
    <i>
      <x v="158"/>
    </i>
    <i r="1">
      <x/>
    </i>
    <i>
      <x v="159"/>
    </i>
    <i r="1">
      <x/>
    </i>
    <i r="1">
      <x v="1"/>
    </i>
    <i>
      <x v="160"/>
    </i>
    <i r="1">
      <x/>
    </i>
    <i r="1">
      <x v="1"/>
    </i>
    <i r="1">
      <x v="2"/>
    </i>
    <i r="1">
      <x v="3"/>
    </i>
    <i>
      <x v="161"/>
    </i>
    <i r="1">
      <x v="1"/>
    </i>
    <i>
      <x v="162"/>
    </i>
    <i r="1">
      <x v="1"/>
    </i>
    <i>
      <x v="163"/>
    </i>
    <i r="1">
      <x/>
    </i>
    <i r="1">
      <x v="1"/>
    </i>
    <i r="1">
      <x v="2"/>
    </i>
    <i>
      <x v="164"/>
    </i>
    <i r="1">
      <x/>
    </i>
    <i r="1">
      <x v="1"/>
    </i>
    <i r="1">
      <x v="2"/>
    </i>
    <i r="1">
      <x v="3"/>
    </i>
    <i>
      <x v="165"/>
    </i>
    <i r="1">
      <x v="2"/>
    </i>
    <i r="1">
      <x v="3"/>
    </i>
    <i>
      <x v="166"/>
    </i>
    <i r="1">
      <x/>
    </i>
    <i>
      <x v="167"/>
    </i>
    <i r="1">
      <x v="3"/>
    </i>
    <i>
      <x v="168"/>
    </i>
    <i r="1">
      <x/>
    </i>
    <i r="1">
      <x v="1"/>
    </i>
    <i r="1">
      <x v="2"/>
    </i>
    <i r="1">
      <x v="3"/>
    </i>
    <i>
      <x v="169"/>
    </i>
    <i r="1">
      <x/>
    </i>
    <i r="1">
      <x v="1"/>
    </i>
    <i r="1">
      <x v="2"/>
    </i>
    <i>
      <x v="170"/>
    </i>
    <i r="1">
      <x v="3"/>
    </i>
    <i>
      <x v="171"/>
    </i>
    <i r="1">
      <x/>
    </i>
    <i r="1">
      <x v="1"/>
    </i>
    <i r="1">
      <x v="2"/>
    </i>
    <i>
      <x v="172"/>
    </i>
    <i r="1">
      <x v="2"/>
    </i>
    <i>
      <x v="173"/>
    </i>
    <i r="1">
      <x/>
    </i>
    <i r="1">
      <x v="1"/>
    </i>
    <i r="1">
      <x v="2"/>
    </i>
    <i>
      <x v="174"/>
    </i>
    <i r="1">
      <x v="1"/>
    </i>
    <i>
      <x v="175"/>
    </i>
    <i r="1">
      <x/>
    </i>
    <i r="1">
      <x v="1"/>
    </i>
    <i r="1">
      <x v="2"/>
    </i>
    <i r="1">
      <x v="3"/>
    </i>
    <i>
      <x v="176"/>
    </i>
    <i r="1">
      <x v="3"/>
    </i>
    <i>
      <x v="177"/>
    </i>
    <i r="1">
      <x v="3"/>
    </i>
    <i>
      <x v="178"/>
    </i>
    <i r="1">
      <x v="1"/>
    </i>
    <i r="1">
      <x v="2"/>
    </i>
    <i r="1">
      <x v="3"/>
    </i>
    <i>
      <x v="179"/>
    </i>
    <i r="1">
      <x v="1"/>
    </i>
    <i>
      <x v="180"/>
    </i>
    <i r="1">
      <x/>
    </i>
    <i r="1">
      <x v="1"/>
    </i>
    <i r="1">
      <x v="2"/>
    </i>
    <i r="1">
      <x v="3"/>
    </i>
    <i>
      <x v="181"/>
    </i>
    <i r="1">
      <x v="2"/>
    </i>
    <i>
      <x v="182"/>
    </i>
    <i r="1">
      <x v="2"/>
    </i>
    <i r="1">
      <x v="3"/>
    </i>
    <i>
      <x v="183"/>
    </i>
    <i r="1">
      <x v="2"/>
    </i>
    <i r="1">
      <x v="3"/>
    </i>
    <i>
      <x v="184"/>
    </i>
    <i r="1">
      <x v="1"/>
    </i>
    <i>
      <x v="185"/>
    </i>
    <i r="1">
      <x/>
    </i>
    <i r="1">
      <x v="2"/>
    </i>
    <i r="1">
      <x v="3"/>
    </i>
    <i>
      <x v="186"/>
    </i>
    <i r="1">
      <x v="2"/>
    </i>
    <i r="1">
      <x v="3"/>
    </i>
    <i>
      <x v="187"/>
    </i>
    <i r="1">
      <x/>
    </i>
    <i r="1">
      <x v="1"/>
    </i>
    <i r="1">
      <x v="2"/>
    </i>
    <i r="1">
      <x v="3"/>
    </i>
    <i>
      <x v="188"/>
    </i>
    <i r="1">
      <x/>
    </i>
    <i r="1">
      <x v="1"/>
    </i>
    <i r="1">
      <x v="2"/>
    </i>
    <i r="1">
      <x v="3"/>
    </i>
    <i>
      <x v="189"/>
    </i>
    <i r="1">
      <x/>
    </i>
    <i r="1">
      <x v="1"/>
    </i>
    <i r="1">
      <x v="2"/>
    </i>
    <i r="1">
      <x v="3"/>
    </i>
    <i>
      <x v="190"/>
    </i>
    <i r="1">
      <x v="3"/>
    </i>
    <i>
      <x v="191"/>
    </i>
    <i r="1">
      <x/>
    </i>
    <i r="1">
      <x v="2"/>
    </i>
    <i>
      <x v="192"/>
    </i>
    <i r="1">
      <x v="1"/>
    </i>
    <i>
      <x v="193"/>
    </i>
    <i r="1">
      <x/>
    </i>
    <i r="1">
      <x v="1"/>
    </i>
    <i>
      <x v="194"/>
    </i>
    <i r="1">
      <x v="3"/>
    </i>
    <i>
      <x v="195"/>
    </i>
    <i r="1">
      <x/>
    </i>
    <i r="1">
      <x v="1"/>
    </i>
    <i>
      <x v="196"/>
    </i>
    <i r="1">
      <x/>
    </i>
    <i r="1">
      <x v="1"/>
    </i>
    <i>
      <x v="197"/>
    </i>
    <i r="1">
      <x v="3"/>
    </i>
    <i>
      <x v="198"/>
    </i>
    <i r="1">
      <x v="3"/>
    </i>
    <i>
      <x v="199"/>
    </i>
    <i r="1">
      <x/>
    </i>
    <i r="1">
      <x v="1"/>
    </i>
    <i r="1">
      <x v="3"/>
    </i>
    <i>
      <x v="200"/>
    </i>
    <i r="1">
      <x v="1"/>
    </i>
    <i r="1">
      <x v="2"/>
    </i>
    <i r="1">
      <x v="3"/>
    </i>
    <i>
      <x v="201"/>
    </i>
    <i r="1">
      <x v="2"/>
    </i>
    <i r="1">
      <x v="3"/>
    </i>
    <i>
      <x v="202"/>
    </i>
    <i r="1">
      <x v="1"/>
    </i>
    <i>
      <x v="203"/>
    </i>
    <i r="1">
      <x/>
    </i>
    <i r="1">
      <x v="1"/>
    </i>
    <i>
      <x v="204"/>
    </i>
    <i r="1">
      <x/>
    </i>
    <i r="1">
      <x v="1"/>
    </i>
    <i r="1">
      <x v="2"/>
    </i>
    <i>
      <x v="205"/>
    </i>
    <i r="1">
      <x/>
    </i>
    <i r="1">
      <x v="2"/>
    </i>
    <i>
      <x v="206"/>
    </i>
    <i r="1">
      <x v="3"/>
    </i>
    <i>
      <x v="207"/>
    </i>
    <i r="1">
      <x/>
    </i>
    <i r="1">
      <x v="1"/>
    </i>
    <i r="1">
      <x v="2"/>
    </i>
    <i r="1">
      <x v="3"/>
    </i>
    <i>
      <x v="208"/>
    </i>
    <i r="1">
      <x/>
    </i>
    <i>
      <x v="209"/>
    </i>
    <i r="1">
      <x v="1"/>
    </i>
    <i r="1">
      <x v="2"/>
    </i>
    <i>
      <x v="210"/>
    </i>
    <i r="1">
      <x/>
    </i>
    <i r="1">
      <x v="2"/>
    </i>
    <i>
      <x v="211"/>
    </i>
    <i r="1">
      <x v="2"/>
    </i>
    <i r="1">
      <x v="3"/>
    </i>
    <i>
      <x v="212"/>
    </i>
    <i r="1">
      <x v="3"/>
    </i>
    <i>
      <x v="213"/>
    </i>
    <i r="1">
      <x/>
    </i>
    <i>
      <x v="214"/>
    </i>
    <i r="1">
      <x/>
    </i>
    <i>
      <x v="215"/>
    </i>
    <i r="1">
      <x/>
    </i>
    <i r="1">
      <x v="1"/>
    </i>
    <i r="1">
      <x v="2"/>
    </i>
    <i>
      <x v="216"/>
    </i>
    <i r="1">
      <x/>
    </i>
    <i r="1">
      <x v="1"/>
    </i>
    <i>
      <x v="217"/>
    </i>
    <i r="1">
      <x v="1"/>
    </i>
    <i r="1">
      <x v="2"/>
    </i>
    <i r="1">
      <x v="3"/>
    </i>
    <i>
      <x v="218"/>
    </i>
    <i r="1">
      <x/>
    </i>
    <i r="1">
      <x v="1"/>
    </i>
    <i r="1">
      <x v="2"/>
    </i>
    <i r="1">
      <x v="3"/>
    </i>
    <i>
      <x v="219"/>
    </i>
    <i r="1">
      <x v="2"/>
    </i>
    <i>
      <x v="220"/>
    </i>
    <i r="1">
      <x v="3"/>
    </i>
    <i>
      <x v="221"/>
    </i>
    <i r="1">
      <x/>
    </i>
    <i r="1">
      <x v="2"/>
    </i>
    <i r="1">
      <x v="3"/>
    </i>
    <i>
      <x v="222"/>
    </i>
    <i r="1">
      <x/>
    </i>
    <i r="1">
      <x v="1"/>
    </i>
    <i r="1">
      <x v="2"/>
    </i>
    <i>
      <x v="223"/>
    </i>
    <i r="1">
      <x/>
    </i>
    <i r="1">
      <x v="1"/>
    </i>
    <i r="1">
      <x v="2"/>
    </i>
    <i r="1">
      <x v="3"/>
    </i>
    <i>
      <x v="224"/>
    </i>
    <i r="1">
      <x/>
    </i>
    <i>
      <x v="225"/>
    </i>
    <i r="1">
      <x v="1"/>
    </i>
    <i>
      <x v="226"/>
    </i>
    <i r="1">
      <x v="2"/>
    </i>
    <i>
      <x v="227"/>
    </i>
    <i r="1">
      <x v="3"/>
    </i>
    <i>
      <x v="228"/>
    </i>
    <i r="1">
      <x/>
    </i>
    <i r="1">
      <x v="2"/>
    </i>
    <i r="1">
      <x v="3"/>
    </i>
    <i>
      <x v="229"/>
    </i>
    <i r="1">
      <x v="3"/>
    </i>
    <i>
      <x v="230"/>
    </i>
    <i r="1">
      <x v="3"/>
    </i>
    <i>
      <x v="231"/>
    </i>
    <i r="1">
      <x/>
    </i>
    <i r="1">
      <x v="1"/>
    </i>
    <i>
      <x v="232"/>
    </i>
    <i r="1">
      <x/>
    </i>
    <i>
      <x v="233"/>
    </i>
    <i r="1">
      <x/>
    </i>
    <i r="1">
      <x v="1"/>
    </i>
    <i r="1">
      <x v="2"/>
    </i>
    <i r="1">
      <x v="3"/>
    </i>
    <i>
      <x v="234"/>
    </i>
    <i r="1">
      <x v="3"/>
    </i>
    <i>
      <x v="235"/>
    </i>
    <i r="1">
      <x/>
    </i>
    <i r="1">
      <x v="1"/>
    </i>
    <i r="1">
      <x v="2"/>
    </i>
    <i r="1">
      <x v="3"/>
    </i>
    <i>
      <x v="236"/>
    </i>
    <i r="1">
      <x/>
    </i>
    <i r="1">
      <x v="1"/>
    </i>
    <i>
      <x v="237"/>
    </i>
    <i r="1">
      <x v="1"/>
    </i>
    <i r="1">
      <x v="2"/>
    </i>
    <i r="1">
      <x v="3"/>
    </i>
    <i>
      <x v="238"/>
    </i>
    <i r="1">
      <x v="2"/>
    </i>
    <i r="1">
      <x v="3"/>
    </i>
    <i>
      <x v="239"/>
    </i>
    <i r="1">
      <x v="2"/>
    </i>
    <i r="1">
      <x v="3"/>
    </i>
    <i>
      <x v="240"/>
    </i>
    <i r="1">
      <x/>
    </i>
    <i>
      <x v="241"/>
    </i>
    <i r="1">
      <x v="3"/>
    </i>
    <i>
      <x v="242"/>
    </i>
    <i r="1">
      <x v="3"/>
    </i>
    <i>
      <x v="243"/>
    </i>
    <i r="1">
      <x v="2"/>
    </i>
    <i>
      <x v="244"/>
    </i>
    <i r="1">
      <x/>
    </i>
    <i r="1">
      <x v="1"/>
    </i>
    <i>
      <x v="245"/>
    </i>
    <i r="1">
      <x/>
    </i>
    <i r="1">
      <x v="1"/>
    </i>
    <i>
      <x v="246"/>
    </i>
    <i r="1">
      <x v="3"/>
    </i>
    <i>
      <x v="247"/>
    </i>
    <i r="1">
      <x/>
    </i>
    <i>
      <x v="248"/>
    </i>
    <i r="1">
      <x v="1"/>
    </i>
    <i r="1">
      <x v="2"/>
    </i>
    <i r="1">
      <x v="3"/>
    </i>
    <i>
      <x v="249"/>
    </i>
    <i r="1">
      <x/>
    </i>
    <i r="1">
      <x v="1"/>
    </i>
    <i>
      <x v="250"/>
    </i>
    <i r="1">
      <x/>
    </i>
    <i r="1">
      <x v="1"/>
    </i>
    <i>
      <x v="251"/>
    </i>
    <i r="1">
      <x v="2"/>
    </i>
    <i r="1">
      <x v="3"/>
    </i>
    <i>
      <x v="252"/>
    </i>
    <i r="1">
      <x/>
    </i>
    <i r="1">
      <x v="1"/>
    </i>
    <i r="1">
      <x v="2"/>
    </i>
    <i>
      <x v="253"/>
    </i>
    <i r="1">
      <x/>
    </i>
    <i r="1">
      <x v="1"/>
    </i>
    <i>
      <x v="254"/>
    </i>
    <i r="1">
      <x/>
    </i>
    <i r="1">
      <x v="1"/>
    </i>
    <i r="1">
      <x v="2"/>
    </i>
    <i>
      <x v="255"/>
    </i>
    <i r="1">
      <x/>
    </i>
    <i>
      <x v="256"/>
    </i>
    <i r="1">
      <x v="1"/>
    </i>
    <i>
      <x v="257"/>
    </i>
    <i r="1">
      <x/>
    </i>
    <i r="1">
      <x v="1"/>
    </i>
    <i r="1">
      <x v="2"/>
    </i>
    <i>
      <x v="258"/>
    </i>
    <i r="1">
      <x v="1"/>
    </i>
    <i>
      <x v="259"/>
    </i>
    <i r="1">
      <x v="1"/>
    </i>
    <i>
      <x v="260"/>
    </i>
    <i r="1">
      <x/>
    </i>
    <i r="1">
      <x v="1"/>
    </i>
    <i r="1">
      <x v="2"/>
    </i>
    <i r="1">
      <x v="3"/>
    </i>
    <i>
      <x v="261"/>
    </i>
    <i r="1">
      <x/>
    </i>
    <i r="1">
      <x v="1"/>
    </i>
    <i r="1">
      <x v="3"/>
    </i>
    <i>
      <x v="262"/>
    </i>
    <i r="1">
      <x/>
    </i>
    <i r="1">
      <x v="1"/>
    </i>
    <i>
      <x v="263"/>
    </i>
    <i r="1">
      <x/>
    </i>
    <i r="1">
      <x v="1"/>
    </i>
    <i>
      <x v="264"/>
    </i>
    <i r="1">
      <x/>
    </i>
    <i r="1">
      <x v="2"/>
    </i>
    <i r="1">
      <x v="3"/>
    </i>
    <i>
      <x v="265"/>
    </i>
    <i r="1">
      <x/>
    </i>
    <i r="1">
      <x v="1"/>
    </i>
    <i>
      <x v="266"/>
    </i>
    <i r="1">
      <x v="3"/>
    </i>
    <i>
      <x v="267"/>
    </i>
    <i r="1">
      <x v="3"/>
    </i>
    <i>
      <x v="268"/>
    </i>
    <i r="1">
      <x/>
    </i>
    <i>
      <x v="269"/>
    </i>
    <i r="1">
      <x v="1"/>
    </i>
    <i r="1">
      <x v="2"/>
    </i>
    <i r="1">
      <x v="3"/>
    </i>
    <i>
      <x v="270"/>
    </i>
    <i r="1">
      <x v="1"/>
    </i>
    <i>
      <x v="271"/>
    </i>
    <i r="1">
      <x/>
    </i>
    <i>
      <x v="272"/>
    </i>
    <i r="1">
      <x v="2"/>
    </i>
    <i>
      <x v="273"/>
    </i>
    <i r="1">
      <x/>
    </i>
    <i r="1">
      <x v="1"/>
    </i>
    <i r="1">
      <x v="2"/>
    </i>
    <i r="1">
      <x v="3"/>
    </i>
    <i>
      <x v="274"/>
    </i>
    <i r="1">
      <x v="1"/>
    </i>
    <i r="1">
      <x v="2"/>
    </i>
    <i>
      <x v="275"/>
    </i>
    <i r="1">
      <x/>
    </i>
    <i r="1">
      <x v="1"/>
    </i>
    <i r="1">
      <x v="2"/>
    </i>
    <i r="1">
      <x v="3"/>
    </i>
    <i>
      <x v="276"/>
    </i>
    <i r="1">
      <x/>
    </i>
    <i r="1">
      <x v="1"/>
    </i>
    <i r="1">
      <x v="2"/>
    </i>
    <i r="1">
      <x v="3"/>
    </i>
    <i>
      <x v="277"/>
    </i>
    <i r="1">
      <x v="1"/>
    </i>
    <i r="1">
      <x v="2"/>
    </i>
    <i r="1">
      <x v="3"/>
    </i>
    <i>
      <x v="278"/>
    </i>
    <i r="1">
      <x v="1"/>
    </i>
    <i r="1">
      <x v="2"/>
    </i>
    <i r="1">
      <x v="3"/>
    </i>
    <i>
      <x v="279"/>
    </i>
    <i r="1">
      <x v="3"/>
    </i>
    <i>
      <x v="280"/>
    </i>
    <i r="1">
      <x v="1"/>
    </i>
    <i>
      <x v="281"/>
    </i>
    <i r="1">
      <x/>
    </i>
    <i r="1">
      <x v="1"/>
    </i>
    <i r="1">
      <x v="2"/>
    </i>
    <i r="1">
      <x v="3"/>
    </i>
    <i>
      <x v="282"/>
    </i>
    <i r="1">
      <x v="3"/>
    </i>
    <i>
      <x v="283"/>
    </i>
    <i r="1">
      <x v="1"/>
    </i>
    <i r="1">
      <x v="2"/>
    </i>
    <i r="1">
      <x v="3"/>
    </i>
    <i>
      <x v="284"/>
    </i>
    <i r="1">
      <x/>
    </i>
    <i r="1">
      <x v="1"/>
    </i>
    <i>
      <x v="285"/>
    </i>
    <i r="1">
      <x/>
    </i>
    <i r="1">
      <x v="1"/>
    </i>
    <i r="1">
      <x v="2"/>
    </i>
    <i r="1">
      <x v="3"/>
    </i>
    <i>
      <x v="286"/>
    </i>
    <i r="1">
      <x/>
    </i>
    <i>
      <x v="287"/>
    </i>
    <i r="1">
      <x v="1"/>
    </i>
    <i r="1">
      <x v="2"/>
    </i>
    <i r="1">
      <x v="3"/>
    </i>
    <i>
      <x v="288"/>
    </i>
    <i r="1">
      <x v="2"/>
    </i>
    <i r="1">
      <x v="3"/>
    </i>
    <i>
      <x v="289"/>
    </i>
    <i r="1">
      <x v="3"/>
    </i>
    <i>
      <x v="290"/>
    </i>
    <i r="1">
      <x v="1"/>
    </i>
    <i r="1">
      <x v="3"/>
    </i>
    <i>
      <x v="291"/>
    </i>
    <i r="1">
      <x v="2"/>
    </i>
    <i>
      <x v="292"/>
    </i>
    <i r="1">
      <x v="1"/>
    </i>
    <i r="1">
      <x v="2"/>
    </i>
    <i>
      <x v="293"/>
    </i>
    <i r="1">
      <x v="3"/>
    </i>
    <i>
      <x v="294"/>
    </i>
    <i r="1">
      <x v="3"/>
    </i>
    <i>
      <x v="295"/>
    </i>
    <i r="1">
      <x/>
    </i>
    <i>
      <x v="296"/>
    </i>
    <i r="1">
      <x/>
    </i>
    <i>
      <x v="297"/>
    </i>
    <i r="1">
      <x/>
    </i>
    <i r="1">
      <x v="1"/>
    </i>
    <i r="1">
      <x v="2"/>
    </i>
    <i r="1">
      <x v="3"/>
    </i>
    <i>
      <x v="298"/>
    </i>
    <i r="1">
      <x/>
    </i>
    <i>
      <x v="299"/>
    </i>
    <i r="1">
      <x/>
    </i>
    <i r="1">
      <x v="1"/>
    </i>
    <i>
      <x v="300"/>
    </i>
    <i r="1">
      <x v="1"/>
    </i>
    <i r="1">
      <x v="2"/>
    </i>
    <i r="1">
      <x v="3"/>
    </i>
    <i>
      <x v="301"/>
    </i>
    <i r="1">
      <x v="1"/>
    </i>
    <i r="1">
      <x v="2"/>
    </i>
    <i>
      <x v="302"/>
    </i>
    <i r="1">
      <x v="2"/>
    </i>
    <i>
      <x v="303"/>
    </i>
    <i r="1">
      <x v="2"/>
    </i>
    <i>
      <x v="304"/>
    </i>
    <i r="1">
      <x v="1"/>
    </i>
    <i r="1">
      <x v="2"/>
    </i>
    <i>
      <x v="305"/>
    </i>
    <i r="1">
      <x/>
    </i>
    <i r="1">
      <x v="2"/>
    </i>
    <i r="1">
      <x v="3"/>
    </i>
    <i>
      <x v="306"/>
    </i>
    <i r="1">
      <x/>
    </i>
    <i>
      <x v="307"/>
    </i>
    <i r="1">
      <x/>
    </i>
    <i r="1">
      <x v="1"/>
    </i>
    <i r="1">
      <x v="2"/>
    </i>
    <i>
      <x v="308"/>
    </i>
    <i r="1">
      <x v="3"/>
    </i>
    <i>
      <x v="309"/>
    </i>
    <i r="1">
      <x/>
    </i>
    <i r="1">
      <x v="1"/>
    </i>
    <i r="1">
      <x v="2"/>
    </i>
    <i r="1">
      <x v="3"/>
    </i>
    <i>
      <x v="310"/>
    </i>
    <i r="1">
      <x/>
    </i>
    <i r="1">
      <x v="1"/>
    </i>
    <i>
      <x v="311"/>
    </i>
    <i r="1">
      <x/>
    </i>
    <i r="1">
      <x v="1"/>
    </i>
    <i r="1">
      <x v="2"/>
    </i>
    <i>
      <x v="312"/>
    </i>
    <i r="1">
      <x/>
    </i>
    <i r="1">
      <x v="1"/>
    </i>
    <i r="1">
      <x v="2"/>
    </i>
    <i r="1">
      <x v="3"/>
    </i>
    <i>
      <x v="313"/>
    </i>
    <i r="1">
      <x/>
    </i>
    <i r="1">
      <x v="1"/>
    </i>
    <i>
      <x v="314"/>
    </i>
    <i r="1">
      <x v="1"/>
    </i>
    <i r="1">
      <x v="2"/>
    </i>
    <i r="1">
      <x v="3"/>
    </i>
    <i>
      <x v="315"/>
    </i>
    <i r="1">
      <x/>
    </i>
    <i r="1">
      <x v="1"/>
    </i>
    <i r="1">
      <x v="2"/>
    </i>
    <i r="1">
      <x v="3"/>
    </i>
    <i>
      <x v="316"/>
    </i>
    <i r="1">
      <x/>
    </i>
    <i r="1">
      <x v="1"/>
    </i>
    <i r="1">
      <x v="2"/>
    </i>
    <i r="1">
      <x v="3"/>
    </i>
    <i>
      <x v="317"/>
    </i>
    <i r="1">
      <x/>
    </i>
    <i r="1">
      <x v="1"/>
    </i>
    <i r="1">
      <x v="2"/>
    </i>
    <i r="1">
      <x v="3"/>
    </i>
    <i>
      <x v="318"/>
    </i>
    <i r="1">
      <x v="3"/>
    </i>
    <i>
      <x v="319"/>
    </i>
    <i r="1">
      <x/>
    </i>
    <i>
      <x v="320"/>
    </i>
    <i r="1">
      <x/>
    </i>
    <i r="1">
      <x v="1"/>
    </i>
    <i r="1">
      <x v="2"/>
    </i>
    <i r="1">
      <x v="3"/>
    </i>
    <i>
      <x v="321"/>
    </i>
    <i r="1">
      <x v="3"/>
    </i>
    <i>
      <x v="322"/>
    </i>
    <i r="1">
      <x v="1"/>
    </i>
    <i>
      <x v="323"/>
    </i>
    <i r="1">
      <x/>
    </i>
    <i r="1">
      <x v="1"/>
    </i>
    <i r="1">
      <x v="2"/>
    </i>
    <i r="1">
      <x v="3"/>
    </i>
    <i>
      <x v="324"/>
    </i>
    <i r="1">
      <x v="1"/>
    </i>
    <i r="1">
      <x v="2"/>
    </i>
    <i r="1">
      <x v="3"/>
    </i>
    <i>
      <x v="325"/>
    </i>
    <i r="1">
      <x v="1"/>
    </i>
    <i>
      <x v="326"/>
    </i>
    <i r="1">
      <x/>
    </i>
    <i r="1">
      <x v="1"/>
    </i>
    <i r="1">
      <x v="2"/>
    </i>
    <i>
      <x v="327"/>
    </i>
    <i r="1">
      <x v="3"/>
    </i>
    <i>
      <x v="328"/>
    </i>
    <i r="1">
      <x v="1"/>
    </i>
    <i r="1">
      <x v="2"/>
    </i>
    <i r="1">
      <x v="3"/>
    </i>
    <i>
      <x v="329"/>
    </i>
    <i r="1">
      <x v="3"/>
    </i>
    <i>
      <x v="330"/>
    </i>
    <i r="1">
      <x/>
    </i>
    <i r="1">
      <x v="1"/>
    </i>
    <i>
      <x v="331"/>
    </i>
    <i r="1">
      <x/>
    </i>
    <i r="1">
      <x v="1"/>
    </i>
    <i r="1">
      <x v="2"/>
    </i>
    <i r="1">
      <x v="3"/>
    </i>
    <i>
      <x v="332"/>
    </i>
    <i r="1">
      <x/>
    </i>
    <i>
      <x v="333"/>
    </i>
    <i r="1">
      <x/>
    </i>
    <i r="1">
      <x v="1"/>
    </i>
    <i r="1">
      <x v="2"/>
    </i>
    <i>
      <x v="334"/>
    </i>
    <i r="1">
      <x v="2"/>
    </i>
    <i>
      <x v="335"/>
    </i>
    <i r="1">
      <x/>
    </i>
    <i r="1">
      <x v="1"/>
    </i>
    <i r="1">
      <x v="2"/>
    </i>
    <i r="1">
      <x v="3"/>
    </i>
    <i>
      <x v="336"/>
    </i>
    <i r="1">
      <x/>
    </i>
    <i r="1">
      <x v="1"/>
    </i>
    <i>
      <x v="337"/>
    </i>
    <i r="1">
      <x v="2"/>
    </i>
    <i>
      <x v="338"/>
    </i>
    <i r="1">
      <x v="3"/>
    </i>
    <i>
      <x v="339"/>
    </i>
    <i r="1">
      <x/>
    </i>
    <i r="1">
      <x v="1"/>
    </i>
    <i r="1">
      <x v="2"/>
    </i>
    <i>
      <x v="340"/>
    </i>
    <i r="1">
      <x v="3"/>
    </i>
    <i>
      <x v="341"/>
    </i>
    <i r="1">
      <x v="3"/>
    </i>
    <i>
      <x v="342"/>
    </i>
    <i r="1">
      <x/>
    </i>
    <i r="1">
      <x v="1"/>
    </i>
    <i>
      <x v="343"/>
    </i>
    <i r="1">
      <x v="3"/>
    </i>
    <i>
      <x v="344"/>
    </i>
    <i r="1">
      <x/>
    </i>
    <i>
      <x v="345"/>
    </i>
    <i r="1">
      <x v="1"/>
    </i>
    <i r="1">
      <x v="2"/>
    </i>
    <i r="1">
      <x v="3"/>
    </i>
    <i>
      <x v="346"/>
    </i>
    <i r="1">
      <x/>
    </i>
    <i r="1">
      <x v="1"/>
    </i>
    <i r="1">
      <x v="2"/>
    </i>
    <i>
      <x v="347"/>
    </i>
    <i r="1">
      <x v="1"/>
    </i>
    <i>
      <x v="348"/>
    </i>
    <i r="1">
      <x v="1"/>
    </i>
    <i r="1">
      <x v="2"/>
    </i>
    <i r="1">
      <x v="3"/>
    </i>
    <i>
      <x v="349"/>
    </i>
    <i r="1">
      <x/>
    </i>
    <i>
      <x v="350"/>
    </i>
    <i r="1">
      <x/>
    </i>
    <i r="1">
      <x v="1"/>
    </i>
    <i>
      <x v="351"/>
    </i>
    <i r="1">
      <x/>
    </i>
    <i r="1">
      <x v="1"/>
    </i>
    <i r="1">
      <x v="2"/>
    </i>
    <i r="1">
      <x v="3"/>
    </i>
    <i>
      <x v="352"/>
    </i>
    <i r="1">
      <x/>
    </i>
    <i>
      <x v="353"/>
    </i>
    <i r="1">
      <x/>
    </i>
    <i>
      <x v="354"/>
    </i>
    <i r="1">
      <x v="3"/>
    </i>
    <i>
      <x v="355"/>
    </i>
    <i r="1">
      <x/>
    </i>
    <i>
      <x v="356"/>
    </i>
    <i r="1">
      <x v="1"/>
    </i>
    <i>
      <x v="357"/>
    </i>
    <i r="1">
      <x v="2"/>
    </i>
    <i r="1">
      <x v="3"/>
    </i>
    <i>
      <x v="358"/>
    </i>
    <i r="1">
      <x/>
    </i>
    <i r="1">
      <x v="1"/>
    </i>
    <i>
      <x v="359"/>
    </i>
    <i r="1">
      <x/>
    </i>
    <i r="1">
      <x v="2"/>
    </i>
    <i r="1">
      <x v="3"/>
    </i>
    <i>
      <x v="360"/>
    </i>
    <i r="1">
      <x v="2"/>
    </i>
    <i r="1">
      <x v="3"/>
    </i>
    <i>
      <x v="361"/>
    </i>
    <i r="1">
      <x v="3"/>
    </i>
    <i>
      <x v="362"/>
    </i>
    <i r="1">
      <x/>
    </i>
    <i r="1">
      <x v="1"/>
    </i>
    <i r="1">
      <x v="2"/>
    </i>
    <i r="1">
      <x v="3"/>
    </i>
    <i>
      <x v="363"/>
    </i>
    <i r="1">
      <x/>
    </i>
    <i>
      <x v="364"/>
    </i>
    <i r="1">
      <x/>
    </i>
    <i>
      <x v="365"/>
    </i>
    <i r="1">
      <x/>
    </i>
    <i r="1">
      <x v="1"/>
    </i>
    <i r="1">
      <x v="2"/>
    </i>
    <i r="1">
      <x v="3"/>
    </i>
    <i>
      <x v="366"/>
    </i>
    <i r="1">
      <x/>
    </i>
    <i r="1">
      <x v="1"/>
    </i>
    <i r="1">
      <x v="2"/>
    </i>
    <i r="1">
      <x v="3"/>
    </i>
    <i>
      <x v="367"/>
    </i>
    <i r="1">
      <x/>
    </i>
    <i>
      <x v="368"/>
    </i>
    <i r="1">
      <x v="1"/>
    </i>
    <i>
      <x v="369"/>
    </i>
    <i r="1">
      <x/>
    </i>
    <i r="1">
      <x v="1"/>
    </i>
    <i r="1">
      <x v="2"/>
    </i>
    <i r="1">
      <x v="3"/>
    </i>
    <i>
      <x v="370"/>
    </i>
    <i r="1">
      <x/>
    </i>
    <i>
      <x v="371"/>
    </i>
    <i r="1">
      <x/>
    </i>
    <i r="1">
      <x v="1"/>
    </i>
    <i>
      <x v="372"/>
    </i>
    <i r="1">
      <x/>
    </i>
    <i>
      <x v="373"/>
    </i>
    <i r="1">
      <x v="3"/>
    </i>
    <i>
      <x v="374"/>
    </i>
    <i r="1">
      <x/>
    </i>
    <i r="1">
      <x v="1"/>
    </i>
    <i>
      <x v="375"/>
    </i>
    <i r="1">
      <x/>
    </i>
    <i r="1">
      <x v="1"/>
    </i>
    <i r="1">
      <x v="2"/>
    </i>
    <i r="1">
      <x v="3"/>
    </i>
    <i>
      <x v="376"/>
    </i>
    <i r="1">
      <x v="2"/>
    </i>
    <i r="1">
      <x v="3"/>
    </i>
    <i>
      <x v="377"/>
    </i>
    <i r="1">
      <x/>
    </i>
    <i>
      <x v="378"/>
    </i>
    <i r="1">
      <x/>
    </i>
    <i r="1">
      <x v="2"/>
    </i>
    <i r="1">
      <x v="3"/>
    </i>
    <i>
      <x v="379"/>
    </i>
    <i r="1">
      <x v="2"/>
    </i>
    <i r="1">
      <x v="3"/>
    </i>
    <i>
      <x v="380"/>
    </i>
    <i r="1">
      <x v="3"/>
    </i>
    <i>
      <x v="381"/>
    </i>
    <i r="1">
      <x/>
    </i>
    <i r="1">
      <x v="1"/>
    </i>
    <i r="1">
      <x v="2"/>
    </i>
    <i r="1">
      <x v="3"/>
    </i>
    <i>
      <x v="382"/>
    </i>
    <i r="1">
      <x v="1"/>
    </i>
    <i>
      <x v="383"/>
    </i>
    <i r="1">
      <x/>
    </i>
    <i>
      <x v="384"/>
    </i>
    <i r="1">
      <x v="3"/>
    </i>
    <i>
      <x v="385"/>
    </i>
    <i r="1">
      <x/>
    </i>
    <i r="1">
      <x v="1"/>
    </i>
    <i r="1">
      <x v="2"/>
    </i>
    <i r="1">
      <x v="3"/>
    </i>
    <i>
      <x v="386"/>
    </i>
    <i r="1">
      <x/>
    </i>
    <i>
      <x v="387"/>
    </i>
    <i r="1">
      <x v="3"/>
    </i>
    <i>
      <x v="388"/>
    </i>
    <i r="1">
      <x/>
    </i>
    <i r="1">
      <x v="1"/>
    </i>
    <i r="1">
      <x v="2"/>
    </i>
    <i r="1">
      <x v="3"/>
    </i>
    <i>
      <x v="389"/>
    </i>
    <i r="1">
      <x v="3"/>
    </i>
    <i>
      <x v="390"/>
    </i>
    <i r="1">
      <x v="3"/>
    </i>
    <i>
      <x v="391"/>
    </i>
    <i r="1">
      <x v="1"/>
    </i>
    <i>
      <x v="392"/>
    </i>
    <i r="1">
      <x v="3"/>
    </i>
    <i>
      <x v="393"/>
    </i>
    <i r="1">
      <x/>
    </i>
    <i r="1">
      <x v="1"/>
    </i>
    <i r="1">
      <x v="2"/>
    </i>
    <i r="1">
      <x v="3"/>
    </i>
    <i>
      <x v="394"/>
    </i>
    <i r="1">
      <x v="3"/>
    </i>
    <i>
      <x v="395"/>
    </i>
    <i r="1">
      <x/>
    </i>
    <i r="1">
      <x v="2"/>
    </i>
    <i r="1">
      <x v="3"/>
    </i>
    <i>
      <x v="396"/>
    </i>
    <i r="1">
      <x v="3"/>
    </i>
    <i>
      <x v="397"/>
    </i>
    <i r="1">
      <x/>
    </i>
    <i r="1">
      <x v="1"/>
    </i>
    <i r="1">
      <x v="2"/>
    </i>
    <i r="1">
      <x v="3"/>
    </i>
    <i>
      <x v="398"/>
    </i>
    <i r="1">
      <x v="2"/>
    </i>
    <i>
      <x v="399"/>
    </i>
    <i r="1">
      <x v="3"/>
    </i>
    <i>
      <x v="400"/>
    </i>
    <i r="1">
      <x/>
    </i>
    <i r="1">
      <x v="1"/>
    </i>
    <i>
      <x v="401"/>
    </i>
    <i r="1">
      <x/>
    </i>
    <i r="1">
      <x v="2"/>
    </i>
    <i>
      <x v="402"/>
    </i>
    <i r="1">
      <x/>
    </i>
    <i r="1">
      <x v="1"/>
    </i>
    <i r="1">
      <x v="2"/>
    </i>
    <i r="1">
      <x v="3"/>
    </i>
    <i>
      <x v="403"/>
    </i>
    <i r="1">
      <x/>
    </i>
    <i r="1">
      <x v="1"/>
    </i>
    <i r="1">
      <x v="2"/>
    </i>
    <i>
      <x v="404"/>
    </i>
    <i r="1">
      <x/>
    </i>
    <i>
      <x v="405"/>
    </i>
    <i r="1">
      <x v="1"/>
    </i>
    <i r="1">
      <x v="2"/>
    </i>
    <i r="1">
      <x v="3"/>
    </i>
    <i>
      <x v="406"/>
    </i>
    <i r="1">
      <x v="2"/>
    </i>
    <i r="1">
      <x v="3"/>
    </i>
    <i>
      <x v="407"/>
    </i>
    <i r="1">
      <x/>
    </i>
    <i>
      <x v="408"/>
    </i>
    <i r="1">
      <x/>
    </i>
    <i r="1">
      <x v="2"/>
    </i>
    <i r="1">
      <x v="3"/>
    </i>
    <i>
      <x v="409"/>
    </i>
    <i r="1">
      <x/>
    </i>
    <i r="1">
      <x v="1"/>
    </i>
    <i r="1">
      <x v="2"/>
    </i>
    <i>
      <x v="410"/>
    </i>
    <i r="1">
      <x/>
    </i>
    <i r="1">
      <x v="1"/>
    </i>
    <i r="1">
      <x v="2"/>
    </i>
    <i r="1">
      <x v="3"/>
    </i>
    <i>
      <x v="411"/>
    </i>
    <i r="1">
      <x/>
    </i>
    <i r="1">
      <x v="1"/>
    </i>
    <i>
      <x v="412"/>
    </i>
    <i r="1">
      <x v="2"/>
    </i>
    <i r="1">
      <x v="3"/>
    </i>
    <i>
      <x v="413"/>
    </i>
    <i r="1">
      <x/>
    </i>
    <i r="1">
      <x v="1"/>
    </i>
    <i r="1">
      <x v="2"/>
    </i>
    <i r="1">
      <x v="3"/>
    </i>
    <i>
      <x v="414"/>
    </i>
    <i r="1">
      <x v="1"/>
    </i>
    <i>
      <x v="415"/>
    </i>
    <i r="1">
      <x v="3"/>
    </i>
    <i>
      <x v="416"/>
    </i>
    <i r="1">
      <x/>
    </i>
    <i r="1">
      <x v="3"/>
    </i>
    <i>
      <x v="417"/>
    </i>
    <i r="1">
      <x/>
    </i>
    <i>
      <x v="418"/>
    </i>
    <i r="1">
      <x v="3"/>
    </i>
    <i>
      <x v="419"/>
    </i>
    <i r="1">
      <x/>
    </i>
    <i r="1">
      <x v="1"/>
    </i>
    <i r="1">
      <x v="2"/>
    </i>
    <i>
      <x v="420"/>
    </i>
    <i r="1">
      <x/>
    </i>
    <i r="1">
      <x v="1"/>
    </i>
    <i>
      <x v="421"/>
    </i>
    <i r="1">
      <x/>
    </i>
    <i r="1">
      <x v="1"/>
    </i>
    <i r="1">
      <x v="2"/>
    </i>
    <i>
      <x v="422"/>
    </i>
    <i r="1">
      <x/>
    </i>
    <i r="1">
      <x v="1"/>
    </i>
    <i r="1">
      <x v="2"/>
    </i>
    <i>
      <x v="423"/>
    </i>
    <i r="1">
      <x v="1"/>
    </i>
    <i r="1">
      <x v="2"/>
    </i>
    <i r="1">
      <x v="3"/>
    </i>
    <i>
      <x v="424"/>
    </i>
    <i r="1">
      <x v="2"/>
    </i>
    <i r="1">
      <x v="3"/>
    </i>
    <i>
      <x v="425"/>
    </i>
    <i r="1">
      <x v="2"/>
    </i>
    <i r="1">
      <x v="3"/>
    </i>
    <i>
      <x v="426"/>
    </i>
    <i r="1">
      <x/>
    </i>
    <i>
      <x v="427"/>
    </i>
    <i r="1">
      <x/>
    </i>
    <i>
      <x v="428"/>
    </i>
    <i r="1">
      <x v="3"/>
    </i>
    <i>
      <x v="429"/>
    </i>
    <i r="1">
      <x/>
    </i>
    <i r="1">
      <x v="1"/>
    </i>
    <i>
      <x v="430"/>
    </i>
    <i r="1">
      <x v="3"/>
    </i>
    <i>
      <x v="431"/>
    </i>
    <i r="1">
      <x v="1"/>
    </i>
    <i r="1">
      <x v="3"/>
    </i>
    <i>
      <x v="432"/>
    </i>
    <i r="1">
      <x v="3"/>
    </i>
    <i>
      <x v="433"/>
    </i>
    <i r="1">
      <x v="1"/>
    </i>
    <i r="1">
      <x v="2"/>
    </i>
    <i>
      <x v="434"/>
    </i>
    <i r="1">
      <x v="3"/>
    </i>
    <i>
      <x v="435"/>
    </i>
    <i r="1">
      <x v="1"/>
    </i>
    <i r="1">
      <x v="2"/>
    </i>
    <i r="1">
      <x v="3"/>
    </i>
    <i>
      <x v="436"/>
    </i>
    <i r="1">
      <x v="1"/>
    </i>
    <i r="1">
      <x v="2"/>
    </i>
    <i r="1">
      <x v="3"/>
    </i>
    <i>
      <x v="437"/>
    </i>
    <i r="1">
      <x v="1"/>
    </i>
    <i>
      <x v="438"/>
    </i>
    <i r="1">
      <x v="1"/>
    </i>
    <i r="1">
      <x v="2"/>
    </i>
    <i r="1">
      <x v="3"/>
    </i>
    <i>
      <x v="439"/>
    </i>
    <i r="1">
      <x/>
    </i>
    <i r="1">
      <x v="2"/>
    </i>
    <i r="1">
      <x v="3"/>
    </i>
    <i>
      <x v="440"/>
    </i>
    <i r="1">
      <x/>
    </i>
    <i r="1">
      <x v="1"/>
    </i>
    <i r="1">
      <x v="2"/>
    </i>
    <i>
      <x v="441"/>
    </i>
    <i r="1">
      <x v="1"/>
    </i>
    <i r="1">
      <x v="2"/>
    </i>
    <i r="1">
      <x v="3"/>
    </i>
    <i>
      <x v="442"/>
    </i>
    <i r="1">
      <x/>
    </i>
    <i r="1">
      <x v="1"/>
    </i>
    <i r="1">
      <x v="2"/>
    </i>
    <i r="1">
      <x v="3"/>
    </i>
    <i>
      <x v="443"/>
    </i>
    <i r="1">
      <x/>
    </i>
    <i r="1">
      <x v="1"/>
    </i>
    <i r="1">
      <x v="2"/>
    </i>
    <i r="1">
      <x v="3"/>
    </i>
    <i>
      <x v="444"/>
    </i>
    <i r="1">
      <x/>
    </i>
    <i r="1">
      <x v="1"/>
    </i>
    <i>
      <x v="445"/>
    </i>
    <i r="1">
      <x/>
    </i>
    <i r="1">
      <x v="1"/>
    </i>
    <i r="1">
      <x v="2"/>
    </i>
    <i>
      <x v="446"/>
    </i>
    <i r="1">
      <x/>
    </i>
    <i>
      <x v="447"/>
    </i>
    <i r="1">
      <x v="1"/>
    </i>
    <i r="1">
      <x v="2"/>
    </i>
    <i r="1">
      <x v="3"/>
    </i>
    <i>
      <x v="448"/>
    </i>
    <i r="1">
      <x/>
    </i>
    <i r="1">
      <x v="1"/>
    </i>
    <i>
      <x v="449"/>
    </i>
    <i r="1">
      <x/>
    </i>
    <i r="1">
      <x v="1"/>
    </i>
    <i r="1">
      <x v="2"/>
    </i>
    <i r="1">
      <x v="3"/>
    </i>
    <i>
      <x v="450"/>
    </i>
    <i r="1">
      <x v="2"/>
    </i>
    <i r="1">
      <x v="3"/>
    </i>
    <i>
      <x v="451"/>
    </i>
    <i r="1">
      <x/>
    </i>
    <i>
      <x v="452"/>
    </i>
    <i r="1">
      <x/>
    </i>
    <i r="1">
      <x v="1"/>
    </i>
    <i r="1">
      <x v="2"/>
    </i>
    <i r="1">
      <x v="3"/>
    </i>
    <i>
      <x v="453"/>
    </i>
    <i r="1">
      <x/>
    </i>
    <i r="1">
      <x v="1"/>
    </i>
    <i r="1">
      <x v="2"/>
    </i>
    <i r="1">
      <x v="3"/>
    </i>
    <i>
      <x v="454"/>
    </i>
    <i r="1">
      <x v="1"/>
    </i>
    <i>
      <x v="455"/>
    </i>
    <i r="1">
      <x v="2"/>
    </i>
    <i>
      <x v="456"/>
    </i>
    <i r="1">
      <x/>
    </i>
    <i>
      <x v="457"/>
    </i>
    <i r="1">
      <x/>
    </i>
    <i r="1">
      <x v="1"/>
    </i>
    <i r="1">
      <x v="2"/>
    </i>
    <i r="1">
      <x v="3"/>
    </i>
    <i>
      <x v="458"/>
    </i>
    <i r="1">
      <x v="1"/>
    </i>
    <i>
      <x v="459"/>
    </i>
    <i r="1">
      <x/>
    </i>
    <i>
      <x v="460"/>
    </i>
    <i r="1">
      <x/>
    </i>
    <i r="1">
      <x v="1"/>
    </i>
    <i r="1">
      <x v="2"/>
    </i>
    <i r="1">
      <x v="3"/>
    </i>
    <i>
      <x v="461"/>
    </i>
    <i r="1">
      <x v="3"/>
    </i>
    <i>
      <x v="462"/>
    </i>
    <i r="1">
      <x/>
    </i>
    <i r="1">
      <x v="1"/>
    </i>
    <i r="1">
      <x v="2"/>
    </i>
    <i>
      <x v="463"/>
    </i>
    <i r="1">
      <x/>
    </i>
    <i>
      <x v="464"/>
    </i>
    <i r="1">
      <x v="2"/>
    </i>
    <i>
      <x v="465"/>
    </i>
    <i r="1">
      <x v="1"/>
    </i>
    <i r="1">
      <x v="2"/>
    </i>
    <i>
      <x v="466"/>
    </i>
    <i r="1">
      <x v="3"/>
    </i>
    <i>
      <x v="467"/>
    </i>
    <i r="1">
      <x v="3"/>
    </i>
    <i>
      <x v="468"/>
    </i>
    <i r="1">
      <x/>
    </i>
    <i>
      <x v="469"/>
    </i>
    <i r="1">
      <x v="3"/>
    </i>
    <i>
      <x v="470"/>
    </i>
    <i r="1">
      <x v="1"/>
    </i>
    <i r="1">
      <x v="2"/>
    </i>
    <i>
      <x v="471"/>
    </i>
    <i r="1">
      <x/>
    </i>
    <i r="1">
      <x v="2"/>
    </i>
    <i r="1">
      <x v="3"/>
    </i>
    <i>
      <x v="472"/>
    </i>
    <i r="1">
      <x/>
    </i>
    <i r="1">
      <x v="3"/>
    </i>
    <i>
      <x v="473"/>
    </i>
    <i r="1">
      <x/>
    </i>
    <i r="1">
      <x v="1"/>
    </i>
    <i>
      <x v="474"/>
    </i>
    <i r="1">
      <x v="3"/>
    </i>
    <i>
      <x v="475"/>
    </i>
    <i r="1">
      <x/>
    </i>
    <i>
      <x v="476"/>
    </i>
    <i r="1">
      <x v="1"/>
    </i>
    <i r="1">
      <x v="2"/>
    </i>
    <i r="1">
      <x v="3"/>
    </i>
    <i>
      <x v="477"/>
    </i>
    <i r="1">
      <x v="2"/>
    </i>
    <i>
      <x v="478"/>
    </i>
    <i r="1">
      <x/>
    </i>
    <i>
      <x v="479"/>
    </i>
    <i r="1">
      <x v="3"/>
    </i>
    <i>
      <x v="480"/>
    </i>
    <i r="1">
      <x/>
    </i>
    <i r="1">
      <x v="1"/>
    </i>
    <i>
      <x v="481"/>
    </i>
    <i r="1">
      <x v="3"/>
    </i>
    <i>
      <x v="482"/>
    </i>
    <i r="1">
      <x/>
    </i>
    <i r="1">
      <x v="1"/>
    </i>
    <i r="1">
      <x v="2"/>
    </i>
    <i r="1">
      <x v="3"/>
    </i>
    <i>
      <x v="483"/>
    </i>
    <i r="1">
      <x v="1"/>
    </i>
    <i>
      <x v="484"/>
    </i>
    <i r="1">
      <x/>
    </i>
    <i>
      <x v="485"/>
    </i>
    <i r="1">
      <x/>
    </i>
    <i r="1">
      <x v="1"/>
    </i>
    <i r="1">
      <x v="2"/>
    </i>
    <i r="1">
      <x v="3"/>
    </i>
    <i>
      <x v="486"/>
    </i>
    <i r="1">
      <x/>
    </i>
    <i>
      <x v="487"/>
    </i>
    <i r="1">
      <x/>
    </i>
    <i r="1">
      <x v="1"/>
    </i>
    <i>
      <x v="488"/>
    </i>
    <i r="1">
      <x v="1"/>
    </i>
    <i>
      <x v="489"/>
    </i>
    <i r="1">
      <x v="1"/>
    </i>
    <i r="1">
      <x v="2"/>
    </i>
    <i r="1">
      <x v="3"/>
    </i>
    <i>
      <x v="490"/>
    </i>
    <i r="1">
      <x/>
    </i>
    <i r="1">
      <x v="1"/>
    </i>
    <i r="1">
      <x v="2"/>
    </i>
    <i r="1">
      <x v="3"/>
    </i>
    <i>
      <x v="491"/>
    </i>
    <i r="1">
      <x v="1"/>
    </i>
    <i r="1">
      <x v="2"/>
    </i>
    <i r="1">
      <x v="3"/>
    </i>
    <i>
      <x v="492"/>
    </i>
    <i r="1">
      <x v="3"/>
    </i>
    <i>
      <x v="493"/>
    </i>
    <i r="1">
      <x/>
    </i>
    <i r="1">
      <x v="1"/>
    </i>
    <i r="1">
      <x v="2"/>
    </i>
    <i>
      <x v="494"/>
    </i>
    <i r="1">
      <x v="2"/>
    </i>
    <i>
      <x v="495"/>
    </i>
    <i r="1">
      <x v="2"/>
    </i>
    <i>
      <x v="496"/>
    </i>
    <i r="1">
      <x/>
    </i>
    <i>
      <x v="497"/>
    </i>
    <i r="1">
      <x/>
    </i>
    <i r="1">
      <x v="1"/>
    </i>
    <i>
      <x v="498"/>
    </i>
    <i r="1">
      <x v="2"/>
    </i>
    <i r="1">
      <x v="3"/>
    </i>
    <i>
      <x v="499"/>
    </i>
    <i r="1">
      <x/>
    </i>
    <i r="1">
      <x v="1"/>
    </i>
    <i r="1">
      <x v="2"/>
    </i>
    <i>
      <x v="500"/>
    </i>
    <i r="1">
      <x v="3"/>
    </i>
    <i>
      <x v="501"/>
    </i>
    <i r="1">
      <x v="2"/>
    </i>
    <i r="1">
      <x v="3"/>
    </i>
    <i>
      <x v="502"/>
    </i>
    <i r="1">
      <x v="3"/>
    </i>
    <i>
      <x v="503"/>
    </i>
    <i r="1">
      <x/>
    </i>
    <i r="1">
      <x v="1"/>
    </i>
    <i r="1">
      <x v="2"/>
    </i>
    <i r="1">
      <x v="3"/>
    </i>
    <i>
      <x v="504"/>
    </i>
    <i r="1">
      <x v="2"/>
    </i>
    <i>
      <x v="505"/>
    </i>
    <i r="1">
      <x/>
    </i>
    <i r="1">
      <x v="1"/>
    </i>
    <i r="1">
      <x v="2"/>
    </i>
    <i r="1">
      <x v="3"/>
    </i>
    <i>
      <x v="506"/>
    </i>
    <i r="1">
      <x/>
    </i>
    <i r="1">
      <x v="1"/>
    </i>
    <i r="1">
      <x v="2"/>
    </i>
    <i r="1">
      <x v="3"/>
    </i>
    <i>
      <x v="507"/>
    </i>
    <i r="1">
      <x/>
    </i>
    <i>
      <x v="508"/>
    </i>
    <i r="1">
      <x v="3"/>
    </i>
    <i>
      <x v="509"/>
    </i>
    <i r="1">
      <x/>
    </i>
    <i r="1">
      <x v="1"/>
    </i>
    <i>
      <x v="510"/>
    </i>
    <i r="1">
      <x/>
    </i>
    <i r="1">
      <x v="1"/>
    </i>
    <i r="1">
      <x v="2"/>
    </i>
    <i r="1">
      <x v="3"/>
    </i>
    <i>
      <x v="511"/>
    </i>
    <i r="1">
      <x v="3"/>
    </i>
    <i>
      <x v="512"/>
    </i>
    <i r="1">
      <x/>
    </i>
    <i r="1">
      <x v="1"/>
    </i>
    <i r="1">
      <x v="2"/>
    </i>
    <i r="1">
      <x v="3"/>
    </i>
    <i>
      <x v="513"/>
    </i>
    <i r="1">
      <x/>
    </i>
    <i r="1">
      <x v="2"/>
    </i>
    <i>
      <x v="514"/>
    </i>
    <i r="1">
      <x/>
    </i>
    <i r="1">
      <x v="1"/>
    </i>
    <i r="1">
      <x v="2"/>
    </i>
    <i r="1">
      <x v="3"/>
    </i>
    <i>
      <x v="515"/>
    </i>
    <i r="1">
      <x v="1"/>
    </i>
    <i>
      <x v="516"/>
    </i>
    <i r="1">
      <x/>
    </i>
    <i r="1">
      <x v="1"/>
    </i>
    <i r="1">
      <x v="3"/>
    </i>
    <i>
      <x v="517"/>
    </i>
    <i r="1">
      <x v="3"/>
    </i>
    <i>
      <x v="518"/>
    </i>
    <i r="1">
      <x/>
    </i>
    <i r="1">
      <x v="1"/>
    </i>
    <i>
      <x v="519"/>
    </i>
    <i r="1">
      <x/>
    </i>
    <i r="1">
      <x v="1"/>
    </i>
    <i r="1">
      <x v="2"/>
    </i>
    <i r="1">
      <x v="3"/>
    </i>
    <i>
      <x v="520"/>
    </i>
    <i r="1">
      <x/>
    </i>
    <i r="1">
      <x v="1"/>
    </i>
    <i r="1">
      <x v="2"/>
    </i>
    <i r="1">
      <x v="3"/>
    </i>
    <i>
      <x v="521"/>
    </i>
    <i r="1">
      <x/>
    </i>
    <i r="1">
      <x v="1"/>
    </i>
    <i r="1">
      <x v="2"/>
    </i>
    <i r="1">
      <x v="3"/>
    </i>
    <i>
      <x v="522"/>
    </i>
    <i r="1">
      <x/>
    </i>
    <i>
      <x v="523"/>
    </i>
    <i r="1">
      <x v="2"/>
    </i>
    <i>
      <x v="524"/>
    </i>
    <i r="1">
      <x v="1"/>
    </i>
    <i>
      <x v="525"/>
    </i>
    <i r="1">
      <x/>
    </i>
    <i r="1">
      <x v="1"/>
    </i>
    <i>
      <x v="526"/>
    </i>
    <i r="1">
      <x/>
    </i>
    <i r="1">
      <x v="1"/>
    </i>
    <i>
      <x v="527"/>
    </i>
    <i r="1">
      <x/>
    </i>
    <i>
      <x v="528"/>
    </i>
    <i r="1">
      <x v="3"/>
    </i>
    <i>
      <x v="529"/>
    </i>
    <i r="1">
      <x v="2"/>
    </i>
    <i>
      <x v="530"/>
    </i>
    <i r="1">
      <x v="2"/>
    </i>
    <i>
      <x v="531"/>
    </i>
    <i r="1">
      <x/>
    </i>
    <i r="1">
      <x v="1"/>
    </i>
    <i r="1">
      <x v="2"/>
    </i>
    <i r="1">
      <x v="3"/>
    </i>
    <i>
      <x v="532"/>
    </i>
    <i r="1">
      <x/>
    </i>
    <i r="1">
      <x v="1"/>
    </i>
    <i r="1">
      <x v="2"/>
    </i>
    <i r="1">
      <x v="3"/>
    </i>
    <i>
      <x v="533"/>
    </i>
    <i r="1">
      <x/>
    </i>
    <i>
      <x v="534"/>
    </i>
    <i r="1">
      <x v="1"/>
    </i>
    <i r="1">
      <x v="2"/>
    </i>
    <i r="1">
      <x v="3"/>
    </i>
    <i>
      <x v="535"/>
    </i>
    <i r="1">
      <x/>
    </i>
    <i r="1">
      <x v="1"/>
    </i>
    <i r="1">
      <x v="2"/>
    </i>
    <i r="1">
      <x v="3"/>
    </i>
    <i>
      <x v="536"/>
    </i>
    <i r="1">
      <x/>
    </i>
    <i>
      <x v="537"/>
    </i>
    <i r="1">
      <x/>
    </i>
    <i>
      <x v="538"/>
    </i>
    <i r="1">
      <x v="1"/>
    </i>
    <i>
      <x v="539"/>
    </i>
    <i r="1">
      <x v="2"/>
    </i>
    <i r="1">
      <x v="3"/>
    </i>
    <i>
      <x v="540"/>
    </i>
    <i r="1">
      <x/>
    </i>
    <i r="1">
      <x v="1"/>
    </i>
    <i>
      <x v="541"/>
    </i>
    <i r="1">
      <x/>
    </i>
    <i r="1">
      <x v="1"/>
    </i>
    <i r="1">
      <x v="2"/>
    </i>
    <i r="1">
      <x v="3"/>
    </i>
    <i>
      <x v="542"/>
    </i>
    <i r="1">
      <x/>
    </i>
    <i r="1">
      <x v="2"/>
    </i>
    <i r="1">
      <x v="3"/>
    </i>
    <i>
      <x v="543"/>
    </i>
    <i r="1">
      <x v="1"/>
    </i>
    <i r="1">
      <x v="2"/>
    </i>
    <i r="1">
      <x v="3"/>
    </i>
    <i>
      <x v="544"/>
    </i>
    <i r="1">
      <x/>
    </i>
    <i r="1">
      <x v="1"/>
    </i>
    <i r="1">
      <x v="2"/>
    </i>
    <i r="1">
      <x v="3"/>
    </i>
    <i>
      <x v="545"/>
    </i>
    <i r="1">
      <x/>
    </i>
    <i r="1">
      <x v="1"/>
    </i>
    <i r="1">
      <x v="2"/>
    </i>
    <i r="1">
      <x v="3"/>
    </i>
    <i>
      <x v="546"/>
    </i>
    <i r="1">
      <x/>
    </i>
    <i>
      <x v="547"/>
    </i>
    <i r="1">
      <x/>
    </i>
    <i r="1">
      <x v="1"/>
    </i>
    <i r="1">
      <x v="2"/>
    </i>
    <i>
      <x v="548"/>
    </i>
    <i r="1">
      <x/>
    </i>
    <i r="1">
      <x v="1"/>
    </i>
    <i r="1">
      <x v="2"/>
    </i>
    <i r="1">
      <x v="3"/>
    </i>
    <i>
      <x v="549"/>
    </i>
    <i r="1">
      <x v="3"/>
    </i>
    <i>
      <x v="550"/>
    </i>
    <i r="1">
      <x/>
    </i>
    <i r="1">
      <x v="1"/>
    </i>
    <i r="1">
      <x v="2"/>
    </i>
    <i>
      <x v="551"/>
    </i>
    <i r="1">
      <x/>
    </i>
    <i r="1">
      <x v="1"/>
    </i>
    <i r="1">
      <x v="2"/>
    </i>
    <i r="1">
      <x v="3"/>
    </i>
    <i>
      <x v="552"/>
    </i>
    <i r="1">
      <x v="2"/>
    </i>
    <i r="1">
      <x v="3"/>
    </i>
    <i>
      <x v="553"/>
    </i>
    <i r="1">
      <x/>
    </i>
    <i>
      <x v="554"/>
    </i>
    <i r="1">
      <x/>
    </i>
    <i r="1">
      <x v="1"/>
    </i>
    <i r="1">
      <x v="2"/>
    </i>
    <i>
      <x v="555"/>
    </i>
    <i r="1">
      <x v="2"/>
    </i>
    <i r="1">
      <x v="3"/>
    </i>
    <i>
      <x v="556"/>
    </i>
    <i r="1">
      <x v="1"/>
    </i>
    <i r="1">
      <x v="2"/>
    </i>
    <i r="1">
      <x v="3"/>
    </i>
    <i>
      <x v="557"/>
    </i>
    <i r="1">
      <x v="3"/>
    </i>
    <i>
      <x v="558"/>
    </i>
    <i r="1">
      <x/>
    </i>
    <i>
      <x v="559"/>
    </i>
    <i r="1">
      <x v="1"/>
    </i>
    <i r="1">
      <x v="2"/>
    </i>
    <i>
      <x v="560"/>
    </i>
    <i r="1">
      <x/>
    </i>
    <i r="1">
      <x v="1"/>
    </i>
    <i r="1">
      <x v="2"/>
    </i>
    <i r="1">
      <x v="3"/>
    </i>
    <i>
      <x v="561"/>
    </i>
    <i r="1">
      <x v="2"/>
    </i>
    <i>
      <x v="562"/>
    </i>
    <i r="1">
      <x v="1"/>
    </i>
    <i r="1">
      <x v="2"/>
    </i>
    <i>
      <x v="563"/>
    </i>
    <i r="1">
      <x/>
    </i>
    <i>
      <x v="564"/>
    </i>
    <i r="1">
      <x/>
    </i>
    <i r="1">
      <x v="1"/>
    </i>
    <i>
      <x v="565"/>
    </i>
    <i r="1">
      <x v="3"/>
    </i>
    <i>
      <x v="566"/>
    </i>
    <i r="1">
      <x v="2"/>
    </i>
    <i>
      <x v="567"/>
    </i>
    <i r="1">
      <x v="3"/>
    </i>
    <i>
      <x v="568"/>
    </i>
    <i r="1">
      <x v="2"/>
    </i>
    <i r="1">
      <x v="3"/>
    </i>
    <i>
      <x v="569"/>
    </i>
    <i r="1">
      <x/>
    </i>
    <i>
      <x v="570"/>
    </i>
    <i r="1">
      <x/>
    </i>
    <i>
      <x v="571"/>
    </i>
    <i r="1">
      <x/>
    </i>
    <i r="1">
      <x v="1"/>
    </i>
    <i r="1">
      <x v="2"/>
    </i>
    <i r="1">
      <x v="3"/>
    </i>
    <i>
      <x v="572"/>
    </i>
    <i r="1">
      <x v="2"/>
    </i>
    <i r="1">
      <x v="3"/>
    </i>
    <i>
      <x v="573"/>
    </i>
    <i r="1">
      <x/>
    </i>
    <i r="1">
      <x v="1"/>
    </i>
    <i r="1">
      <x v="2"/>
    </i>
    <i r="1">
      <x v="3"/>
    </i>
    <i>
      <x v="574"/>
    </i>
    <i r="1">
      <x/>
    </i>
    <i r="1">
      <x v="1"/>
    </i>
    <i>
      <x v="575"/>
    </i>
    <i r="1">
      <x v="1"/>
    </i>
    <i r="1">
      <x v="3"/>
    </i>
    <i>
      <x v="576"/>
    </i>
    <i r="1">
      <x/>
    </i>
    <i r="1">
      <x v="1"/>
    </i>
    <i r="1">
      <x v="2"/>
    </i>
    <i r="1">
      <x v="3"/>
    </i>
    <i>
      <x v="577"/>
    </i>
    <i r="1">
      <x v="1"/>
    </i>
    <i r="1">
      <x v="2"/>
    </i>
    <i r="1">
      <x v="3"/>
    </i>
    <i>
      <x v="578"/>
    </i>
    <i r="1">
      <x/>
    </i>
    <i>
      <x v="579"/>
    </i>
    <i r="1">
      <x v="3"/>
    </i>
    <i>
      <x v="580"/>
    </i>
    <i r="1">
      <x/>
    </i>
    <i r="1">
      <x v="1"/>
    </i>
    <i r="1">
      <x v="2"/>
    </i>
    <i r="1">
      <x v="3"/>
    </i>
    <i>
      <x v="581"/>
    </i>
    <i r="1">
      <x v="2"/>
    </i>
    <i>
      <x v="582"/>
    </i>
    <i r="1">
      <x/>
    </i>
    <i r="1">
      <x v="1"/>
    </i>
    <i r="1">
      <x v="3"/>
    </i>
    <i>
      <x v="583"/>
    </i>
    <i r="1">
      <x/>
    </i>
    <i r="1">
      <x v="2"/>
    </i>
    <i r="1">
      <x v="3"/>
    </i>
    <i>
      <x v="584"/>
    </i>
    <i r="1">
      <x v="3"/>
    </i>
    <i>
      <x v="585"/>
    </i>
    <i r="1">
      <x v="3"/>
    </i>
    <i>
      <x v="586"/>
    </i>
    <i r="1">
      <x/>
    </i>
    <i r="1">
      <x v="1"/>
    </i>
    <i>
      <x v="587"/>
    </i>
    <i r="1">
      <x/>
    </i>
    <i>
      <x v="588"/>
    </i>
    <i r="1">
      <x v="3"/>
    </i>
    <i>
      <x v="589"/>
    </i>
    <i r="1">
      <x/>
    </i>
    <i r="1">
      <x v="3"/>
    </i>
    <i>
      <x v="590"/>
    </i>
    <i r="1">
      <x/>
    </i>
    <i r="1">
      <x v="1"/>
    </i>
    <i r="1">
      <x v="2"/>
    </i>
    <i r="1">
      <x v="3"/>
    </i>
    <i>
      <x v="591"/>
    </i>
    <i r="1">
      <x v="1"/>
    </i>
    <i r="1">
      <x v="2"/>
    </i>
    <i r="1">
      <x v="3"/>
    </i>
    <i>
      <x v="592"/>
    </i>
    <i r="1">
      <x v="3"/>
    </i>
    <i>
      <x v="593"/>
    </i>
    <i r="1">
      <x/>
    </i>
    <i r="1">
      <x v="1"/>
    </i>
    <i>
      <x v="594"/>
    </i>
    <i r="1">
      <x v="3"/>
    </i>
    <i>
      <x v="595"/>
    </i>
    <i r="1">
      <x/>
    </i>
    <i r="1">
      <x v="1"/>
    </i>
    <i r="1">
      <x v="2"/>
    </i>
    <i>
      <x v="596"/>
    </i>
    <i r="1">
      <x/>
    </i>
    <i r="1">
      <x v="1"/>
    </i>
    <i r="1">
      <x v="2"/>
    </i>
    <i r="1">
      <x v="3"/>
    </i>
    <i>
      <x v="597"/>
    </i>
    <i r="1">
      <x v="1"/>
    </i>
    <i r="1">
      <x v="2"/>
    </i>
    <i>
      <x v="598"/>
    </i>
    <i r="1">
      <x/>
    </i>
    <i r="1">
      <x v="1"/>
    </i>
    <i r="1">
      <x v="2"/>
    </i>
    <i r="1">
      <x v="3"/>
    </i>
    <i>
      <x v="599"/>
    </i>
    <i r="1">
      <x/>
    </i>
    <i r="1">
      <x v="1"/>
    </i>
    <i>
      <x v="600"/>
    </i>
    <i r="1">
      <x v="1"/>
    </i>
    <i r="1">
      <x v="2"/>
    </i>
    <i>
      <x v="601"/>
    </i>
    <i r="1">
      <x v="2"/>
    </i>
    <i>
      <x v="602"/>
    </i>
    <i r="1">
      <x v="1"/>
    </i>
    <i>
      <x v="603"/>
    </i>
    <i r="1">
      <x v="1"/>
    </i>
    <i r="1">
      <x v="2"/>
    </i>
    <i r="1">
      <x v="3"/>
    </i>
    <i>
      <x v="604"/>
    </i>
    <i r="1">
      <x/>
    </i>
    <i>
      <x v="605"/>
    </i>
    <i r="1">
      <x/>
    </i>
    <i>
      <x v="606"/>
    </i>
    <i r="1">
      <x v="1"/>
    </i>
    <i r="1">
      <x v="2"/>
    </i>
    <i>
      <x v="607"/>
    </i>
    <i r="1">
      <x/>
    </i>
    <i r="1">
      <x v="1"/>
    </i>
    <i r="1">
      <x v="2"/>
    </i>
    <i r="1">
      <x v="3"/>
    </i>
    <i>
      <x v="608"/>
    </i>
    <i r="1">
      <x v="2"/>
    </i>
    <i>
      <x v="609"/>
    </i>
    <i r="1">
      <x v="2"/>
    </i>
    <i r="1">
      <x v="3"/>
    </i>
    <i>
      <x v="610"/>
    </i>
    <i r="1">
      <x/>
    </i>
    <i>
      <x v="611"/>
    </i>
    <i r="1">
      <x v="2"/>
    </i>
    <i r="1">
      <x v="3"/>
    </i>
    <i>
      <x v="612"/>
    </i>
    <i r="1">
      <x/>
    </i>
    <i r="1">
      <x v="1"/>
    </i>
    <i r="1">
      <x v="2"/>
    </i>
    <i r="1">
      <x v="3"/>
    </i>
    <i>
      <x v="613"/>
    </i>
    <i r="1">
      <x v="3"/>
    </i>
    <i>
      <x v="614"/>
    </i>
    <i r="1">
      <x/>
    </i>
    <i>
      <x v="615"/>
    </i>
    <i r="1">
      <x/>
    </i>
    <i r="1">
      <x v="1"/>
    </i>
    <i>
      <x v="616"/>
    </i>
    <i r="1">
      <x/>
    </i>
    <i r="1">
      <x v="1"/>
    </i>
    <i r="1">
      <x v="2"/>
    </i>
    <i>
      <x v="617"/>
    </i>
    <i r="1">
      <x/>
    </i>
    <i>
      <x v="618"/>
    </i>
    <i r="1">
      <x/>
    </i>
    <i>
      <x v="619"/>
    </i>
    <i r="1">
      <x v="2"/>
    </i>
    <i>
      <x v="620"/>
    </i>
    <i r="1">
      <x/>
    </i>
    <i r="1">
      <x v="1"/>
    </i>
    <i r="1">
      <x v="2"/>
    </i>
    <i r="1">
      <x v="3"/>
    </i>
    <i>
      <x v="621"/>
    </i>
    <i r="1">
      <x v="2"/>
    </i>
    <i r="1">
      <x v="3"/>
    </i>
    <i>
      <x v="622"/>
    </i>
    <i r="1">
      <x/>
    </i>
    <i r="1">
      <x v="1"/>
    </i>
    <i r="1">
      <x v="2"/>
    </i>
    <i r="1">
      <x v="3"/>
    </i>
    <i>
      <x v="623"/>
    </i>
    <i r="1">
      <x/>
    </i>
    <i r="1">
      <x v="1"/>
    </i>
    <i r="1">
      <x v="2"/>
    </i>
    <i r="1">
      <x v="3"/>
    </i>
    <i>
      <x v="624"/>
    </i>
    <i r="1">
      <x v="1"/>
    </i>
    <i r="1">
      <x v="2"/>
    </i>
    <i r="1">
      <x v="3"/>
    </i>
    <i>
      <x v="625"/>
    </i>
    <i r="1">
      <x/>
    </i>
    <i>
      <x v="626"/>
    </i>
    <i r="1">
      <x/>
    </i>
    <i r="1">
      <x v="1"/>
    </i>
    <i r="1">
      <x v="2"/>
    </i>
    <i r="1">
      <x v="3"/>
    </i>
    <i>
      <x v="627"/>
    </i>
    <i r="1">
      <x v="1"/>
    </i>
    <i r="1">
      <x v="2"/>
    </i>
    <i>
      <x v="628"/>
    </i>
    <i r="1">
      <x v="1"/>
    </i>
    <i>
      <x v="629"/>
    </i>
    <i r="1">
      <x v="3"/>
    </i>
    <i>
      <x v="630"/>
    </i>
    <i r="1">
      <x v="3"/>
    </i>
    <i>
      <x v="631"/>
    </i>
    <i r="1">
      <x v="2"/>
    </i>
    <i r="1">
      <x v="3"/>
    </i>
    <i>
      <x v="632"/>
    </i>
    <i r="1">
      <x/>
    </i>
    <i r="1">
      <x v="1"/>
    </i>
    <i r="1">
      <x v="2"/>
    </i>
    <i r="1">
      <x v="3"/>
    </i>
    <i>
      <x v="633"/>
    </i>
    <i r="1">
      <x v="3"/>
    </i>
    <i>
      <x v="634"/>
    </i>
    <i r="1">
      <x v="1"/>
    </i>
    <i r="1">
      <x v="2"/>
    </i>
    <i>
      <x v="635"/>
    </i>
    <i r="1">
      <x v="3"/>
    </i>
    <i>
      <x v="636"/>
    </i>
    <i r="1">
      <x/>
    </i>
    <i>
      <x v="637"/>
    </i>
    <i r="1">
      <x/>
    </i>
    <i>
      <x v="638"/>
    </i>
    <i r="1">
      <x v="1"/>
    </i>
    <i>
      <x v="639"/>
    </i>
    <i r="1">
      <x v="1"/>
    </i>
    <i r="1">
      <x v="2"/>
    </i>
    <i>
      <x v="640"/>
    </i>
    <i r="1">
      <x/>
    </i>
    <i r="1">
      <x v="1"/>
    </i>
    <i r="1">
      <x v="2"/>
    </i>
    <i r="1">
      <x v="3"/>
    </i>
    <i>
      <x v="641"/>
    </i>
    <i r="1">
      <x v="2"/>
    </i>
    <i r="1">
      <x v="3"/>
    </i>
    <i>
      <x v="642"/>
    </i>
    <i r="1">
      <x/>
    </i>
    <i r="1">
      <x v="1"/>
    </i>
    <i r="1">
      <x v="2"/>
    </i>
    <i>
      <x v="643"/>
    </i>
    <i r="1">
      <x v="1"/>
    </i>
    <i r="1">
      <x v="2"/>
    </i>
    <i>
      <x v="644"/>
    </i>
    <i r="1">
      <x/>
    </i>
    <i>
      <x v="645"/>
    </i>
    <i r="1">
      <x/>
    </i>
    <i>
      <x v="646"/>
    </i>
    <i r="1">
      <x v="1"/>
    </i>
    <i>
      <x v="647"/>
    </i>
    <i r="1">
      <x/>
    </i>
    <i>
      <x v="648"/>
    </i>
    <i r="1">
      <x v="1"/>
    </i>
    <i>
      <x v="649"/>
    </i>
    <i r="1">
      <x v="3"/>
    </i>
    <i>
      <x v="650"/>
    </i>
    <i r="1">
      <x/>
    </i>
    <i>
      <x v="651"/>
    </i>
    <i r="1">
      <x v="2"/>
    </i>
    <i>
      <x v="652"/>
    </i>
    <i r="1">
      <x v="2"/>
    </i>
    <i r="1">
      <x v="3"/>
    </i>
    <i>
      <x v="653"/>
    </i>
    <i r="1">
      <x/>
    </i>
    <i r="1">
      <x v="1"/>
    </i>
    <i r="1">
      <x v="2"/>
    </i>
    <i r="1">
      <x v="3"/>
    </i>
    <i>
      <x v="654"/>
    </i>
    <i r="1">
      <x v="2"/>
    </i>
    <i>
      <x v="655"/>
    </i>
    <i r="1">
      <x v="3"/>
    </i>
    <i>
      <x v="656"/>
    </i>
    <i r="1">
      <x/>
    </i>
    <i>
      <x v="657"/>
    </i>
    <i r="1">
      <x v="2"/>
    </i>
    <i r="1">
      <x v="3"/>
    </i>
    <i>
      <x v="658"/>
    </i>
    <i r="1">
      <x/>
    </i>
    <i r="1">
      <x v="1"/>
    </i>
    <i r="1">
      <x v="2"/>
    </i>
    <i r="1">
      <x v="3"/>
    </i>
    <i>
      <x v="659"/>
    </i>
    <i r="1">
      <x v="3"/>
    </i>
    <i>
      <x v="660"/>
    </i>
    <i r="1">
      <x/>
    </i>
    <i r="1">
      <x v="1"/>
    </i>
    <i r="1">
      <x v="2"/>
    </i>
    <i>
      <x v="661"/>
    </i>
    <i r="1">
      <x/>
    </i>
    <i r="1">
      <x v="1"/>
    </i>
    <i r="1">
      <x v="2"/>
    </i>
    <i r="1">
      <x v="3"/>
    </i>
    <i>
      <x v="662"/>
    </i>
    <i r="1">
      <x v="1"/>
    </i>
    <i r="1">
      <x v="2"/>
    </i>
    <i r="1">
      <x v="3"/>
    </i>
    <i>
      <x v="663"/>
    </i>
    <i r="1">
      <x v="1"/>
    </i>
    <i>
      <x v="664"/>
    </i>
    <i r="1">
      <x v="2"/>
    </i>
    <i>
      <x v="665"/>
    </i>
    <i r="1">
      <x v="2"/>
    </i>
    <i>
      <x v="666"/>
    </i>
    <i r="1">
      <x/>
    </i>
    <i>
      <x v="667"/>
    </i>
    <i r="1">
      <x v="2"/>
    </i>
    <i r="1">
      <x v="3"/>
    </i>
    <i>
      <x v="668"/>
    </i>
    <i r="1">
      <x v="2"/>
    </i>
    <i r="1">
      <x v="3"/>
    </i>
    <i>
      <x v="669"/>
    </i>
    <i r="1">
      <x/>
    </i>
    <i r="1">
      <x v="1"/>
    </i>
    <i r="1">
      <x v="2"/>
    </i>
    <i r="1">
      <x v="3"/>
    </i>
    <i>
      <x v="670"/>
    </i>
    <i r="1">
      <x/>
    </i>
    <i>
      <x v="671"/>
    </i>
    <i r="1">
      <x/>
    </i>
    <i r="1">
      <x v="1"/>
    </i>
    <i>
      <x v="672"/>
    </i>
    <i r="1">
      <x v="2"/>
    </i>
    <i>
      <x v="673"/>
    </i>
    <i r="1">
      <x/>
    </i>
    <i r="1">
      <x v="1"/>
    </i>
    <i>
      <x v="674"/>
    </i>
    <i r="1">
      <x v="3"/>
    </i>
    <i>
      <x v="675"/>
    </i>
    <i r="1">
      <x v="2"/>
    </i>
    <i r="1">
      <x v="3"/>
    </i>
    <i>
      <x v="676"/>
    </i>
    <i r="1">
      <x/>
    </i>
    <i r="1">
      <x v="1"/>
    </i>
    <i r="1">
      <x v="2"/>
    </i>
    <i>
      <x v="677"/>
    </i>
    <i r="1">
      <x/>
    </i>
    <i r="1">
      <x v="1"/>
    </i>
    <i r="1">
      <x v="2"/>
    </i>
    <i r="1">
      <x v="3"/>
    </i>
    <i>
      <x v="678"/>
    </i>
    <i r="1">
      <x v="1"/>
    </i>
    <i>
      <x v="679"/>
    </i>
    <i r="1">
      <x v="1"/>
    </i>
    <i>
      <x v="680"/>
    </i>
    <i r="1">
      <x/>
    </i>
    <i r="1">
      <x v="1"/>
    </i>
    <i r="1">
      <x v="2"/>
    </i>
    <i r="1">
      <x v="3"/>
    </i>
    <i>
      <x v="681"/>
    </i>
    <i r="1">
      <x/>
    </i>
    <i r="1">
      <x v="1"/>
    </i>
    <i r="1">
      <x v="2"/>
    </i>
    <i r="1">
      <x v="3"/>
    </i>
    <i>
      <x v="682"/>
    </i>
    <i r="1">
      <x/>
    </i>
    <i>
      <x v="683"/>
    </i>
    <i r="1">
      <x/>
    </i>
    <i r="1">
      <x v="1"/>
    </i>
    <i>
      <x v="684"/>
    </i>
    <i r="1">
      <x/>
    </i>
    <i r="1">
      <x v="1"/>
    </i>
    <i r="1">
      <x v="2"/>
    </i>
    <i>
      <x v="685"/>
    </i>
    <i r="1">
      <x/>
    </i>
    <i r="1">
      <x v="1"/>
    </i>
    <i r="1">
      <x v="2"/>
    </i>
    <i>
      <x v="686"/>
    </i>
    <i r="1">
      <x/>
    </i>
    <i>
      <x v="687"/>
    </i>
    <i r="1">
      <x/>
    </i>
    <i r="1">
      <x v="1"/>
    </i>
    <i r="1">
      <x v="2"/>
    </i>
    <i r="1">
      <x v="3"/>
    </i>
    <i>
      <x v="688"/>
    </i>
    <i r="1">
      <x v="2"/>
    </i>
    <i r="1">
      <x v="3"/>
    </i>
    <i>
      <x v="689"/>
    </i>
    <i r="1">
      <x v="1"/>
    </i>
    <i r="1">
      <x v="2"/>
    </i>
    <i r="1">
      <x v="3"/>
    </i>
    <i>
      <x v="690"/>
    </i>
    <i r="1">
      <x/>
    </i>
    <i r="1">
      <x v="1"/>
    </i>
    <i r="1">
      <x v="2"/>
    </i>
    <i>
      <x v="691"/>
    </i>
    <i r="1">
      <x/>
    </i>
    <i r="1">
      <x v="1"/>
    </i>
    <i r="1">
      <x v="2"/>
    </i>
    <i r="1">
      <x v="3"/>
    </i>
    <i>
      <x v="692"/>
    </i>
    <i r="1">
      <x v="2"/>
    </i>
    <i r="1">
      <x v="3"/>
    </i>
    <i>
      <x v="693"/>
    </i>
    <i r="1">
      <x/>
    </i>
    <i r="1">
      <x v="1"/>
    </i>
    <i r="1">
      <x v="2"/>
    </i>
    <i r="1">
      <x v="3"/>
    </i>
    <i>
      <x v="694"/>
    </i>
    <i r="1">
      <x v="3"/>
    </i>
    <i>
      <x v="695"/>
    </i>
    <i r="1">
      <x/>
    </i>
    <i r="1">
      <x v="1"/>
    </i>
    <i r="1">
      <x v="2"/>
    </i>
    <i>
      <x v="696"/>
    </i>
    <i r="1">
      <x/>
    </i>
    <i r="1">
      <x v="1"/>
    </i>
    <i r="1">
      <x v="2"/>
    </i>
    <i r="1">
      <x v="3"/>
    </i>
    <i>
      <x v="697"/>
    </i>
    <i r="1">
      <x v="3"/>
    </i>
    <i>
      <x v="698"/>
    </i>
    <i r="1">
      <x/>
    </i>
    <i>
      <x v="699"/>
    </i>
    <i r="1">
      <x/>
    </i>
    <i r="1">
      <x v="1"/>
    </i>
    <i r="1">
      <x v="2"/>
    </i>
    <i>
      <x v="700"/>
    </i>
    <i r="1">
      <x/>
    </i>
    <i r="1">
      <x v="1"/>
    </i>
    <i r="1">
      <x v="2"/>
    </i>
    <i>
      <x v="701"/>
    </i>
    <i r="1">
      <x v="3"/>
    </i>
    <i>
      <x v="702"/>
    </i>
    <i r="1">
      <x v="1"/>
    </i>
    <i>
      <x v="703"/>
    </i>
    <i r="1">
      <x/>
    </i>
    <i r="1">
      <x v="1"/>
    </i>
    <i r="1">
      <x v="2"/>
    </i>
    <i>
      <x v="704"/>
    </i>
    <i r="1">
      <x v="3"/>
    </i>
    <i>
      <x v="705"/>
    </i>
    <i r="1">
      <x/>
    </i>
    <i r="1">
      <x v="1"/>
    </i>
    <i>
      <x v="706"/>
    </i>
    <i r="1">
      <x v="3"/>
    </i>
    <i>
      <x v="707"/>
    </i>
    <i r="1">
      <x v="3"/>
    </i>
    <i>
      <x v="708"/>
    </i>
    <i r="1">
      <x v="2"/>
    </i>
    <i r="1">
      <x v="3"/>
    </i>
    <i>
      <x v="709"/>
    </i>
    <i r="1">
      <x v="1"/>
    </i>
    <i>
      <x v="710"/>
    </i>
    <i r="1">
      <x v="4"/>
    </i>
    <i t="grand">
      <x/>
    </i>
  </rowItems>
  <colItems count="1">
    <i/>
  </colItems>
  <pageFields count="4">
    <pageField fld="12" hier="-1"/>
    <pageField fld="15" hier="-1"/>
    <pageField fld="14" hier="-1"/>
    <pageField fld="1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D203C-167E-4CB0-8EB5-FFF198EE1AA6}">
  <sheetPr codeName="Sheet1"/>
  <dimension ref="A1:AQ1470"/>
  <sheetViews>
    <sheetView zoomScale="86" workbookViewId="0">
      <selection activeCell="C2" sqref="C2"/>
    </sheetView>
  </sheetViews>
  <sheetFormatPr defaultRowHeight="14.5" x14ac:dyDescent="0.35"/>
  <cols>
    <col min="1" max="1" width="25.54296875" bestFit="1" customWidth="1"/>
    <col min="2" max="2" width="11.54296875" customWidth="1"/>
    <col min="3" max="3" width="29" customWidth="1"/>
    <col min="4" max="4" width="7.54296875" bestFit="1" customWidth="1"/>
    <col min="5" max="5" width="6.1796875" bestFit="1" customWidth="1"/>
    <col min="6" max="6" width="22.36328125" bestFit="1" customWidth="1"/>
    <col min="7" max="7" width="30" bestFit="1" customWidth="1"/>
    <col min="8" max="8" width="22.26953125" bestFit="1" customWidth="1"/>
    <col min="9" max="9" width="14.453125" bestFit="1" customWidth="1"/>
    <col min="10" max="10" width="9.90625" bestFit="1" customWidth="1"/>
    <col min="11" max="11" width="6.453125" bestFit="1" customWidth="1"/>
    <col min="12" max="12" width="10" bestFit="1" customWidth="1"/>
    <col min="13" max="13" width="7.7265625" bestFit="1" customWidth="1"/>
    <col min="14" max="14" width="8.6328125" bestFit="1" customWidth="1"/>
    <col min="16" max="16" width="8.54296875" bestFit="1" customWidth="1"/>
    <col min="17" max="17" width="6.26953125" bestFit="1" customWidth="1"/>
    <col min="18" max="18" width="8.6328125" bestFit="1" customWidth="1"/>
    <col min="19" max="19" width="8.81640625" bestFit="1" customWidth="1"/>
    <col min="20" max="20" width="7.7265625" bestFit="1" customWidth="1"/>
    <col min="21" max="21" width="6.36328125" bestFit="1" customWidth="1"/>
    <col min="22" max="22" width="9.7265625" bestFit="1" customWidth="1"/>
    <col min="23" max="23" width="11.7265625" bestFit="1" customWidth="1"/>
    <col min="24" max="24" width="11.26953125" bestFit="1" customWidth="1"/>
    <col min="25" max="25" width="10.90625" bestFit="1" customWidth="1"/>
    <col min="26" max="26" width="8.90625" bestFit="1" customWidth="1"/>
    <col min="27" max="27" width="9.90625" bestFit="1" customWidth="1"/>
    <col min="28" max="28" width="8.90625" bestFit="1" customWidth="1"/>
    <col min="30" max="30" width="9.6328125" bestFit="1" customWidth="1"/>
    <col min="31" max="31" width="9.453125" bestFit="1" customWidth="1"/>
    <col min="32" max="32" width="8.36328125" bestFit="1" customWidth="1"/>
    <col min="33" max="33" width="14.26953125" bestFit="1" customWidth="1"/>
    <col min="34" max="34" width="7.453125" bestFit="1" customWidth="1"/>
    <col min="35" max="35" width="11.08984375" bestFit="1" customWidth="1"/>
    <col min="36" max="36" width="9.1796875" bestFit="1" customWidth="1"/>
    <col min="37" max="37" width="6.1796875" bestFit="1" customWidth="1"/>
    <col min="38" max="38" width="10.81640625" bestFit="1" customWidth="1"/>
    <col min="39" max="39" width="8.1796875" bestFit="1" customWidth="1"/>
    <col min="40" max="40" width="7.1796875" bestFit="1" customWidth="1"/>
    <col min="41" max="41" width="6.1796875" bestFit="1" customWidth="1"/>
    <col min="42" max="42" width="5" customWidth="1"/>
    <col min="43" max="43" width="18.7265625" customWidth="1"/>
  </cols>
  <sheetData>
    <row r="1" spans="1:43" x14ac:dyDescent="0.35">
      <c r="A1" t="s">
        <v>0</v>
      </c>
      <c r="B1" t="s">
        <v>1</v>
      </c>
      <c r="C1" t="s">
        <v>868</v>
      </c>
      <c r="D1" t="s">
        <v>2</v>
      </c>
      <c r="E1" t="s">
        <v>3</v>
      </c>
      <c r="F1" t="s">
        <v>862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Q1" s="3" t="s">
        <v>2353</v>
      </c>
    </row>
    <row r="2" spans="1:43" x14ac:dyDescent="0.35">
      <c r="A2" t="s">
        <v>857</v>
      </c>
      <c r="B2" t="s">
        <v>39</v>
      </c>
      <c r="C2" t="s">
        <v>867</v>
      </c>
      <c r="D2">
        <v>1987</v>
      </c>
      <c r="E2">
        <v>27</v>
      </c>
      <c r="F2" t="s">
        <v>40</v>
      </c>
      <c r="G2" t="s">
        <v>41</v>
      </c>
      <c r="H2">
        <v>5500000</v>
      </c>
      <c r="I2">
        <v>4500000</v>
      </c>
      <c r="J2" t="s">
        <v>42</v>
      </c>
      <c r="K2">
        <v>13</v>
      </c>
      <c r="L2">
        <v>269</v>
      </c>
      <c r="M2">
        <v>0</v>
      </c>
      <c r="N2">
        <v>86</v>
      </c>
      <c r="O2">
        <v>0</v>
      </c>
      <c r="P2">
        <v>0</v>
      </c>
      <c r="Q2">
        <v>0</v>
      </c>
      <c r="R2">
        <v>11</v>
      </c>
      <c r="S2">
        <v>2</v>
      </c>
      <c r="T2">
        <v>5</v>
      </c>
      <c r="U2">
        <v>1</v>
      </c>
      <c r="V2">
        <v>0</v>
      </c>
      <c r="W2">
        <v>5</v>
      </c>
      <c r="X2">
        <v>0</v>
      </c>
      <c r="Y2">
        <v>0</v>
      </c>
      <c r="Z2">
        <v>0</v>
      </c>
      <c r="AA2">
        <v>1</v>
      </c>
      <c r="AB2">
        <v>0</v>
      </c>
      <c r="AC2">
        <v>0</v>
      </c>
      <c r="AD2">
        <v>0</v>
      </c>
      <c r="AE2">
        <v>2</v>
      </c>
      <c r="AF2">
        <v>0</v>
      </c>
      <c r="AG2">
        <v>0</v>
      </c>
      <c r="AH2">
        <v>11</v>
      </c>
      <c r="AI2">
        <v>0</v>
      </c>
      <c r="AJ2">
        <v>4</v>
      </c>
      <c r="AK2">
        <v>0</v>
      </c>
      <c r="AL2">
        <v>0</v>
      </c>
      <c r="AM2">
        <v>7</v>
      </c>
      <c r="AN2">
        <v>9</v>
      </c>
      <c r="AO2">
        <v>20</v>
      </c>
      <c r="AQ2" t="str">
        <f>IF(J2 = "FW", REPLACE(J2,1,2,"Forward"),IF(J2 = "DF", "Defensive Forward", "Midfielder"))</f>
        <v>Forward</v>
      </c>
    </row>
    <row r="3" spans="1:43" x14ac:dyDescent="0.35">
      <c r="A3" t="s">
        <v>856</v>
      </c>
      <c r="B3" t="s">
        <v>43</v>
      </c>
      <c r="C3" t="s">
        <v>870</v>
      </c>
      <c r="D3">
        <v>1992</v>
      </c>
      <c r="E3">
        <v>25</v>
      </c>
      <c r="F3" t="s">
        <v>44</v>
      </c>
      <c r="G3" t="s">
        <v>45</v>
      </c>
      <c r="H3">
        <v>44000000</v>
      </c>
      <c r="I3">
        <v>58500000</v>
      </c>
      <c r="J3" t="s">
        <v>42</v>
      </c>
      <c r="K3">
        <v>31</v>
      </c>
      <c r="L3">
        <v>2067</v>
      </c>
      <c r="M3">
        <v>11</v>
      </c>
      <c r="N3">
        <v>576</v>
      </c>
      <c r="O3">
        <v>6</v>
      </c>
      <c r="P3">
        <v>7</v>
      </c>
      <c r="Q3">
        <v>0</v>
      </c>
      <c r="R3">
        <v>7</v>
      </c>
      <c r="S3">
        <v>12</v>
      </c>
      <c r="T3">
        <v>79</v>
      </c>
      <c r="U3">
        <v>34</v>
      </c>
      <c r="V3">
        <v>1</v>
      </c>
      <c r="W3">
        <v>13</v>
      </c>
      <c r="X3">
        <v>7</v>
      </c>
      <c r="Y3">
        <v>0</v>
      </c>
      <c r="Z3">
        <v>0</v>
      </c>
      <c r="AA3">
        <v>29</v>
      </c>
      <c r="AB3">
        <v>3</v>
      </c>
      <c r="AC3">
        <v>45</v>
      </c>
      <c r="AD3">
        <v>0</v>
      </c>
      <c r="AE3">
        <v>19</v>
      </c>
      <c r="AF3">
        <v>4</v>
      </c>
      <c r="AG3">
        <v>6</v>
      </c>
      <c r="AH3">
        <v>41</v>
      </c>
      <c r="AI3">
        <v>0</v>
      </c>
      <c r="AJ3">
        <v>13</v>
      </c>
      <c r="AK3">
        <v>0</v>
      </c>
      <c r="AL3">
        <v>0</v>
      </c>
      <c r="AM3">
        <v>20</v>
      </c>
      <c r="AN3">
        <v>54</v>
      </c>
      <c r="AO3">
        <v>59</v>
      </c>
      <c r="AQ3" t="str">
        <f t="shared" ref="AQ3:AQ65" si="0">IF(J3 = "FW", REPLACE(J3,1,2,"Forward"),IF(J3 = "DF", "Defensive Forward", "Midfielder"))</f>
        <v>Forward</v>
      </c>
    </row>
    <row r="4" spans="1:43" x14ac:dyDescent="0.35">
      <c r="A4" t="s">
        <v>856</v>
      </c>
      <c r="B4" t="s">
        <v>46</v>
      </c>
      <c r="C4" t="s">
        <v>871</v>
      </c>
      <c r="D4">
        <v>1992</v>
      </c>
      <c r="E4">
        <v>25</v>
      </c>
      <c r="F4" t="s">
        <v>44</v>
      </c>
      <c r="G4" t="s">
        <v>45</v>
      </c>
      <c r="H4">
        <v>58500000</v>
      </c>
      <c r="I4">
        <v>45000000</v>
      </c>
      <c r="J4" t="s">
        <v>42</v>
      </c>
      <c r="K4">
        <v>16</v>
      </c>
      <c r="L4">
        <v>943</v>
      </c>
      <c r="M4">
        <v>5</v>
      </c>
      <c r="N4">
        <v>229</v>
      </c>
      <c r="O4">
        <v>0</v>
      </c>
      <c r="P4">
        <v>0</v>
      </c>
      <c r="Q4">
        <v>0</v>
      </c>
      <c r="R4">
        <v>5</v>
      </c>
      <c r="S4">
        <v>7</v>
      </c>
      <c r="T4">
        <v>35</v>
      </c>
      <c r="U4">
        <v>16</v>
      </c>
      <c r="V4">
        <v>0</v>
      </c>
      <c r="W4">
        <v>4</v>
      </c>
      <c r="X4">
        <v>0</v>
      </c>
      <c r="Y4">
        <v>0</v>
      </c>
      <c r="Z4">
        <v>0</v>
      </c>
      <c r="AA4">
        <v>20</v>
      </c>
      <c r="AB4">
        <v>1</v>
      </c>
      <c r="AC4">
        <v>19</v>
      </c>
      <c r="AD4">
        <v>0</v>
      </c>
      <c r="AE4">
        <v>3</v>
      </c>
      <c r="AF4">
        <v>1</v>
      </c>
      <c r="AG4">
        <v>0</v>
      </c>
      <c r="AH4">
        <v>19</v>
      </c>
      <c r="AI4">
        <v>0</v>
      </c>
      <c r="AJ4">
        <v>8</v>
      </c>
      <c r="AK4">
        <v>0</v>
      </c>
      <c r="AL4">
        <v>0</v>
      </c>
      <c r="AM4">
        <v>6</v>
      </c>
      <c r="AN4">
        <v>18</v>
      </c>
      <c r="AO4">
        <v>28</v>
      </c>
      <c r="AQ4" t="str">
        <f t="shared" si="0"/>
        <v>Forward</v>
      </c>
    </row>
    <row r="5" spans="1:43" x14ac:dyDescent="0.35">
      <c r="A5" t="s">
        <v>858</v>
      </c>
      <c r="B5" t="s">
        <v>47</v>
      </c>
      <c r="C5" t="s">
        <v>872</v>
      </c>
      <c r="D5">
        <v>1985</v>
      </c>
      <c r="E5">
        <v>30</v>
      </c>
      <c r="F5" t="s">
        <v>48</v>
      </c>
      <c r="G5" t="s">
        <v>45</v>
      </c>
      <c r="H5">
        <v>8250000</v>
      </c>
      <c r="I5">
        <v>6750000</v>
      </c>
      <c r="J5" t="s">
        <v>42</v>
      </c>
      <c r="K5">
        <v>36</v>
      </c>
      <c r="L5">
        <v>2877</v>
      </c>
      <c r="M5">
        <v>9</v>
      </c>
      <c r="N5">
        <v>862</v>
      </c>
      <c r="O5">
        <v>4</v>
      </c>
      <c r="P5">
        <v>5</v>
      </c>
      <c r="Q5">
        <v>0</v>
      </c>
      <c r="R5">
        <v>3</v>
      </c>
      <c r="S5">
        <v>13</v>
      </c>
      <c r="T5">
        <v>69</v>
      </c>
      <c r="U5">
        <v>23</v>
      </c>
      <c r="V5">
        <v>0</v>
      </c>
      <c r="W5">
        <v>46</v>
      </c>
      <c r="X5">
        <v>1</v>
      </c>
      <c r="Y5">
        <v>0</v>
      </c>
      <c r="Z5">
        <v>0</v>
      </c>
      <c r="AA5">
        <v>17</v>
      </c>
      <c r="AB5">
        <v>3</v>
      </c>
      <c r="AC5">
        <v>5</v>
      </c>
      <c r="AD5">
        <v>0</v>
      </c>
      <c r="AE5">
        <v>8</v>
      </c>
      <c r="AF5">
        <v>3</v>
      </c>
      <c r="AG5">
        <v>10</v>
      </c>
      <c r="AH5">
        <v>45</v>
      </c>
      <c r="AI5">
        <v>0</v>
      </c>
      <c r="AJ5">
        <v>18</v>
      </c>
      <c r="AK5">
        <v>0</v>
      </c>
      <c r="AL5">
        <v>0</v>
      </c>
      <c r="AM5">
        <v>65</v>
      </c>
      <c r="AN5">
        <v>175</v>
      </c>
      <c r="AO5">
        <v>177</v>
      </c>
      <c r="AQ5" t="str">
        <f t="shared" si="0"/>
        <v>Forward</v>
      </c>
    </row>
    <row r="6" spans="1:43" x14ac:dyDescent="0.35">
      <c r="A6" t="s">
        <v>49</v>
      </c>
      <c r="B6" t="s">
        <v>46</v>
      </c>
      <c r="C6" t="s">
        <v>873</v>
      </c>
      <c r="D6">
        <v>1989</v>
      </c>
      <c r="E6">
        <v>28</v>
      </c>
      <c r="F6" t="s">
        <v>50</v>
      </c>
      <c r="G6" t="s">
        <v>51</v>
      </c>
      <c r="H6">
        <v>13200000</v>
      </c>
      <c r="I6">
        <v>9900000</v>
      </c>
      <c r="J6" t="s">
        <v>52</v>
      </c>
      <c r="K6">
        <v>20</v>
      </c>
      <c r="L6">
        <v>1590</v>
      </c>
      <c r="M6">
        <v>0</v>
      </c>
      <c r="N6">
        <v>812</v>
      </c>
      <c r="O6">
        <v>1</v>
      </c>
      <c r="P6">
        <v>1</v>
      </c>
      <c r="Q6">
        <v>0</v>
      </c>
      <c r="R6">
        <v>2</v>
      </c>
      <c r="S6">
        <v>2</v>
      </c>
      <c r="T6">
        <v>11</v>
      </c>
      <c r="U6">
        <v>0</v>
      </c>
      <c r="V6">
        <v>0</v>
      </c>
      <c r="W6">
        <v>23</v>
      </c>
      <c r="X6">
        <v>0</v>
      </c>
      <c r="Y6">
        <v>0</v>
      </c>
      <c r="Z6">
        <v>0</v>
      </c>
      <c r="AA6">
        <v>1</v>
      </c>
      <c r="AB6">
        <v>0</v>
      </c>
      <c r="AC6">
        <v>11</v>
      </c>
      <c r="AD6">
        <v>8</v>
      </c>
      <c r="AE6">
        <v>75</v>
      </c>
      <c r="AF6">
        <v>7</v>
      </c>
      <c r="AG6">
        <v>23</v>
      </c>
      <c r="AH6">
        <v>2</v>
      </c>
      <c r="AI6">
        <v>1</v>
      </c>
      <c r="AJ6">
        <v>29</v>
      </c>
      <c r="AK6">
        <v>0</v>
      </c>
      <c r="AL6">
        <v>0</v>
      </c>
      <c r="AM6">
        <v>42</v>
      </c>
      <c r="AN6">
        <v>25</v>
      </c>
      <c r="AO6">
        <v>18</v>
      </c>
      <c r="AQ6" t="str">
        <f t="shared" si="0"/>
        <v>Defensive Forward</v>
      </c>
    </row>
    <row r="7" spans="1:43" x14ac:dyDescent="0.35">
      <c r="A7" t="s">
        <v>49</v>
      </c>
      <c r="B7" t="s">
        <v>43</v>
      </c>
      <c r="C7" t="s">
        <v>874</v>
      </c>
      <c r="D7">
        <v>1989</v>
      </c>
      <c r="E7">
        <v>28</v>
      </c>
      <c r="F7" t="s">
        <v>50</v>
      </c>
      <c r="G7" t="s">
        <v>51</v>
      </c>
      <c r="H7">
        <v>13200000</v>
      </c>
      <c r="I7">
        <v>13200000</v>
      </c>
      <c r="J7" t="s">
        <v>52</v>
      </c>
      <c r="K7">
        <v>36</v>
      </c>
      <c r="L7">
        <v>3071</v>
      </c>
      <c r="M7">
        <v>1</v>
      </c>
      <c r="N7">
        <v>1299</v>
      </c>
      <c r="O7">
        <v>7</v>
      </c>
      <c r="P7">
        <v>7</v>
      </c>
      <c r="Q7">
        <v>0</v>
      </c>
      <c r="R7">
        <v>1</v>
      </c>
      <c r="S7">
        <v>5</v>
      </c>
      <c r="T7">
        <v>21</v>
      </c>
      <c r="U7">
        <v>6</v>
      </c>
      <c r="V7">
        <v>2</v>
      </c>
      <c r="W7">
        <v>67</v>
      </c>
      <c r="X7">
        <v>0</v>
      </c>
      <c r="Y7">
        <v>0</v>
      </c>
      <c r="Z7">
        <v>1</v>
      </c>
      <c r="AA7">
        <v>3</v>
      </c>
      <c r="AB7">
        <v>3</v>
      </c>
      <c r="AC7">
        <v>15</v>
      </c>
      <c r="AD7">
        <v>67</v>
      </c>
      <c r="AE7">
        <v>196</v>
      </c>
      <c r="AF7">
        <v>17</v>
      </c>
      <c r="AG7">
        <v>44</v>
      </c>
      <c r="AH7">
        <v>20</v>
      </c>
      <c r="AI7">
        <v>0</v>
      </c>
      <c r="AJ7">
        <v>34</v>
      </c>
      <c r="AK7">
        <v>0</v>
      </c>
      <c r="AL7">
        <v>0</v>
      </c>
      <c r="AM7">
        <v>110</v>
      </c>
      <c r="AN7">
        <v>57</v>
      </c>
      <c r="AO7">
        <v>48</v>
      </c>
      <c r="AQ7" t="str">
        <f t="shared" si="0"/>
        <v>Defensive Forward</v>
      </c>
    </row>
    <row r="8" spans="1:43" x14ac:dyDescent="0.35">
      <c r="A8" t="s">
        <v>49</v>
      </c>
      <c r="B8" t="s">
        <v>39</v>
      </c>
      <c r="C8" t="s">
        <v>875</v>
      </c>
      <c r="D8">
        <v>1989</v>
      </c>
      <c r="E8">
        <v>25</v>
      </c>
      <c r="F8" t="s">
        <v>50</v>
      </c>
      <c r="G8" t="s">
        <v>51</v>
      </c>
      <c r="H8">
        <v>9900000</v>
      </c>
      <c r="I8">
        <v>13200000</v>
      </c>
      <c r="J8" t="s">
        <v>52</v>
      </c>
      <c r="K8">
        <v>37</v>
      </c>
      <c r="L8">
        <v>3315</v>
      </c>
      <c r="M8">
        <v>2</v>
      </c>
      <c r="N8">
        <v>1377</v>
      </c>
      <c r="O8">
        <v>4</v>
      </c>
      <c r="P8">
        <v>1</v>
      </c>
      <c r="Q8">
        <v>0</v>
      </c>
      <c r="R8">
        <v>0</v>
      </c>
      <c r="S8">
        <v>1</v>
      </c>
      <c r="T8">
        <v>28</v>
      </c>
      <c r="U8">
        <v>7</v>
      </c>
      <c r="V8">
        <v>1</v>
      </c>
      <c r="W8">
        <v>52</v>
      </c>
      <c r="X8">
        <v>0</v>
      </c>
      <c r="Y8">
        <v>0</v>
      </c>
      <c r="Z8">
        <v>0</v>
      </c>
      <c r="AA8">
        <v>1</v>
      </c>
      <c r="AB8">
        <v>1</v>
      </c>
      <c r="AC8">
        <v>0</v>
      </c>
      <c r="AD8">
        <v>0</v>
      </c>
      <c r="AE8">
        <v>121</v>
      </c>
      <c r="AF8">
        <v>17</v>
      </c>
      <c r="AG8">
        <v>70</v>
      </c>
      <c r="AH8">
        <v>22</v>
      </c>
      <c r="AI8">
        <v>0</v>
      </c>
      <c r="AJ8">
        <v>38</v>
      </c>
      <c r="AK8">
        <v>3</v>
      </c>
      <c r="AL8">
        <v>0</v>
      </c>
      <c r="AM8">
        <v>88</v>
      </c>
      <c r="AN8">
        <v>40</v>
      </c>
      <c r="AO8">
        <v>34</v>
      </c>
      <c r="AQ8" t="str">
        <f t="shared" si="0"/>
        <v>Defensive Forward</v>
      </c>
    </row>
    <row r="9" spans="1:43" x14ac:dyDescent="0.35">
      <c r="A9" t="s">
        <v>49</v>
      </c>
      <c r="B9" t="s">
        <v>47</v>
      </c>
      <c r="C9" t="s">
        <v>876</v>
      </c>
      <c r="D9">
        <v>1989</v>
      </c>
      <c r="E9">
        <v>26</v>
      </c>
      <c r="F9" t="s">
        <v>50</v>
      </c>
      <c r="G9" t="s">
        <v>51</v>
      </c>
      <c r="H9">
        <v>13200000</v>
      </c>
      <c r="I9">
        <v>13200000</v>
      </c>
      <c r="J9" t="s">
        <v>52</v>
      </c>
      <c r="K9">
        <v>26</v>
      </c>
      <c r="L9">
        <v>2117</v>
      </c>
      <c r="M9">
        <v>0</v>
      </c>
      <c r="N9">
        <v>758</v>
      </c>
      <c r="O9">
        <v>2</v>
      </c>
      <c r="P9">
        <v>2</v>
      </c>
      <c r="Q9">
        <v>1</v>
      </c>
      <c r="R9">
        <v>2</v>
      </c>
      <c r="S9">
        <v>3</v>
      </c>
      <c r="T9">
        <v>11</v>
      </c>
      <c r="U9">
        <v>2</v>
      </c>
      <c r="V9">
        <v>0</v>
      </c>
      <c r="W9">
        <v>27</v>
      </c>
      <c r="X9">
        <v>0</v>
      </c>
      <c r="Y9">
        <v>0</v>
      </c>
      <c r="Z9">
        <v>0</v>
      </c>
      <c r="AA9">
        <v>4</v>
      </c>
      <c r="AB9">
        <v>0</v>
      </c>
      <c r="AC9">
        <v>1</v>
      </c>
      <c r="AD9">
        <v>0</v>
      </c>
      <c r="AE9">
        <v>97</v>
      </c>
      <c r="AF9">
        <v>6</v>
      </c>
      <c r="AG9">
        <v>25</v>
      </c>
      <c r="AH9">
        <v>11</v>
      </c>
      <c r="AI9">
        <v>0</v>
      </c>
      <c r="AJ9">
        <v>21</v>
      </c>
      <c r="AK9">
        <v>1</v>
      </c>
      <c r="AL9">
        <v>0</v>
      </c>
      <c r="AM9">
        <v>61</v>
      </c>
      <c r="AN9">
        <v>36</v>
      </c>
      <c r="AO9">
        <v>33</v>
      </c>
      <c r="AQ9" t="str">
        <f t="shared" si="0"/>
        <v>Defensive Forward</v>
      </c>
    </row>
    <row r="10" spans="1:43" x14ac:dyDescent="0.35">
      <c r="A10" t="s">
        <v>53</v>
      </c>
      <c r="B10" t="s">
        <v>39</v>
      </c>
      <c r="C10" t="s">
        <v>877</v>
      </c>
      <c r="D10">
        <v>1987</v>
      </c>
      <c r="E10">
        <v>28</v>
      </c>
      <c r="F10" t="s">
        <v>54</v>
      </c>
      <c r="G10" t="s">
        <v>51</v>
      </c>
      <c r="H10">
        <v>9350000</v>
      </c>
      <c r="I10">
        <v>6600000</v>
      </c>
      <c r="J10" t="s">
        <v>55</v>
      </c>
      <c r="K10">
        <v>25</v>
      </c>
      <c r="L10">
        <v>1539</v>
      </c>
      <c r="M10">
        <v>5</v>
      </c>
      <c r="N10">
        <v>477</v>
      </c>
      <c r="O10">
        <v>0</v>
      </c>
      <c r="P10">
        <v>1</v>
      </c>
      <c r="Q10">
        <v>0</v>
      </c>
      <c r="R10">
        <v>8</v>
      </c>
      <c r="S10">
        <v>8</v>
      </c>
      <c r="T10">
        <v>18</v>
      </c>
      <c r="U10">
        <v>11</v>
      </c>
      <c r="V10">
        <v>0</v>
      </c>
      <c r="W10">
        <v>5</v>
      </c>
      <c r="X10">
        <v>0</v>
      </c>
      <c r="Y10">
        <v>0</v>
      </c>
      <c r="Z10">
        <v>0</v>
      </c>
      <c r="AA10">
        <v>1</v>
      </c>
      <c r="AB10">
        <v>0</v>
      </c>
      <c r="AC10">
        <v>0</v>
      </c>
      <c r="AD10">
        <v>1</v>
      </c>
      <c r="AE10">
        <v>34</v>
      </c>
      <c r="AF10">
        <v>0</v>
      </c>
      <c r="AG10">
        <v>8</v>
      </c>
      <c r="AH10">
        <v>13</v>
      </c>
      <c r="AI10">
        <v>0</v>
      </c>
      <c r="AJ10">
        <v>35</v>
      </c>
      <c r="AK10">
        <v>0</v>
      </c>
      <c r="AL10">
        <v>0</v>
      </c>
      <c r="AM10">
        <v>15</v>
      </c>
      <c r="AN10">
        <v>1</v>
      </c>
      <c r="AO10">
        <v>4</v>
      </c>
      <c r="AQ10" t="str">
        <f t="shared" si="0"/>
        <v>Midfielder</v>
      </c>
    </row>
    <row r="11" spans="1:43" x14ac:dyDescent="0.35">
      <c r="A11" t="s">
        <v>53</v>
      </c>
      <c r="B11" t="s">
        <v>47</v>
      </c>
      <c r="C11" t="s">
        <v>878</v>
      </c>
      <c r="D11">
        <v>1987</v>
      </c>
      <c r="E11">
        <v>29</v>
      </c>
      <c r="F11" t="s">
        <v>54</v>
      </c>
      <c r="G11" t="s">
        <v>51</v>
      </c>
      <c r="H11">
        <v>6600000</v>
      </c>
      <c r="I11">
        <v>5500000</v>
      </c>
      <c r="J11" t="s">
        <v>55</v>
      </c>
      <c r="K11">
        <v>11</v>
      </c>
      <c r="L11">
        <v>509</v>
      </c>
      <c r="M11">
        <v>0</v>
      </c>
      <c r="N11">
        <v>134</v>
      </c>
      <c r="O11">
        <v>1</v>
      </c>
      <c r="P11">
        <v>0</v>
      </c>
      <c r="Q11">
        <v>0</v>
      </c>
      <c r="R11">
        <v>5</v>
      </c>
      <c r="S11">
        <v>5</v>
      </c>
      <c r="T11">
        <v>5</v>
      </c>
      <c r="U11">
        <v>0</v>
      </c>
      <c r="V11">
        <v>0</v>
      </c>
      <c r="W11">
        <v>1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11</v>
      </c>
      <c r="AF11">
        <v>1</v>
      </c>
      <c r="AG11">
        <v>3</v>
      </c>
      <c r="AH11">
        <v>1</v>
      </c>
      <c r="AI11">
        <v>0</v>
      </c>
      <c r="AJ11">
        <v>13</v>
      </c>
      <c r="AK11">
        <v>0</v>
      </c>
      <c r="AL11">
        <v>0</v>
      </c>
      <c r="AM11">
        <v>9</v>
      </c>
      <c r="AN11">
        <v>0</v>
      </c>
      <c r="AO11">
        <v>5</v>
      </c>
      <c r="AQ11" t="str">
        <f t="shared" si="0"/>
        <v>Midfielder</v>
      </c>
    </row>
    <row r="12" spans="1:43" x14ac:dyDescent="0.35">
      <c r="A12" t="s">
        <v>53</v>
      </c>
      <c r="B12" t="s">
        <v>46</v>
      </c>
      <c r="C12" t="s">
        <v>879</v>
      </c>
      <c r="D12">
        <v>1987</v>
      </c>
      <c r="E12">
        <v>31</v>
      </c>
      <c r="F12" t="s">
        <v>56</v>
      </c>
      <c r="G12" t="s">
        <v>51</v>
      </c>
      <c r="H12">
        <v>5500000</v>
      </c>
      <c r="I12">
        <v>5500000</v>
      </c>
      <c r="J12" t="s">
        <v>55</v>
      </c>
      <c r="K12">
        <v>16</v>
      </c>
      <c r="L12">
        <v>1215</v>
      </c>
      <c r="M12">
        <v>1</v>
      </c>
      <c r="N12">
        <v>277</v>
      </c>
      <c r="O12">
        <v>1</v>
      </c>
      <c r="P12">
        <v>1</v>
      </c>
      <c r="Q12">
        <v>0</v>
      </c>
      <c r="R12">
        <v>2</v>
      </c>
      <c r="S12">
        <v>4</v>
      </c>
      <c r="T12">
        <v>4</v>
      </c>
      <c r="U12">
        <v>2</v>
      </c>
      <c r="V12">
        <v>0</v>
      </c>
      <c r="W12">
        <v>2</v>
      </c>
      <c r="X12">
        <v>0</v>
      </c>
      <c r="Y12">
        <v>0</v>
      </c>
      <c r="Z12">
        <v>0</v>
      </c>
      <c r="AA12">
        <v>0</v>
      </c>
      <c r="AB12">
        <v>1</v>
      </c>
      <c r="AC12">
        <v>2</v>
      </c>
      <c r="AD12">
        <v>0</v>
      </c>
      <c r="AE12">
        <v>24</v>
      </c>
      <c r="AF12">
        <v>0</v>
      </c>
      <c r="AG12">
        <v>10</v>
      </c>
      <c r="AH12">
        <v>12</v>
      </c>
      <c r="AI12">
        <v>0</v>
      </c>
      <c r="AJ12">
        <v>26</v>
      </c>
      <c r="AK12">
        <v>0</v>
      </c>
      <c r="AL12">
        <v>0</v>
      </c>
      <c r="AM12">
        <v>12</v>
      </c>
      <c r="AN12">
        <v>2</v>
      </c>
      <c r="AO12">
        <v>12</v>
      </c>
      <c r="AQ12" t="str">
        <f t="shared" si="0"/>
        <v>Midfielder</v>
      </c>
    </row>
    <row r="13" spans="1:43" x14ac:dyDescent="0.35">
      <c r="A13" t="s">
        <v>53</v>
      </c>
      <c r="B13" t="s">
        <v>43</v>
      </c>
      <c r="C13" t="s">
        <v>880</v>
      </c>
      <c r="D13">
        <v>1987</v>
      </c>
      <c r="E13">
        <v>30</v>
      </c>
      <c r="F13" t="s">
        <v>56</v>
      </c>
      <c r="G13" t="s">
        <v>51</v>
      </c>
      <c r="H13">
        <v>5500000</v>
      </c>
      <c r="I13">
        <v>5500000</v>
      </c>
      <c r="J13" t="s">
        <v>55</v>
      </c>
      <c r="K13">
        <v>29</v>
      </c>
      <c r="L13">
        <v>1916</v>
      </c>
      <c r="M13">
        <v>0</v>
      </c>
      <c r="N13">
        <v>468</v>
      </c>
      <c r="O13">
        <v>2</v>
      </c>
      <c r="P13">
        <v>2</v>
      </c>
      <c r="Q13">
        <v>0</v>
      </c>
      <c r="R13">
        <v>7</v>
      </c>
      <c r="S13">
        <v>14</v>
      </c>
      <c r="T13">
        <v>14</v>
      </c>
      <c r="U13">
        <v>5</v>
      </c>
      <c r="V13">
        <v>1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9</v>
      </c>
      <c r="AD13">
        <v>0</v>
      </c>
      <c r="AE13">
        <v>38</v>
      </c>
      <c r="AF13">
        <v>6</v>
      </c>
      <c r="AG13">
        <v>19</v>
      </c>
      <c r="AH13">
        <v>21</v>
      </c>
      <c r="AI13">
        <v>0</v>
      </c>
      <c r="AJ13">
        <v>37</v>
      </c>
      <c r="AK13">
        <v>0</v>
      </c>
      <c r="AL13">
        <v>0</v>
      </c>
      <c r="AM13">
        <v>16</v>
      </c>
      <c r="AN13">
        <v>12</v>
      </c>
      <c r="AO13">
        <v>19</v>
      </c>
      <c r="AQ13" t="str">
        <f t="shared" si="0"/>
        <v>Midfielder</v>
      </c>
    </row>
    <row r="14" spans="1:43" x14ac:dyDescent="0.35">
      <c r="A14" t="s">
        <v>57</v>
      </c>
      <c r="B14" t="s">
        <v>43</v>
      </c>
      <c r="C14" t="s">
        <v>881</v>
      </c>
      <c r="D14">
        <v>1990</v>
      </c>
      <c r="E14">
        <v>27</v>
      </c>
      <c r="F14" t="s">
        <v>58</v>
      </c>
      <c r="G14" t="s">
        <v>59</v>
      </c>
      <c r="H14">
        <v>5500000</v>
      </c>
      <c r="I14">
        <v>11000000</v>
      </c>
      <c r="J14" t="s">
        <v>55</v>
      </c>
      <c r="K14">
        <v>36</v>
      </c>
      <c r="L14">
        <v>3071</v>
      </c>
      <c r="M14">
        <v>4</v>
      </c>
      <c r="N14">
        <v>1902</v>
      </c>
      <c r="O14">
        <v>3</v>
      </c>
      <c r="P14">
        <v>5</v>
      </c>
      <c r="Q14">
        <v>0</v>
      </c>
      <c r="R14">
        <v>2</v>
      </c>
      <c r="S14">
        <v>5</v>
      </c>
      <c r="T14">
        <v>29</v>
      </c>
      <c r="U14">
        <v>7</v>
      </c>
      <c r="V14">
        <v>1</v>
      </c>
      <c r="W14">
        <v>9</v>
      </c>
      <c r="X14">
        <v>0</v>
      </c>
      <c r="Y14">
        <v>1</v>
      </c>
      <c r="Z14">
        <v>0</v>
      </c>
      <c r="AA14">
        <v>2</v>
      </c>
      <c r="AB14">
        <v>4</v>
      </c>
      <c r="AC14">
        <v>22</v>
      </c>
      <c r="AD14">
        <v>78</v>
      </c>
      <c r="AE14">
        <v>185</v>
      </c>
      <c r="AF14">
        <v>5</v>
      </c>
      <c r="AG14">
        <v>38</v>
      </c>
      <c r="AH14">
        <v>26</v>
      </c>
      <c r="AI14">
        <v>0</v>
      </c>
      <c r="AJ14">
        <v>102</v>
      </c>
      <c r="AK14">
        <v>0</v>
      </c>
      <c r="AL14">
        <v>0</v>
      </c>
      <c r="AM14">
        <v>48</v>
      </c>
      <c r="AN14">
        <v>0</v>
      </c>
      <c r="AO14">
        <v>39</v>
      </c>
      <c r="AQ14" t="str">
        <f t="shared" si="0"/>
        <v>Midfielder</v>
      </c>
    </row>
    <row r="15" spans="1:43" x14ac:dyDescent="0.35">
      <c r="A15" t="s">
        <v>57</v>
      </c>
      <c r="B15" t="s">
        <v>46</v>
      </c>
      <c r="C15" t="s">
        <v>882</v>
      </c>
      <c r="D15">
        <v>1990</v>
      </c>
      <c r="E15">
        <v>27</v>
      </c>
      <c r="F15" t="s">
        <v>58</v>
      </c>
      <c r="G15" t="s">
        <v>59</v>
      </c>
      <c r="H15">
        <v>11000000</v>
      </c>
      <c r="I15">
        <v>15400000</v>
      </c>
      <c r="J15" t="s">
        <v>55</v>
      </c>
      <c r="K15">
        <v>29</v>
      </c>
      <c r="L15">
        <v>2327</v>
      </c>
      <c r="M15">
        <v>3</v>
      </c>
      <c r="N15">
        <v>1278</v>
      </c>
      <c r="O15">
        <v>1</v>
      </c>
      <c r="P15">
        <v>4</v>
      </c>
      <c r="Q15">
        <v>0</v>
      </c>
      <c r="R15">
        <v>4</v>
      </c>
      <c r="S15">
        <v>1</v>
      </c>
      <c r="T15">
        <v>43</v>
      </c>
      <c r="U15">
        <v>14</v>
      </c>
      <c r="V15">
        <v>1</v>
      </c>
      <c r="W15">
        <v>7</v>
      </c>
      <c r="X15">
        <v>0</v>
      </c>
      <c r="Y15">
        <v>0</v>
      </c>
      <c r="Z15">
        <v>1</v>
      </c>
      <c r="AA15">
        <v>1</v>
      </c>
      <c r="AB15">
        <v>2</v>
      </c>
      <c r="AC15">
        <v>29</v>
      </c>
      <c r="AD15">
        <v>75</v>
      </c>
      <c r="AE15">
        <v>137</v>
      </c>
      <c r="AF15">
        <v>7</v>
      </c>
      <c r="AG15">
        <v>15</v>
      </c>
      <c r="AH15">
        <v>26</v>
      </c>
      <c r="AI15">
        <v>0</v>
      </c>
      <c r="AJ15">
        <v>62</v>
      </c>
      <c r="AK15">
        <v>0</v>
      </c>
      <c r="AL15">
        <v>0</v>
      </c>
      <c r="AM15">
        <v>21</v>
      </c>
      <c r="AN15">
        <v>15</v>
      </c>
      <c r="AO15">
        <v>27</v>
      </c>
      <c r="AQ15" t="str">
        <f t="shared" si="0"/>
        <v>Midfielder</v>
      </c>
    </row>
    <row r="16" spans="1:43" x14ac:dyDescent="0.35">
      <c r="A16" t="s">
        <v>60</v>
      </c>
      <c r="B16" t="s">
        <v>39</v>
      </c>
      <c r="C16" t="s">
        <v>883</v>
      </c>
      <c r="D16">
        <v>1990</v>
      </c>
      <c r="E16">
        <v>24</v>
      </c>
      <c r="F16" t="s">
        <v>61</v>
      </c>
      <c r="G16" t="s">
        <v>62</v>
      </c>
      <c r="H16">
        <v>30800000</v>
      </c>
      <c r="I16">
        <v>33000000</v>
      </c>
      <c r="J16" t="s">
        <v>55</v>
      </c>
      <c r="K16">
        <v>31</v>
      </c>
      <c r="L16">
        <v>2623</v>
      </c>
      <c r="M16">
        <v>5</v>
      </c>
      <c r="N16">
        <v>2154</v>
      </c>
      <c r="O16">
        <v>4</v>
      </c>
      <c r="P16">
        <v>4</v>
      </c>
      <c r="Q16">
        <v>0</v>
      </c>
      <c r="R16">
        <v>2</v>
      </c>
      <c r="S16">
        <v>2</v>
      </c>
      <c r="T16">
        <v>69</v>
      </c>
      <c r="U16">
        <v>21</v>
      </c>
      <c r="V16">
        <v>2</v>
      </c>
      <c r="W16">
        <v>9</v>
      </c>
      <c r="X16">
        <v>0</v>
      </c>
      <c r="Y16">
        <v>0</v>
      </c>
      <c r="Z16">
        <v>0</v>
      </c>
      <c r="AA16">
        <v>5</v>
      </c>
      <c r="AB16">
        <v>20</v>
      </c>
      <c r="AC16">
        <v>9</v>
      </c>
      <c r="AD16">
        <v>9</v>
      </c>
      <c r="AE16">
        <v>50</v>
      </c>
      <c r="AF16">
        <v>11</v>
      </c>
      <c r="AG16">
        <v>56</v>
      </c>
      <c r="AH16">
        <v>47</v>
      </c>
      <c r="AI16">
        <v>0</v>
      </c>
      <c r="AJ16">
        <v>78</v>
      </c>
      <c r="AK16">
        <v>0</v>
      </c>
      <c r="AL16">
        <v>0</v>
      </c>
      <c r="AM16">
        <v>20</v>
      </c>
      <c r="AN16">
        <v>27</v>
      </c>
      <c r="AO16">
        <v>26</v>
      </c>
      <c r="AQ16" t="str">
        <f t="shared" si="0"/>
        <v>Midfielder</v>
      </c>
    </row>
    <row r="17" spans="1:43" x14ac:dyDescent="0.35">
      <c r="A17" t="s">
        <v>60</v>
      </c>
      <c r="B17" t="s">
        <v>47</v>
      </c>
      <c r="C17" t="s">
        <v>884</v>
      </c>
      <c r="D17">
        <v>1990</v>
      </c>
      <c r="E17">
        <v>25</v>
      </c>
      <c r="F17" t="s">
        <v>61</v>
      </c>
      <c r="G17" t="s">
        <v>62</v>
      </c>
      <c r="H17">
        <v>33000000</v>
      </c>
      <c r="I17">
        <v>38500000</v>
      </c>
      <c r="J17" t="s">
        <v>55</v>
      </c>
      <c r="K17">
        <v>23</v>
      </c>
      <c r="L17">
        <v>1229</v>
      </c>
      <c r="M17">
        <v>1</v>
      </c>
      <c r="N17">
        <v>920</v>
      </c>
      <c r="O17">
        <v>4</v>
      </c>
      <c r="P17">
        <v>3</v>
      </c>
      <c r="Q17">
        <v>0</v>
      </c>
      <c r="R17">
        <v>10</v>
      </c>
      <c r="S17">
        <v>3</v>
      </c>
      <c r="T17">
        <v>42</v>
      </c>
      <c r="U17">
        <v>12</v>
      </c>
      <c r="V17">
        <v>0</v>
      </c>
      <c r="W17">
        <v>3</v>
      </c>
      <c r="X17">
        <v>0</v>
      </c>
      <c r="Y17">
        <v>0</v>
      </c>
      <c r="Z17">
        <v>0</v>
      </c>
      <c r="AA17">
        <v>2</v>
      </c>
      <c r="AB17">
        <v>3</v>
      </c>
      <c r="AC17">
        <v>2</v>
      </c>
      <c r="AD17">
        <v>0</v>
      </c>
      <c r="AE17">
        <v>19</v>
      </c>
      <c r="AF17">
        <v>3</v>
      </c>
      <c r="AG17">
        <v>11</v>
      </c>
      <c r="AH17">
        <v>15</v>
      </c>
      <c r="AI17">
        <v>0</v>
      </c>
      <c r="AJ17">
        <v>21</v>
      </c>
      <c r="AK17">
        <v>0</v>
      </c>
      <c r="AL17">
        <v>0</v>
      </c>
      <c r="AM17">
        <v>14</v>
      </c>
      <c r="AN17">
        <v>7</v>
      </c>
      <c r="AO17">
        <v>10</v>
      </c>
      <c r="AQ17" t="str">
        <f t="shared" si="0"/>
        <v>Midfielder</v>
      </c>
    </row>
    <row r="18" spans="1:43" x14ac:dyDescent="0.35">
      <c r="A18" t="s">
        <v>60</v>
      </c>
      <c r="B18" t="s">
        <v>43</v>
      </c>
      <c r="C18" t="s">
        <v>885</v>
      </c>
      <c r="D18">
        <v>1990</v>
      </c>
      <c r="E18">
        <v>27</v>
      </c>
      <c r="F18" t="s">
        <v>61</v>
      </c>
      <c r="G18" t="s">
        <v>62</v>
      </c>
      <c r="H18">
        <v>38500000</v>
      </c>
      <c r="I18">
        <v>49500000</v>
      </c>
      <c r="J18" t="s">
        <v>55</v>
      </c>
      <c r="K18">
        <v>24</v>
      </c>
      <c r="L18">
        <v>1846</v>
      </c>
      <c r="M18">
        <v>7</v>
      </c>
      <c r="N18">
        <v>1239</v>
      </c>
      <c r="O18">
        <v>8</v>
      </c>
      <c r="P18">
        <v>0</v>
      </c>
      <c r="Q18">
        <v>0</v>
      </c>
      <c r="R18">
        <v>3</v>
      </c>
      <c r="S18">
        <v>5</v>
      </c>
      <c r="T18">
        <v>56</v>
      </c>
      <c r="U18">
        <v>25</v>
      </c>
      <c r="V18">
        <v>2</v>
      </c>
      <c r="W18">
        <v>4</v>
      </c>
      <c r="X18">
        <v>0</v>
      </c>
      <c r="Y18">
        <v>0</v>
      </c>
      <c r="Z18">
        <v>0</v>
      </c>
      <c r="AA18">
        <v>0</v>
      </c>
      <c r="AB18">
        <v>10</v>
      </c>
      <c r="AC18">
        <v>31</v>
      </c>
      <c r="AD18">
        <v>0</v>
      </c>
      <c r="AE18">
        <v>17</v>
      </c>
      <c r="AF18">
        <v>3</v>
      </c>
      <c r="AG18">
        <v>24</v>
      </c>
      <c r="AH18">
        <v>28</v>
      </c>
      <c r="AI18">
        <v>0</v>
      </c>
      <c r="AJ18">
        <v>35</v>
      </c>
      <c r="AK18">
        <v>0</v>
      </c>
      <c r="AL18">
        <v>0</v>
      </c>
      <c r="AM18">
        <v>6</v>
      </c>
      <c r="AN18">
        <v>10</v>
      </c>
      <c r="AO18">
        <v>16</v>
      </c>
      <c r="AQ18" t="str">
        <f t="shared" si="0"/>
        <v>Midfielder</v>
      </c>
    </row>
    <row r="19" spans="1:43" x14ac:dyDescent="0.35">
      <c r="A19" t="s">
        <v>60</v>
      </c>
      <c r="B19" t="s">
        <v>46</v>
      </c>
      <c r="C19" t="s">
        <v>886</v>
      </c>
      <c r="D19">
        <v>1990</v>
      </c>
      <c r="E19">
        <v>27</v>
      </c>
      <c r="F19" t="s">
        <v>61</v>
      </c>
      <c r="G19" t="s">
        <v>62</v>
      </c>
      <c r="H19">
        <v>49500000</v>
      </c>
      <c r="I19">
        <v>44000000</v>
      </c>
      <c r="J19" t="s">
        <v>55</v>
      </c>
      <c r="K19">
        <v>28</v>
      </c>
      <c r="L19">
        <v>1328</v>
      </c>
      <c r="M19">
        <v>4</v>
      </c>
      <c r="N19">
        <v>773</v>
      </c>
      <c r="O19">
        <v>6</v>
      </c>
      <c r="P19">
        <v>0</v>
      </c>
      <c r="Q19">
        <v>0</v>
      </c>
      <c r="R19">
        <v>14</v>
      </c>
      <c r="S19">
        <v>10</v>
      </c>
      <c r="T19">
        <v>33</v>
      </c>
      <c r="U19">
        <v>13</v>
      </c>
      <c r="V19">
        <v>0</v>
      </c>
      <c r="W19">
        <v>0</v>
      </c>
      <c r="X19">
        <v>0</v>
      </c>
      <c r="Y19">
        <v>0</v>
      </c>
      <c r="Z19">
        <v>0</v>
      </c>
      <c r="AA19">
        <v>4</v>
      </c>
      <c r="AB19">
        <v>5</v>
      </c>
      <c r="AC19">
        <v>20</v>
      </c>
      <c r="AD19">
        <v>1</v>
      </c>
      <c r="AE19">
        <v>15</v>
      </c>
      <c r="AF19">
        <v>1</v>
      </c>
      <c r="AG19">
        <v>9</v>
      </c>
      <c r="AH19">
        <v>21</v>
      </c>
      <c r="AI19">
        <v>0</v>
      </c>
      <c r="AJ19">
        <v>34</v>
      </c>
      <c r="AK19">
        <v>0</v>
      </c>
      <c r="AL19">
        <v>0</v>
      </c>
      <c r="AM19">
        <v>3</v>
      </c>
      <c r="AN19">
        <v>13</v>
      </c>
      <c r="AO19">
        <v>21</v>
      </c>
      <c r="AQ19" t="str">
        <f t="shared" si="0"/>
        <v>Midfielder</v>
      </c>
    </row>
    <row r="20" spans="1:43" x14ac:dyDescent="0.35">
      <c r="A20" t="s">
        <v>63</v>
      </c>
      <c r="B20" t="s">
        <v>46</v>
      </c>
      <c r="C20" t="s">
        <v>887</v>
      </c>
      <c r="D20">
        <v>1997</v>
      </c>
      <c r="E20">
        <v>21</v>
      </c>
      <c r="F20" t="s">
        <v>64</v>
      </c>
      <c r="G20" t="s">
        <v>51</v>
      </c>
      <c r="H20">
        <v>900000</v>
      </c>
      <c r="I20">
        <v>31500000</v>
      </c>
      <c r="J20" t="s">
        <v>52</v>
      </c>
      <c r="K20">
        <v>35</v>
      </c>
      <c r="L20">
        <v>3135</v>
      </c>
      <c r="M20">
        <v>0</v>
      </c>
      <c r="N20">
        <v>1165</v>
      </c>
      <c r="O20">
        <v>3</v>
      </c>
      <c r="P20">
        <v>4</v>
      </c>
      <c r="Q20">
        <v>1</v>
      </c>
      <c r="R20">
        <v>0</v>
      </c>
      <c r="S20">
        <v>0</v>
      </c>
      <c r="T20">
        <v>9</v>
      </c>
      <c r="U20">
        <v>0</v>
      </c>
      <c r="V20">
        <v>0</v>
      </c>
      <c r="W20">
        <v>59</v>
      </c>
      <c r="X20">
        <v>0</v>
      </c>
      <c r="Y20">
        <v>0</v>
      </c>
      <c r="Z20">
        <v>0</v>
      </c>
      <c r="AA20">
        <v>2</v>
      </c>
      <c r="AB20">
        <v>0</v>
      </c>
      <c r="AC20">
        <v>9</v>
      </c>
      <c r="AD20">
        <v>0</v>
      </c>
      <c r="AE20">
        <v>56</v>
      </c>
      <c r="AF20">
        <v>16</v>
      </c>
      <c r="AG20">
        <v>84</v>
      </c>
      <c r="AH20">
        <v>23</v>
      </c>
      <c r="AI20">
        <v>0</v>
      </c>
      <c r="AJ20">
        <v>129</v>
      </c>
      <c r="AK20">
        <v>0</v>
      </c>
      <c r="AL20">
        <v>0</v>
      </c>
      <c r="AM20">
        <v>129</v>
      </c>
      <c r="AN20">
        <v>43</v>
      </c>
      <c r="AO20">
        <v>30</v>
      </c>
      <c r="AQ20" t="str">
        <f t="shared" si="0"/>
        <v>Defensive Forward</v>
      </c>
    </row>
    <row r="21" spans="1:43" x14ac:dyDescent="0.35">
      <c r="A21" t="s">
        <v>65</v>
      </c>
      <c r="B21" t="s">
        <v>47</v>
      </c>
      <c r="C21" t="s">
        <v>888</v>
      </c>
      <c r="D21">
        <v>1993</v>
      </c>
      <c r="E21">
        <v>23</v>
      </c>
      <c r="F21" t="s">
        <v>66</v>
      </c>
      <c r="G21" t="s">
        <v>67</v>
      </c>
      <c r="H21">
        <v>6600000</v>
      </c>
      <c r="I21">
        <v>6600000</v>
      </c>
      <c r="J21" t="s">
        <v>55</v>
      </c>
      <c r="K21">
        <v>20</v>
      </c>
      <c r="L21">
        <v>1359</v>
      </c>
      <c r="M21">
        <v>1</v>
      </c>
      <c r="N21">
        <v>833</v>
      </c>
      <c r="O21">
        <v>0</v>
      </c>
      <c r="P21">
        <v>4</v>
      </c>
      <c r="Q21">
        <v>0</v>
      </c>
      <c r="R21">
        <v>6</v>
      </c>
      <c r="S21">
        <v>3</v>
      </c>
      <c r="T21">
        <v>22</v>
      </c>
      <c r="U21">
        <v>8</v>
      </c>
      <c r="V21">
        <v>0</v>
      </c>
      <c r="W21">
        <v>6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0</v>
      </c>
      <c r="AE21">
        <v>5</v>
      </c>
      <c r="AF21">
        <v>4</v>
      </c>
      <c r="AG21">
        <v>21</v>
      </c>
      <c r="AH21">
        <v>12</v>
      </c>
      <c r="AI21">
        <v>0</v>
      </c>
      <c r="AJ21">
        <v>17</v>
      </c>
      <c r="AK21">
        <v>0</v>
      </c>
      <c r="AL21">
        <v>0</v>
      </c>
      <c r="AM21">
        <v>22</v>
      </c>
      <c r="AN21">
        <v>14</v>
      </c>
      <c r="AO21">
        <v>21</v>
      </c>
      <c r="AQ21" t="str">
        <f t="shared" si="0"/>
        <v>Midfielder</v>
      </c>
    </row>
    <row r="22" spans="1:43" x14ac:dyDescent="0.35">
      <c r="A22" t="s">
        <v>65</v>
      </c>
      <c r="B22" t="s">
        <v>43</v>
      </c>
      <c r="C22" t="s">
        <v>889</v>
      </c>
      <c r="D22">
        <v>1993</v>
      </c>
      <c r="E22">
        <v>24</v>
      </c>
      <c r="F22" t="s">
        <v>66</v>
      </c>
      <c r="G22" t="s">
        <v>67</v>
      </c>
      <c r="H22">
        <v>6600000</v>
      </c>
      <c r="I22">
        <v>16500000</v>
      </c>
      <c r="J22" t="s">
        <v>55</v>
      </c>
      <c r="K22">
        <v>37</v>
      </c>
      <c r="L22">
        <v>3325</v>
      </c>
      <c r="M22">
        <v>7</v>
      </c>
      <c r="N22">
        <v>2244</v>
      </c>
      <c r="O22">
        <v>3</v>
      </c>
      <c r="P22">
        <v>10</v>
      </c>
      <c r="Q22">
        <v>0</v>
      </c>
      <c r="R22">
        <v>0</v>
      </c>
      <c r="S22">
        <v>1</v>
      </c>
      <c r="T22">
        <v>47</v>
      </c>
      <c r="U22">
        <v>17</v>
      </c>
      <c r="V22">
        <v>1</v>
      </c>
      <c r="W22">
        <v>26</v>
      </c>
      <c r="X22">
        <v>0</v>
      </c>
      <c r="Y22">
        <v>0</v>
      </c>
      <c r="Z22">
        <v>0</v>
      </c>
      <c r="AA22">
        <v>2</v>
      </c>
      <c r="AB22">
        <v>2</v>
      </c>
      <c r="AC22">
        <v>30</v>
      </c>
      <c r="AD22">
        <v>0</v>
      </c>
      <c r="AE22">
        <v>26</v>
      </c>
      <c r="AF22">
        <v>10</v>
      </c>
      <c r="AG22">
        <v>54</v>
      </c>
      <c r="AH22">
        <v>44</v>
      </c>
      <c r="AI22">
        <v>0</v>
      </c>
      <c r="AJ22">
        <v>79</v>
      </c>
      <c r="AK22">
        <v>0</v>
      </c>
      <c r="AL22">
        <v>0</v>
      </c>
      <c r="AM22">
        <v>55</v>
      </c>
      <c r="AN22">
        <v>43</v>
      </c>
      <c r="AO22">
        <v>52</v>
      </c>
      <c r="AQ22" t="str">
        <f t="shared" si="0"/>
        <v>Midfielder</v>
      </c>
    </row>
    <row r="23" spans="1:43" x14ac:dyDescent="0.35">
      <c r="A23" t="s">
        <v>65</v>
      </c>
      <c r="B23" t="s">
        <v>46</v>
      </c>
      <c r="C23" t="s">
        <v>890</v>
      </c>
      <c r="D23">
        <v>1993</v>
      </c>
      <c r="E23">
        <v>25</v>
      </c>
      <c r="F23" t="s">
        <v>66</v>
      </c>
      <c r="G23" t="s">
        <v>67</v>
      </c>
      <c r="H23">
        <v>16500000</v>
      </c>
      <c r="I23">
        <v>27500000</v>
      </c>
      <c r="J23" t="s">
        <v>55</v>
      </c>
      <c r="K23">
        <v>35</v>
      </c>
      <c r="L23">
        <v>3062</v>
      </c>
      <c r="M23">
        <v>5</v>
      </c>
      <c r="N23">
        <v>1942</v>
      </c>
      <c r="O23">
        <v>6</v>
      </c>
      <c r="P23">
        <v>0</v>
      </c>
      <c r="Q23">
        <v>0</v>
      </c>
      <c r="R23">
        <v>1</v>
      </c>
      <c r="S23">
        <v>1</v>
      </c>
      <c r="T23">
        <v>52</v>
      </c>
      <c r="U23">
        <v>17</v>
      </c>
      <c r="V23">
        <v>0</v>
      </c>
      <c r="W23">
        <v>22</v>
      </c>
      <c r="X23">
        <v>2</v>
      </c>
      <c r="Y23">
        <v>0</v>
      </c>
      <c r="Z23">
        <v>0</v>
      </c>
      <c r="AA23">
        <v>2</v>
      </c>
      <c r="AB23">
        <v>5</v>
      </c>
      <c r="AC23">
        <v>35</v>
      </c>
      <c r="AD23">
        <v>1</v>
      </c>
      <c r="AE23">
        <v>11</v>
      </c>
      <c r="AF23">
        <v>8</v>
      </c>
      <c r="AG23">
        <v>34</v>
      </c>
      <c r="AH23">
        <v>36</v>
      </c>
      <c r="AI23">
        <v>0</v>
      </c>
      <c r="AJ23">
        <v>71</v>
      </c>
      <c r="AK23">
        <v>1</v>
      </c>
      <c r="AL23">
        <v>1</v>
      </c>
      <c r="AM23">
        <v>54</v>
      </c>
      <c r="AN23">
        <v>41</v>
      </c>
      <c r="AO23">
        <v>37</v>
      </c>
      <c r="AQ23" t="str">
        <f t="shared" si="0"/>
        <v>Midfielder</v>
      </c>
    </row>
    <row r="24" spans="1:43" x14ac:dyDescent="0.35">
      <c r="A24" t="s">
        <v>68</v>
      </c>
      <c r="B24" t="s">
        <v>39</v>
      </c>
      <c r="C24" t="s">
        <v>891</v>
      </c>
      <c r="D24">
        <v>1994</v>
      </c>
      <c r="E24">
        <v>21</v>
      </c>
      <c r="F24" t="s">
        <v>44</v>
      </c>
      <c r="G24" t="s">
        <v>69</v>
      </c>
      <c r="H24">
        <v>10000000</v>
      </c>
      <c r="I24">
        <v>12000000</v>
      </c>
      <c r="J24" t="s">
        <v>52</v>
      </c>
      <c r="K24">
        <v>15</v>
      </c>
      <c r="L24">
        <v>1016</v>
      </c>
      <c r="M24">
        <v>0</v>
      </c>
      <c r="N24">
        <v>526</v>
      </c>
      <c r="O24">
        <v>1</v>
      </c>
      <c r="P24">
        <v>1</v>
      </c>
      <c r="Q24">
        <v>0</v>
      </c>
      <c r="R24">
        <v>4</v>
      </c>
      <c r="S24">
        <v>3</v>
      </c>
      <c r="T24">
        <v>6</v>
      </c>
      <c r="U24">
        <v>2</v>
      </c>
      <c r="V24">
        <v>0</v>
      </c>
      <c r="W24">
        <v>16</v>
      </c>
      <c r="X24">
        <v>0</v>
      </c>
      <c r="Y24">
        <v>0</v>
      </c>
      <c r="Z24">
        <v>0</v>
      </c>
      <c r="AA24">
        <v>2</v>
      </c>
      <c r="AB24">
        <v>0</v>
      </c>
      <c r="AC24">
        <v>0</v>
      </c>
      <c r="AD24">
        <v>0</v>
      </c>
      <c r="AE24">
        <v>31</v>
      </c>
      <c r="AF24">
        <v>4</v>
      </c>
      <c r="AG24">
        <v>23</v>
      </c>
      <c r="AH24">
        <v>14</v>
      </c>
      <c r="AI24">
        <v>0</v>
      </c>
      <c r="AJ24">
        <v>47</v>
      </c>
      <c r="AK24">
        <v>1</v>
      </c>
      <c r="AL24">
        <v>0</v>
      </c>
      <c r="AM24">
        <v>32</v>
      </c>
      <c r="AN24">
        <v>8</v>
      </c>
      <c r="AO24">
        <v>13</v>
      </c>
      <c r="AQ24" t="str">
        <f t="shared" si="0"/>
        <v>Defensive Forward</v>
      </c>
    </row>
    <row r="25" spans="1:43" x14ac:dyDescent="0.35">
      <c r="A25" t="s">
        <v>70</v>
      </c>
      <c r="B25" t="s">
        <v>47</v>
      </c>
      <c r="C25" t="s">
        <v>892</v>
      </c>
      <c r="D25">
        <v>1990</v>
      </c>
      <c r="E25">
        <v>25</v>
      </c>
      <c r="F25" t="s">
        <v>71</v>
      </c>
      <c r="G25" t="s">
        <v>72</v>
      </c>
      <c r="H25">
        <v>7200000</v>
      </c>
      <c r="I25">
        <v>7200000</v>
      </c>
      <c r="J25" t="s">
        <v>42</v>
      </c>
      <c r="K25">
        <v>24</v>
      </c>
      <c r="L25">
        <v>1428</v>
      </c>
      <c r="M25">
        <v>4</v>
      </c>
      <c r="N25">
        <v>252</v>
      </c>
      <c r="O25">
        <v>3</v>
      </c>
      <c r="P25">
        <v>0</v>
      </c>
      <c r="Q25">
        <v>0</v>
      </c>
      <c r="R25">
        <v>8</v>
      </c>
      <c r="S25">
        <v>10</v>
      </c>
      <c r="T25">
        <v>39</v>
      </c>
      <c r="U25">
        <v>18</v>
      </c>
      <c r="V25">
        <v>0</v>
      </c>
      <c r="W25">
        <v>1</v>
      </c>
      <c r="X25">
        <v>1</v>
      </c>
      <c r="Y25">
        <v>0</v>
      </c>
      <c r="Z25">
        <v>0</v>
      </c>
      <c r="AA25">
        <v>11</v>
      </c>
      <c r="AB25">
        <v>1</v>
      </c>
      <c r="AC25">
        <v>0</v>
      </c>
      <c r="AD25">
        <v>0</v>
      </c>
      <c r="AE25">
        <v>1</v>
      </c>
      <c r="AF25">
        <v>0</v>
      </c>
      <c r="AG25">
        <v>3</v>
      </c>
      <c r="AH25">
        <v>19</v>
      </c>
      <c r="AI25">
        <v>0</v>
      </c>
      <c r="AJ25">
        <v>8</v>
      </c>
      <c r="AK25">
        <v>0</v>
      </c>
      <c r="AL25">
        <v>0</v>
      </c>
      <c r="AM25">
        <v>3</v>
      </c>
      <c r="AN25">
        <v>22</v>
      </c>
      <c r="AO25">
        <v>50</v>
      </c>
      <c r="AQ25" t="str">
        <f t="shared" si="0"/>
        <v>Forward</v>
      </c>
    </row>
    <row r="26" spans="1:43" x14ac:dyDescent="0.35">
      <c r="A26" t="s">
        <v>73</v>
      </c>
      <c r="B26" t="s">
        <v>46</v>
      </c>
      <c r="C26" t="s">
        <v>893</v>
      </c>
      <c r="D26">
        <v>1995</v>
      </c>
      <c r="E26">
        <v>23</v>
      </c>
      <c r="F26" t="s">
        <v>74</v>
      </c>
      <c r="G26" t="s">
        <v>67</v>
      </c>
      <c r="H26">
        <v>4400000</v>
      </c>
      <c r="I26">
        <v>2480000</v>
      </c>
      <c r="J26" t="s">
        <v>42</v>
      </c>
      <c r="K26">
        <v>13</v>
      </c>
      <c r="L26">
        <v>690</v>
      </c>
      <c r="M26">
        <v>3</v>
      </c>
      <c r="N26">
        <v>226</v>
      </c>
      <c r="O26">
        <v>0</v>
      </c>
      <c r="P26">
        <v>2</v>
      </c>
      <c r="Q26">
        <v>0</v>
      </c>
      <c r="R26">
        <v>8</v>
      </c>
      <c r="S26">
        <v>2</v>
      </c>
      <c r="T26">
        <v>21</v>
      </c>
      <c r="U26">
        <v>10</v>
      </c>
      <c r="V26">
        <v>0</v>
      </c>
      <c r="W26">
        <v>2</v>
      </c>
      <c r="X26">
        <v>0</v>
      </c>
      <c r="Y26">
        <v>0</v>
      </c>
      <c r="Z26">
        <v>0</v>
      </c>
      <c r="AA26">
        <v>7</v>
      </c>
      <c r="AB26">
        <v>0</v>
      </c>
      <c r="AC26">
        <v>11</v>
      </c>
      <c r="AD26">
        <v>0</v>
      </c>
      <c r="AE26">
        <v>18</v>
      </c>
      <c r="AF26">
        <v>0</v>
      </c>
      <c r="AG26">
        <v>1</v>
      </c>
      <c r="AH26">
        <v>24</v>
      </c>
      <c r="AI26">
        <v>0</v>
      </c>
      <c r="AJ26">
        <v>8</v>
      </c>
      <c r="AK26">
        <v>0</v>
      </c>
      <c r="AL26">
        <v>0</v>
      </c>
      <c r="AM26">
        <v>5</v>
      </c>
      <c r="AN26">
        <v>12</v>
      </c>
      <c r="AO26">
        <v>15</v>
      </c>
      <c r="AQ26" t="str">
        <f t="shared" si="0"/>
        <v>Forward</v>
      </c>
    </row>
    <row r="27" spans="1:43" x14ac:dyDescent="0.35">
      <c r="A27" t="s">
        <v>75</v>
      </c>
      <c r="B27" t="s">
        <v>47</v>
      </c>
      <c r="C27" t="s">
        <v>894</v>
      </c>
      <c r="D27">
        <v>1989</v>
      </c>
      <c r="E27">
        <v>27</v>
      </c>
      <c r="F27" t="s">
        <v>48</v>
      </c>
      <c r="G27" t="s">
        <v>51</v>
      </c>
      <c r="H27">
        <v>2750000</v>
      </c>
      <c r="I27">
        <v>3300000</v>
      </c>
      <c r="J27" t="s">
        <v>55</v>
      </c>
      <c r="K27">
        <v>34</v>
      </c>
      <c r="L27">
        <v>2806</v>
      </c>
      <c r="M27">
        <v>0</v>
      </c>
      <c r="N27">
        <v>1450</v>
      </c>
      <c r="O27">
        <v>2</v>
      </c>
      <c r="P27">
        <v>10</v>
      </c>
      <c r="Q27">
        <v>0</v>
      </c>
      <c r="R27">
        <v>2</v>
      </c>
      <c r="S27">
        <v>4</v>
      </c>
      <c r="T27">
        <v>11</v>
      </c>
      <c r="U27">
        <v>2</v>
      </c>
      <c r="V27">
        <v>0</v>
      </c>
      <c r="W27">
        <v>16</v>
      </c>
      <c r="X27">
        <v>0</v>
      </c>
      <c r="Y27">
        <v>0</v>
      </c>
      <c r="Z27">
        <v>0</v>
      </c>
      <c r="AA27">
        <v>0</v>
      </c>
      <c r="AB27">
        <v>2</v>
      </c>
      <c r="AC27">
        <v>0</v>
      </c>
      <c r="AD27">
        <v>6</v>
      </c>
      <c r="AE27">
        <v>23</v>
      </c>
      <c r="AF27">
        <v>21</v>
      </c>
      <c r="AG27">
        <v>66</v>
      </c>
      <c r="AH27">
        <v>52</v>
      </c>
      <c r="AI27">
        <v>0</v>
      </c>
      <c r="AJ27">
        <v>79</v>
      </c>
      <c r="AK27">
        <v>1</v>
      </c>
      <c r="AL27">
        <v>0</v>
      </c>
      <c r="AM27">
        <v>40</v>
      </c>
      <c r="AN27">
        <v>20</v>
      </c>
      <c r="AO27">
        <v>17</v>
      </c>
      <c r="AQ27" t="str">
        <f t="shared" si="0"/>
        <v>Midfielder</v>
      </c>
    </row>
    <row r="28" spans="1:43" x14ac:dyDescent="0.35">
      <c r="A28" t="s">
        <v>76</v>
      </c>
      <c r="B28" t="s">
        <v>47</v>
      </c>
      <c r="C28" t="s">
        <v>895</v>
      </c>
      <c r="D28">
        <v>1991</v>
      </c>
      <c r="E28">
        <v>24</v>
      </c>
      <c r="F28" t="s">
        <v>48</v>
      </c>
      <c r="G28" t="s">
        <v>51</v>
      </c>
      <c r="H28">
        <v>2000000</v>
      </c>
      <c r="I28">
        <v>2700000</v>
      </c>
      <c r="J28" t="s">
        <v>55</v>
      </c>
      <c r="K28">
        <v>34</v>
      </c>
      <c r="L28">
        <v>2700</v>
      </c>
      <c r="M28">
        <v>0</v>
      </c>
      <c r="N28">
        <v>1353</v>
      </c>
      <c r="O28">
        <v>1</v>
      </c>
      <c r="P28">
        <v>4</v>
      </c>
      <c r="Q28">
        <v>0</v>
      </c>
      <c r="R28">
        <v>4</v>
      </c>
      <c r="S28">
        <v>9</v>
      </c>
      <c r="T28">
        <v>28</v>
      </c>
      <c r="U28">
        <v>6</v>
      </c>
      <c r="V28">
        <v>0</v>
      </c>
      <c r="W28">
        <v>10</v>
      </c>
      <c r="X28">
        <v>0</v>
      </c>
      <c r="Y28">
        <v>0</v>
      </c>
      <c r="Z28">
        <v>0</v>
      </c>
      <c r="AA28">
        <v>1</v>
      </c>
      <c r="AB28">
        <v>8</v>
      </c>
      <c r="AC28">
        <v>0</v>
      </c>
      <c r="AD28">
        <v>24</v>
      </c>
      <c r="AE28">
        <v>51</v>
      </c>
      <c r="AF28">
        <v>4</v>
      </c>
      <c r="AG28">
        <v>36</v>
      </c>
      <c r="AH28">
        <v>33</v>
      </c>
      <c r="AI28">
        <v>0</v>
      </c>
      <c r="AJ28">
        <v>62</v>
      </c>
      <c r="AK28">
        <v>0</v>
      </c>
      <c r="AL28">
        <v>0</v>
      </c>
      <c r="AM28">
        <v>22</v>
      </c>
      <c r="AN28">
        <v>17</v>
      </c>
      <c r="AO28">
        <v>41</v>
      </c>
      <c r="AQ28" t="str">
        <f t="shared" si="0"/>
        <v>Midfielder</v>
      </c>
    </row>
    <row r="29" spans="1:43" x14ac:dyDescent="0.35">
      <c r="A29" t="s">
        <v>77</v>
      </c>
      <c r="B29" t="s">
        <v>39</v>
      </c>
      <c r="C29" t="s">
        <v>896</v>
      </c>
      <c r="D29">
        <v>1987</v>
      </c>
      <c r="E29">
        <v>28</v>
      </c>
      <c r="F29" t="s">
        <v>78</v>
      </c>
      <c r="G29" t="s">
        <v>51</v>
      </c>
      <c r="H29">
        <v>6750000</v>
      </c>
      <c r="I29">
        <v>6750000</v>
      </c>
      <c r="J29" t="s">
        <v>55</v>
      </c>
      <c r="K29">
        <v>19</v>
      </c>
      <c r="L29">
        <v>1142</v>
      </c>
      <c r="M29">
        <v>2</v>
      </c>
      <c r="N29">
        <v>562</v>
      </c>
      <c r="O29">
        <v>5</v>
      </c>
      <c r="P29">
        <v>3</v>
      </c>
      <c r="Q29">
        <v>0</v>
      </c>
      <c r="R29">
        <v>8</v>
      </c>
      <c r="S29">
        <v>3</v>
      </c>
      <c r="T29">
        <v>16</v>
      </c>
      <c r="U29">
        <v>3</v>
      </c>
      <c r="V29">
        <v>2</v>
      </c>
      <c r="W29">
        <v>1</v>
      </c>
      <c r="X29">
        <v>0</v>
      </c>
      <c r="Y29">
        <v>1</v>
      </c>
      <c r="Z29">
        <v>1</v>
      </c>
      <c r="AA29">
        <v>1</v>
      </c>
      <c r="AB29">
        <v>8</v>
      </c>
      <c r="AC29">
        <v>0</v>
      </c>
      <c r="AD29">
        <v>14</v>
      </c>
      <c r="AE29">
        <v>43</v>
      </c>
      <c r="AF29">
        <v>2</v>
      </c>
      <c r="AG29">
        <v>10</v>
      </c>
      <c r="AH29">
        <v>7</v>
      </c>
      <c r="AI29">
        <v>0</v>
      </c>
      <c r="AJ29">
        <v>10</v>
      </c>
      <c r="AK29">
        <v>0</v>
      </c>
      <c r="AL29">
        <v>0</v>
      </c>
      <c r="AM29">
        <v>7</v>
      </c>
      <c r="AN29">
        <v>2</v>
      </c>
      <c r="AO29">
        <v>5</v>
      </c>
      <c r="AQ29" t="str">
        <f t="shared" si="0"/>
        <v>Midfielder</v>
      </c>
    </row>
    <row r="30" spans="1:43" x14ac:dyDescent="0.35">
      <c r="A30" t="s">
        <v>79</v>
      </c>
      <c r="B30" t="s">
        <v>39</v>
      </c>
      <c r="C30" t="s">
        <v>897</v>
      </c>
      <c r="D30">
        <v>1988</v>
      </c>
      <c r="E30">
        <v>27</v>
      </c>
      <c r="F30" t="s">
        <v>80</v>
      </c>
      <c r="G30" t="s">
        <v>51</v>
      </c>
      <c r="H30">
        <v>22000000</v>
      </c>
      <c r="I30">
        <v>20900000</v>
      </c>
      <c r="J30" t="s">
        <v>55</v>
      </c>
      <c r="K30">
        <v>30</v>
      </c>
      <c r="L30">
        <v>2110</v>
      </c>
      <c r="M30">
        <v>4</v>
      </c>
      <c r="N30">
        <v>989</v>
      </c>
      <c r="O30">
        <v>6</v>
      </c>
      <c r="P30">
        <v>2</v>
      </c>
      <c r="Q30">
        <v>0</v>
      </c>
      <c r="R30">
        <v>7</v>
      </c>
      <c r="S30">
        <v>13</v>
      </c>
      <c r="T30">
        <v>44</v>
      </c>
      <c r="U30">
        <v>15</v>
      </c>
      <c r="V30">
        <v>0</v>
      </c>
      <c r="W30">
        <v>19</v>
      </c>
      <c r="X30">
        <v>0</v>
      </c>
      <c r="Y30">
        <v>0</v>
      </c>
      <c r="Z30">
        <v>0</v>
      </c>
      <c r="AA30">
        <v>14</v>
      </c>
      <c r="AB30">
        <v>9</v>
      </c>
      <c r="AC30">
        <v>3</v>
      </c>
      <c r="AD30">
        <v>19</v>
      </c>
      <c r="AE30">
        <v>63</v>
      </c>
      <c r="AF30">
        <v>2</v>
      </c>
      <c r="AG30">
        <v>20</v>
      </c>
      <c r="AH30">
        <v>27</v>
      </c>
      <c r="AI30">
        <v>0</v>
      </c>
      <c r="AJ30">
        <v>59</v>
      </c>
      <c r="AK30">
        <v>0</v>
      </c>
      <c r="AL30">
        <v>0</v>
      </c>
      <c r="AM30">
        <v>35</v>
      </c>
      <c r="AN30">
        <v>23</v>
      </c>
      <c r="AO30">
        <v>36</v>
      </c>
      <c r="AQ30" t="str">
        <f t="shared" si="0"/>
        <v>Midfielder</v>
      </c>
    </row>
    <row r="31" spans="1:43" x14ac:dyDescent="0.35">
      <c r="A31" t="s">
        <v>79</v>
      </c>
      <c r="B31" t="s">
        <v>47</v>
      </c>
      <c r="C31" t="s">
        <v>898</v>
      </c>
      <c r="D31">
        <v>1988</v>
      </c>
      <c r="E31">
        <v>28</v>
      </c>
      <c r="F31" t="s">
        <v>80</v>
      </c>
      <c r="G31" t="s">
        <v>51</v>
      </c>
      <c r="H31">
        <v>20900000</v>
      </c>
      <c r="I31">
        <v>27500000</v>
      </c>
      <c r="J31" t="s">
        <v>55</v>
      </c>
      <c r="K31">
        <v>31</v>
      </c>
      <c r="L31">
        <v>2346</v>
      </c>
      <c r="M31">
        <v>8</v>
      </c>
      <c r="N31">
        <v>1407</v>
      </c>
      <c r="O31">
        <v>7</v>
      </c>
      <c r="P31">
        <v>3</v>
      </c>
      <c r="Q31">
        <v>0</v>
      </c>
      <c r="R31">
        <v>4</v>
      </c>
      <c r="S31">
        <v>17</v>
      </c>
      <c r="T31">
        <v>50</v>
      </c>
      <c r="U31">
        <v>20</v>
      </c>
      <c r="V31">
        <v>2</v>
      </c>
      <c r="W31">
        <v>10</v>
      </c>
      <c r="X31">
        <v>1</v>
      </c>
      <c r="Y31">
        <v>0</v>
      </c>
      <c r="Z31">
        <v>0</v>
      </c>
      <c r="AA31">
        <v>12</v>
      </c>
      <c r="AB31">
        <v>4</v>
      </c>
      <c r="AC31">
        <v>0</v>
      </c>
      <c r="AD31">
        <v>5</v>
      </c>
      <c r="AE31">
        <v>48</v>
      </c>
      <c r="AF31">
        <v>2</v>
      </c>
      <c r="AG31">
        <v>20</v>
      </c>
      <c r="AH31">
        <v>17</v>
      </c>
      <c r="AI31">
        <v>0</v>
      </c>
      <c r="AJ31">
        <v>51</v>
      </c>
      <c r="AK31">
        <v>0</v>
      </c>
      <c r="AL31">
        <v>0</v>
      </c>
      <c r="AM31">
        <v>21</v>
      </c>
      <c r="AN31">
        <v>22</v>
      </c>
      <c r="AO31">
        <v>43</v>
      </c>
      <c r="AQ31" t="str">
        <f t="shared" si="0"/>
        <v>Midfielder</v>
      </c>
    </row>
    <row r="32" spans="1:43" x14ac:dyDescent="0.35">
      <c r="A32" t="s">
        <v>79</v>
      </c>
      <c r="B32" t="s">
        <v>46</v>
      </c>
      <c r="C32" t="s">
        <v>899</v>
      </c>
      <c r="D32">
        <v>1988</v>
      </c>
      <c r="E32">
        <v>30</v>
      </c>
      <c r="F32" t="s">
        <v>80</v>
      </c>
      <c r="G32" t="s">
        <v>51</v>
      </c>
      <c r="H32">
        <v>27500000</v>
      </c>
      <c r="I32">
        <v>16500000</v>
      </c>
      <c r="J32" t="s">
        <v>55</v>
      </c>
      <c r="K32">
        <v>13</v>
      </c>
      <c r="L32">
        <v>465</v>
      </c>
      <c r="M32">
        <v>0</v>
      </c>
      <c r="N32">
        <v>302</v>
      </c>
      <c r="O32">
        <v>0</v>
      </c>
      <c r="P32">
        <v>1</v>
      </c>
      <c r="Q32">
        <v>0</v>
      </c>
      <c r="R32">
        <v>8</v>
      </c>
      <c r="S32">
        <v>5</v>
      </c>
      <c r="T32">
        <v>5</v>
      </c>
      <c r="U32">
        <v>2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1</v>
      </c>
      <c r="AC32">
        <v>3</v>
      </c>
      <c r="AD32">
        <v>4</v>
      </c>
      <c r="AE32">
        <v>8</v>
      </c>
      <c r="AF32">
        <v>1</v>
      </c>
      <c r="AG32">
        <v>5</v>
      </c>
      <c r="AH32">
        <v>4</v>
      </c>
      <c r="AI32">
        <v>0</v>
      </c>
      <c r="AJ32">
        <v>16</v>
      </c>
      <c r="AK32">
        <v>0</v>
      </c>
      <c r="AL32">
        <v>0</v>
      </c>
      <c r="AM32">
        <v>0</v>
      </c>
      <c r="AN32">
        <v>9</v>
      </c>
      <c r="AO32">
        <v>14</v>
      </c>
      <c r="AQ32" t="str">
        <f t="shared" si="0"/>
        <v>Midfielder</v>
      </c>
    </row>
    <row r="33" spans="1:43" x14ac:dyDescent="0.35">
      <c r="A33" t="s">
        <v>79</v>
      </c>
      <c r="B33" t="s">
        <v>43</v>
      </c>
      <c r="C33" t="s">
        <v>900</v>
      </c>
      <c r="D33">
        <v>1988</v>
      </c>
      <c r="E33">
        <v>29</v>
      </c>
      <c r="F33" t="s">
        <v>80</v>
      </c>
      <c r="G33" t="s">
        <v>51</v>
      </c>
      <c r="H33">
        <v>27500000</v>
      </c>
      <c r="I33">
        <v>27500000</v>
      </c>
      <c r="J33" t="s">
        <v>55</v>
      </c>
      <c r="K33">
        <v>12</v>
      </c>
      <c r="L33">
        <v>235</v>
      </c>
      <c r="M33">
        <v>0</v>
      </c>
      <c r="N33">
        <v>220</v>
      </c>
      <c r="O33">
        <v>0</v>
      </c>
      <c r="P33">
        <v>1</v>
      </c>
      <c r="Q33">
        <v>0</v>
      </c>
      <c r="R33">
        <v>11</v>
      </c>
      <c r="S33">
        <v>2</v>
      </c>
      <c r="T33">
        <v>11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11</v>
      </c>
      <c r="AD33">
        <v>1</v>
      </c>
      <c r="AE33">
        <v>8</v>
      </c>
      <c r="AF33">
        <v>0</v>
      </c>
      <c r="AG33">
        <v>1</v>
      </c>
      <c r="AH33">
        <v>4</v>
      </c>
      <c r="AI33">
        <v>1</v>
      </c>
      <c r="AJ33">
        <v>3</v>
      </c>
      <c r="AK33">
        <v>0</v>
      </c>
      <c r="AL33">
        <v>0</v>
      </c>
      <c r="AM33">
        <v>1</v>
      </c>
      <c r="AN33">
        <v>3</v>
      </c>
      <c r="AO33">
        <v>4</v>
      </c>
      <c r="AQ33" t="str">
        <f t="shared" si="0"/>
        <v>Midfielder</v>
      </c>
    </row>
    <row r="34" spans="1:43" x14ac:dyDescent="0.35">
      <c r="A34" t="s">
        <v>81</v>
      </c>
      <c r="B34" t="s">
        <v>46</v>
      </c>
      <c r="C34" t="s">
        <v>901</v>
      </c>
      <c r="D34">
        <v>1994</v>
      </c>
      <c r="E34">
        <v>24</v>
      </c>
      <c r="F34" t="s">
        <v>66</v>
      </c>
      <c r="G34" t="s">
        <v>82</v>
      </c>
      <c r="H34">
        <v>6300000</v>
      </c>
      <c r="I34">
        <v>6300000</v>
      </c>
      <c r="J34" t="s">
        <v>52</v>
      </c>
      <c r="K34">
        <v>14</v>
      </c>
      <c r="L34">
        <v>1004</v>
      </c>
      <c r="M34">
        <v>0</v>
      </c>
      <c r="N34">
        <v>436</v>
      </c>
      <c r="O34">
        <v>1</v>
      </c>
      <c r="P34">
        <v>5</v>
      </c>
      <c r="Q34">
        <v>0</v>
      </c>
      <c r="R34">
        <v>3</v>
      </c>
      <c r="S34">
        <v>2</v>
      </c>
      <c r="T34">
        <v>3</v>
      </c>
      <c r="U34">
        <v>0</v>
      </c>
      <c r="V34">
        <v>1</v>
      </c>
      <c r="W34">
        <v>22</v>
      </c>
      <c r="X34">
        <v>0</v>
      </c>
      <c r="Y34">
        <v>0</v>
      </c>
      <c r="Z34">
        <v>0</v>
      </c>
      <c r="AA34">
        <v>1</v>
      </c>
      <c r="AB34">
        <v>0</v>
      </c>
      <c r="AC34">
        <v>3</v>
      </c>
      <c r="AD34">
        <v>16</v>
      </c>
      <c r="AE34">
        <v>31</v>
      </c>
      <c r="AF34">
        <v>4</v>
      </c>
      <c r="AG34">
        <v>17</v>
      </c>
      <c r="AH34">
        <v>17</v>
      </c>
      <c r="AI34">
        <v>0</v>
      </c>
      <c r="AJ34">
        <v>30</v>
      </c>
      <c r="AK34">
        <v>0</v>
      </c>
      <c r="AL34">
        <v>0</v>
      </c>
      <c r="AM34">
        <v>36</v>
      </c>
      <c r="AN34">
        <v>23</v>
      </c>
      <c r="AO34">
        <v>15</v>
      </c>
      <c r="AQ34" t="str">
        <f t="shared" si="0"/>
        <v>Defensive Forward</v>
      </c>
    </row>
    <row r="35" spans="1:43" x14ac:dyDescent="0.35">
      <c r="A35" t="s">
        <v>83</v>
      </c>
      <c r="B35" t="s">
        <v>46</v>
      </c>
      <c r="C35" t="s">
        <v>902</v>
      </c>
      <c r="D35">
        <v>1991</v>
      </c>
      <c r="E35">
        <v>27</v>
      </c>
      <c r="F35" t="s">
        <v>84</v>
      </c>
      <c r="G35" t="s">
        <v>51</v>
      </c>
      <c r="H35">
        <v>4500000</v>
      </c>
      <c r="I35">
        <v>6300000</v>
      </c>
      <c r="J35" t="s">
        <v>52</v>
      </c>
      <c r="K35">
        <v>25</v>
      </c>
      <c r="L35">
        <v>2072</v>
      </c>
      <c r="M35">
        <v>0</v>
      </c>
      <c r="N35">
        <v>872</v>
      </c>
      <c r="O35">
        <v>0</v>
      </c>
      <c r="P35">
        <v>5</v>
      </c>
      <c r="Q35">
        <v>1</v>
      </c>
      <c r="R35">
        <v>0</v>
      </c>
      <c r="S35">
        <v>6</v>
      </c>
      <c r="T35">
        <v>7</v>
      </c>
      <c r="U35">
        <v>0</v>
      </c>
      <c r="V35">
        <v>0</v>
      </c>
      <c r="W35">
        <v>33</v>
      </c>
      <c r="X35">
        <v>0</v>
      </c>
      <c r="Y35">
        <v>0</v>
      </c>
      <c r="Z35">
        <v>0</v>
      </c>
      <c r="AA35">
        <v>0</v>
      </c>
      <c r="AB35">
        <v>0</v>
      </c>
      <c r="AC35">
        <v>7</v>
      </c>
      <c r="AD35">
        <v>6</v>
      </c>
      <c r="AE35">
        <v>22</v>
      </c>
      <c r="AF35">
        <v>7</v>
      </c>
      <c r="AG35">
        <v>31</v>
      </c>
      <c r="AH35">
        <v>18</v>
      </c>
      <c r="AI35">
        <v>0</v>
      </c>
      <c r="AJ35">
        <v>46</v>
      </c>
      <c r="AK35">
        <v>0</v>
      </c>
      <c r="AL35">
        <v>0</v>
      </c>
      <c r="AM35">
        <v>57</v>
      </c>
      <c r="AN35">
        <v>28</v>
      </c>
      <c r="AO35">
        <v>31</v>
      </c>
      <c r="AQ35" t="str">
        <f t="shared" si="0"/>
        <v>Defensive Forward</v>
      </c>
    </row>
    <row r="36" spans="1:43" x14ac:dyDescent="0.35">
      <c r="A36" t="s">
        <v>83</v>
      </c>
      <c r="B36" t="s">
        <v>39</v>
      </c>
      <c r="C36" t="s">
        <v>903</v>
      </c>
      <c r="D36">
        <v>1991</v>
      </c>
      <c r="E36">
        <v>24</v>
      </c>
      <c r="F36" t="s">
        <v>84</v>
      </c>
      <c r="G36" t="s">
        <v>51</v>
      </c>
      <c r="H36">
        <v>450000</v>
      </c>
      <c r="I36">
        <v>1800000</v>
      </c>
      <c r="J36" t="s">
        <v>52</v>
      </c>
      <c r="K36">
        <v>31</v>
      </c>
      <c r="L36">
        <v>2096</v>
      </c>
      <c r="M36">
        <v>2</v>
      </c>
      <c r="N36">
        <v>911</v>
      </c>
      <c r="O36">
        <v>0</v>
      </c>
      <c r="P36">
        <v>5</v>
      </c>
      <c r="Q36">
        <v>0</v>
      </c>
      <c r="R36">
        <v>9</v>
      </c>
      <c r="S36">
        <v>2</v>
      </c>
      <c r="T36">
        <v>15</v>
      </c>
      <c r="U36">
        <v>4</v>
      </c>
      <c r="V36">
        <v>0</v>
      </c>
      <c r="W36">
        <v>25</v>
      </c>
      <c r="X36">
        <v>0</v>
      </c>
      <c r="Y36">
        <v>0</v>
      </c>
      <c r="Z36">
        <v>0</v>
      </c>
      <c r="AA36">
        <v>2</v>
      </c>
      <c r="AB36">
        <v>1</v>
      </c>
      <c r="AC36">
        <v>0</v>
      </c>
      <c r="AD36">
        <v>4</v>
      </c>
      <c r="AE36">
        <v>56</v>
      </c>
      <c r="AF36">
        <v>5</v>
      </c>
      <c r="AG36">
        <v>44</v>
      </c>
      <c r="AH36">
        <v>33</v>
      </c>
      <c r="AI36">
        <v>0</v>
      </c>
      <c r="AJ36">
        <v>71</v>
      </c>
      <c r="AK36">
        <v>0</v>
      </c>
      <c r="AL36">
        <v>0</v>
      </c>
      <c r="AM36">
        <v>49</v>
      </c>
      <c r="AN36">
        <v>21</v>
      </c>
      <c r="AO36">
        <v>32</v>
      </c>
      <c r="AQ36" t="str">
        <f t="shared" si="0"/>
        <v>Defensive Forward</v>
      </c>
    </row>
    <row r="37" spans="1:43" x14ac:dyDescent="0.35">
      <c r="A37" t="s">
        <v>83</v>
      </c>
      <c r="B37" t="s">
        <v>47</v>
      </c>
      <c r="C37" t="s">
        <v>904</v>
      </c>
      <c r="D37">
        <v>1991</v>
      </c>
      <c r="E37">
        <v>25</v>
      </c>
      <c r="F37" t="s">
        <v>84</v>
      </c>
      <c r="G37" t="s">
        <v>51</v>
      </c>
      <c r="H37">
        <v>1800000</v>
      </c>
      <c r="I37">
        <v>4500000</v>
      </c>
      <c r="J37" t="s">
        <v>52</v>
      </c>
      <c r="K37">
        <v>36</v>
      </c>
      <c r="L37">
        <v>3099</v>
      </c>
      <c r="M37">
        <v>1</v>
      </c>
      <c r="N37">
        <v>1452</v>
      </c>
      <c r="O37">
        <v>5</v>
      </c>
      <c r="P37">
        <v>6</v>
      </c>
      <c r="Q37">
        <v>0</v>
      </c>
      <c r="R37">
        <v>2</v>
      </c>
      <c r="S37">
        <v>0</v>
      </c>
      <c r="T37">
        <v>26</v>
      </c>
      <c r="U37">
        <v>6</v>
      </c>
      <c r="V37">
        <v>2</v>
      </c>
      <c r="W37">
        <v>36</v>
      </c>
      <c r="X37">
        <v>0</v>
      </c>
      <c r="Y37">
        <v>0</v>
      </c>
      <c r="Z37">
        <v>0</v>
      </c>
      <c r="AA37">
        <v>3</v>
      </c>
      <c r="AB37">
        <v>2</v>
      </c>
      <c r="AC37">
        <v>1</v>
      </c>
      <c r="AD37">
        <v>8</v>
      </c>
      <c r="AE37">
        <v>55</v>
      </c>
      <c r="AF37">
        <v>13</v>
      </c>
      <c r="AG37">
        <v>54</v>
      </c>
      <c r="AH37">
        <v>45</v>
      </c>
      <c r="AI37">
        <v>0</v>
      </c>
      <c r="AJ37">
        <v>85</v>
      </c>
      <c r="AK37">
        <v>0</v>
      </c>
      <c r="AL37">
        <v>0</v>
      </c>
      <c r="AM37">
        <v>71</v>
      </c>
      <c r="AN37">
        <v>31</v>
      </c>
      <c r="AO37">
        <v>50</v>
      </c>
      <c r="AQ37" t="str">
        <f t="shared" si="0"/>
        <v>Defensive Forward</v>
      </c>
    </row>
    <row r="38" spans="1:43" x14ac:dyDescent="0.35">
      <c r="A38" t="s">
        <v>83</v>
      </c>
      <c r="B38" t="s">
        <v>43</v>
      </c>
      <c r="C38" t="s">
        <v>905</v>
      </c>
      <c r="D38">
        <v>1991</v>
      </c>
      <c r="E38">
        <v>26</v>
      </c>
      <c r="F38" t="s">
        <v>84</v>
      </c>
      <c r="G38" t="s">
        <v>51</v>
      </c>
      <c r="H38">
        <v>4500000</v>
      </c>
      <c r="I38">
        <v>4500000</v>
      </c>
      <c r="J38" t="s">
        <v>52</v>
      </c>
      <c r="K38">
        <v>27</v>
      </c>
      <c r="L38">
        <v>2069</v>
      </c>
      <c r="M38">
        <v>1</v>
      </c>
      <c r="N38">
        <v>912</v>
      </c>
      <c r="O38">
        <v>3</v>
      </c>
      <c r="P38">
        <v>6</v>
      </c>
      <c r="Q38">
        <v>0</v>
      </c>
      <c r="R38">
        <v>5</v>
      </c>
      <c r="S38">
        <v>2</v>
      </c>
      <c r="T38">
        <v>13</v>
      </c>
      <c r="U38">
        <v>3</v>
      </c>
      <c r="V38">
        <v>0</v>
      </c>
      <c r="W38">
        <v>23</v>
      </c>
      <c r="X38">
        <v>0</v>
      </c>
      <c r="Y38">
        <v>0</v>
      </c>
      <c r="Z38">
        <v>0</v>
      </c>
      <c r="AA38">
        <v>0</v>
      </c>
      <c r="AB38">
        <v>1</v>
      </c>
      <c r="AC38">
        <v>10</v>
      </c>
      <c r="AD38">
        <v>6</v>
      </c>
      <c r="AE38">
        <v>35</v>
      </c>
      <c r="AF38">
        <v>8</v>
      </c>
      <c r="AG38">
        <v>31</v>
      </c>
      <c r="AH38">
        <v>23</v>
      </c>
      <c r="AI38">
        <v>0</v>
      </c>
      <c r="AJ38">
        <v>49</v>
      </c>
      <c r="AK38">
        <v>0</v>
      </c>
      <c r="AL38">
        <v>0</v>
      </c>
      <c r="AM38">
        <v>56</v>
      </c>
      <c r="AN38">
        <v>15</v>
      </c>
      <c r="AO38">
        <v>28</v>
      </c>
      <c r="AQ38" t="str">
        <f t="shared" si="0"/>
        <v>Defensive Forward</v>
      </c>
    </row>
    <row r="39" spans="1:43" x14ac:dyDescent="0.35">
      <c r="A39" t="s">
        <v>85</v>
      </c>
      <c r="B39" t="s">
        <v>46</v>
      </c>
      <c r="C39" t="s">
        <v>906</v>
      </c>
      <c r="D39">
        <v>1996</v>
      </c>
      <c r="E39">
        <v>22</v>
      </c>
      <c r="F39" t="s">
        <v>58</v>
      </c>
      <c r="G39" t="s">
        <v>67</v>
      </c>
      <c r="H39">
        <v>7700000</v>
      </c>
      <c r="I39">
        <v>7200000</v>
      </c>
      <c r="J39" t="s">
        <v>42</v>
      </c>
      <c r="K39">
        <v>12</v>
      </c>
      <c r="L39">
        <v>553</v>
      </c>
      <c r="M39">
        <v>0</v>
      </c>
      <c r="N39">
        <v>147</v>
      </c>
      <c r="O39">
        <v>0</v>
      </c>
      <c r="P39">
        <v>1</v>
      </c>
      <c r="Q39">
        <v>0</v>
      </c>
      <c r="R39">
        <v>6</v>
      </c>
      <c r="S39">
        <v>5</v>
      </c>
      <c r="T39">
        <v>7</v>
      </c>
      <c r="U39">
        <v>3</v>
      </c>
      <c r="V39">
        <v>0</v>
      </c>
      <c r="W39">
        <v>0</v>
      </c>
      <c r="X39">
        <v>0</v>
      </c>
      <c r="Y39">
        <v>0</v>
      </c>
      <c r="Z39">
        <v>0</v>
      </c>
      <c r="AA39">
        <v>2</v>
      </c>
      <c r="AB39">
        <v>1</v>
      </c>
      <c r="AC39">
        <v>4</v>
      </c>
      <c r="AD39">
        <v>1</v>
      </c>
      <c r="AE39">
        <v>14</v>
      </c>
      <c r="AF39">
        <v>0</v>
      </c>
      <c r="AG39">
        <v>1</v>
      </c>
      <c r="AH39">
        <v>7</v>
      </c>
      <c r="AI39">
        <v>0</v>
      </c>
      <c r="AJ39">
        <v>6</v>
      </c>
      <c r="AK39">
        <v>0</v>
      </c>
      <c r="AL39">
        <v>0</v>
      </c>
      <c r="AM39">
        <v>1</v>
      </c>
      <c r="AN39">
        <v>6</v>
      </c>
      <c r="AO39">
        <v>15</v>
      </c>
      <c r="AQ39" t="str">
        <f t="shared" si="0"/>
        <v>Forward</v>
      </c>
    </row>
    <row r="40" spans="1:43" x14ac:dyDescent="0.35">
      <c r="A40" t="s">
        <v>86</v>
      </c>
      <c r="B40" t="s">
        <v>47</v>
      </c>
      <c r="C40" t="s">
        <v>907</v>
      </c>
      <c r="D40">
        <v>1990</v>
      </c>
      <c r="E40">
        <v>26</v>
      </c>
      <c r="F40" t="s">
        <v>71</v>
      </c>
      <c r="G40" t="s">
        <v>87</v>
      </c>
      <c r="H40">
        <v>1350000</v>
      </c>
      <c r="I40">
        <v>1350000</v>
      </c>
      <c r="J40" t="s">
        <v>42</v>
      </c>
      <c r="K40">
        <v>22</v>
      </c>
      <c r="L40">
        <v>1169</v>
      </c>
      <c r="M40">
        <v>2</v>
      </c>
      <c r="N40">
        <v>320</v>
      </c>
      <c r="O40">
        <v>0</v>
      </c>
      <c r="P40">
        <v>1</v>
      </c>
      <c r="Q40">
        <v>0</v>
      </c>
      <c r="R40">
        <v>9</v>
      </c>
      <c r="S40">
        <v>6</v>
      </c>
      <c r="T40">
        <v>23</v>
      </c>
      <c r="U40">
        <v>6</v>
      </c>
      <c r="V40">
        <v>0</v>
      </c>
      <c r="W40">
        <v>5</v>
      </c>
      <c r="X40">
        <v>0</v>
      </c>
      <c r="Y40">
        <v>0</v>
      </c>
      <c r="Z40">
        <v>0</v>
      </c>
      <c r="AA40">
        <v>10</v>
      </c>
      <c r="AB40">
        <v>3</v>
      </c>
      <c r="AC40">
        <v>0</v>
      </c>
      <c r="AD40">
        <v>0</v>
      </c>
      <c r="AE40">
        <v>4</v>
      </c>
      <c r="AF40">
        <v>1</v>
      </c>
      <c r="AG40">
        <v>7</v>
      </c>
      <c r="AH40">
        <v>19</v>
      </c>
      <c r="AI40">
        <v>0</v>
      </c>
      <c r="AJ40">
        <v>24</v>
      </c>
      <c r="AK40">
        <v>0</v>
      </c>
      <c r="AL40">
        <v>0</v>
      </c>
      <c r="AM40">
        <v>7</v>
      </c>
      <c r="AN40">
        <v>35</v>
      </c>
      <c r="AO40">
        <v>39</v>
      </c>
      <c r="AQ40" t="str">
        <f t="shared" si="0"/>
        <v>Forward</v>
      </c>
    </row>
    <row r="41" spans="1:43" x14ac:dyDescent="0.35">
      <c r="A41" t="s">
        <v>88</v>
      </c>
      <c r="B41" t="s">
        <v>39</v>
      </c>
      <c r="C41" t="s">
        <v>908</v>
      </c>
      <c r="D41">
        <v>1996</v>
      </c>
      <c r="E41">
        <v>19</v>
      </c>
      <c r="F41" t="s">
        <v>89</v>
      </c>
      <c r="G41" t="s">
        <v>45</v>
      </c>
      <c r="H41">
        <v>5500000</v>
      </c>
      <c r="I41">
        <v>6300000</v>
      </c>
      <c r="J41" t="s">
        <v>42</v>
      </c>
      <c r="K41">
        <v>10</v>
      </c>
      <c r="L41">
        <v>184</v>
      </c>
      <c r="M41">
        <v>0</v>
      </c>
      <c r="N41">
        <v>30</v>
      </c>
      <c r="O41">
        <v>0</v>
      </c>
      <c r="P41">
        <v>1</v>
      </c>
      <c r="Q41">
        <v>0</v>
      </c>
      <c r="R41">
        <v>10</v>
      </c>
      <c r="S41">
        <v>1</v>
      </c>
      <c r="T41">
        <v>2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21</v>
      </c>
      <c r="AF41">
        <v>0</v>
      </c>
      <c r="AG41">
        <v>0</v>
      </c>
      <c r="AH41">
        <v>4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2</v>
      </c>
      <c r="AQ41" t="str">
        <f t="shared" si="0"/>
        <v>Forward</v>
      </c>
    </row>
    <row r="42" spans="1:43" x14ac:dyDescent="0.35">
      <c r="A42" t="s">
        <v>88</v>
      </c>
      <c r="B42" t="s">
        <v>46</v>
      </c>
      <c r="C42" t="s">
        <v>909</v>
      </c>
      <c r="D42">
        <v>1996</v>
      </c>
      <c r="E42">
        <v>22</v>
      </c>
      <c r="F42" t="s">
        <v>90</v>
      </c>
      <c r="G42" t="s">
        <v>45</v>
      </c>
      <c r="H42">
        <v>16500000</v>
      </c>
      <c r="I42">
        <v>13500000</v>
      </c>
      <c r="J42" t="s">
        <v>42</v>
      </c>
      <c r="K42">
        <v>29</v>
      </c>
      <c r="L42">
        <v>892</v>
      </c>
      <c r="M42">
        <v>0</v>
      </c>
      <c r="N42">
        <v>270</v>
      </c>
      <c r="O42">
        <v>0</v>
      </c>
      <c r="P42">
        <v>0</v>
      </c>
      <c r="Q42">
        <v>0</v>
      </c>
      <c r="R42">
        <v>21</v>
      </c>
      <c r="S42">
        <v>8</v>
      </c>
      <c r="T42">
        <v>19</v>
      </c>
      <c r="U42">
        <v>7</v>
      </c>
      <c r="V42">
        <v>0</v>
      </c>
      <c r="W42">
        <v>4</v>
      </c>
      <c r="X42">
        <v>0</v>
      </c>
      <c r="Y42">
        <v>0</v>
      </c>
      <c r="Z42">
        <v>0</v>
      </c>
      <c r="AA42">
        <v>6</v>
      </c>
      <c r="AB42">
        <v>0</v>
      </c>
      <c r="AC42">
        <v>12</v>
      </c>
      <c r="AD42">
        <v>0</v>
      </c>
      <c r="AE42">
        <v>35</v>
      </c>
      <c r="AF42">
        <v>0</v>
      </c>
      <c r="AG42">
        <v>6</v>
      </c>
      <c r="AH42">
        <v>15</v>
      </c>
      <c r="AI42">
        <v>0</v>
      </c>
      <c r="AJ42">
        <v>16</v>
      </c>
      <c r="AK42">
        <v>0</v>
      </c>
      <c r="AL42">
        <v>0</v>
      </c>
      <c r="AM42">
        <v>6</v>
      </c>
      <c r="AN42">
        <v>22</v>
      </c>
      <c r="AO42">
        <v>36</v>
      </c>
      <c r="AQ42" t="str">
        <f t="shared" si="0"/>
        <v>Forward</v>
      </c>
    </row>
    <row r="43" spans="1:43" x14ac:dyDescent="0.35">
      <c r="A43" t="s">
        <v>88</v>
      </c>
      <c r="B43" t="s">
        <v>47</v>
      </c>
      <c r="C43" t="s">
        <v>910</v>
      </c>
      <c r="D43">
        <v>1996</v>
      </c>
      <c r="E43">
        <v>20</v>
      </c>
      <c r="F43" t="s">
        <v>48</v>
      </c>
      <c r="G43" t="s">
        <v>45</v>
      </c>
      <c r="H43">
        <v>6300000</v>
      </c>
      <c r="I43">
        <v>7200000</v>
      </c>
      <c r="J43" t="s">
        <v>52</v>
      </c>
      <c r="K43">
        <v>27</v>
      </c>
      <c r="L43">
        <v>1535</v>
      </c>
      <c r="M43">
        <v>0</v>
      </c>
      <c r="N43">
        <v>369</v>
      </c>
      <c r="O43">
        <v>1</v>
      </c>
      <c r="P43">
        <v>1</v>
      </c>
      <c r="Q43">
        <v>0</v>
      </c>
      <c r="R43">
        <v>11</v>
      </c>
      <c r="S43">
        <v>7</v>
      </c>
      <c r="T43">
        <v>11</v>
      </c>
      <c r="U43">
        <v>2</v>
      </c>
      <c r="V43">
        <v>0</v>
      </c>
      <c r="W43">
        <v>1</v>
      </c>
      <c r="X43">
        <v>0</v>
      </c>
      <c r="Y43">
        <v>0</v>
      </c>
      <c r="Z43">
        <v>0</v>
      </c>
      <c r="AA43">
        <v>1</v>
      </c>
      <c r="AB43">
        <v>6</v>
      </c>
      <c r="AC43">
        <v>1</v>
      </c>
      <c r="AD43">
        <v>0</v>
      </c>
      <c r="AE43">
        <v>79</v>
      </c>
      <c r="AF43">
        <v>2</v>
      </c>
      <c r="AG43">
        <v>6</v>
      </c>
      <c r="AH43">
        <v>20</v>
      </c>
      <c r="AI43">
        <v>0</v>
      </c>
      <c r="AJ43">
        <v>30</v>
      </c>
      <c r="AK43">
        <v>0</v>
      </c>
      <c r="AL43">
        <v>0</v>
      </c>
      <c r="AM43">
        <v>5</v>
      </c>
      <c r="AN43">
        <v>15</v>
      </c>
      <c r="AO43">
        <v>23</v>
      </c>
      <c r="AQ43" t="str">
        <f t="shared" si="0"/>
        <v>Defensive Forward</v>
      </c>
    </row>
    <row r="44" spans="1:43" x14ac:dyDescent="0.35">
      <c r="A44" t="s">
        <v>91</v>
      </c>
      <c r="B44" t="s">
        <v>46</v>
      </c>
      <c r="C44" t="s">
        <v>911</v>
      </c>
      <c r="D44">
        <v>1997</v>
      </c>
      <c r="E44">
        <v>20</v>
      </c>
      <c r="F44" t="s">
        <v>54</v>
      </c>
      <c r="G44" t="s">
        <v>51</v>
      </c>
      <c r="H44">
        <v>10800000</v>
      </c>
      <c r="I44">
        <v>18000000</v>
      </c>
      <c r="J44" t="s">
        <v>42</v>
      </c>
      <c r="K44">
        <v>21</v>
      </c>
      <c r="L44">
        <v>601</v>
      </c>
      <c r="M44">
        <v>0</v>
      </c>
      <c r="N44">
        <v>253</v>
      </c>
      <c r="O44">
        <v>2</v>
      </c>
      <c r="P44">
        <v>0</v>
      </c>
      <c r="Q44">
        <v>0</v>
      </c>
      <c r="R44">
        <v>18</v>
      </c>
      <c r="S44">
        <v>1</v>
      </c>
      <c r="T44">
        <v>12</v>
      </c>
      <c r="U44">
        <v>3</v>
      </c>
      <c r="V44">
        <v>1</v>
      </c>
      <c r="W44">
        <v>0</v>
      </c>
      <c r="X44">
        <v>0</v>
      </c>
      <c r="Y44">
        <v>0</v>
      </c>
      <c r="Z44">
        <v>0</v>
      </c>
      <c r="AA44">
        <v>2</v>
      </c>
      <c r="AB44">
        <v>1</v>
      </c>
      <c r="AC44">
        <v>9</v>
      </c>
      <c r="AD44">
        <v>7</v>
      </c>
      <c r="AE44">
        <v>15</v>
      </c>
      <c r="AF44">
        <v>0</v>
      </c>
      <c r="AG44">
        <v>7</v>
      </c>
      <c r="AH44">
        <v>8</v>
      </c>
      <c r="AI44">
        <v>0</v>
      </c>
      <c r="AJ44">
        <v>15</v>
      </c>
      <c r="AK44">
        <v>0</v>
      </c>
      <c r="AL44">
        <v>0</v>
      </c>
      <c r="AM44">
        <v>2</v>
      </c>
      <c r="AN44">
        <v>6</v>
      </c>
      <c r="AO44">
        <v>5</v>
      </c>
      <c r="AQ44" t="str">
        <f t="shared" si="0"/>
        <v>Forward</v>
      </c>
    </row>
    <row r="45" spans="1:43" x14ac:dyDescent="0.35">
      <c r="A45" t="s">
        <v>92</v>
      </c>
      <c r="B45" t="s">
        <v>47</v>
      </c>
      <c r="C45" t="s">
        <v>912</v>
      </c>
      <c r="D45">
        <v>1985</v>
      </c>
      <c r="E45">
        <v>31</v>
      </c>
      <c r="F45" t="s">
        <v>66</v>
      </c>
      <c r="G45" t="s">
        <v>93</v>
      </c>
      <c r="H45">
        <v>1100000</v>
      </c>
      <c r="I45">
        <v>1100000</v>
      </c>
      <c r="J45" t="s">
        <v>55</v>
      </c>
      <c r="K45">
        <v>17</v>
      </c>
      <c r="L45">
        <v>796</v>
      </c>
      <c r="M45">
        <v>0</v>
      </c>
      <c r="N45">
        <v>393</v>
      </c>
      <c r="O45">
        <v>1</v>
      </c>
      <c r="P45">
        <v>2</v>
      </c>
      <c r="Q45">
        <v>0</v>
      </c>
      <c r="R45">
        <v>6</v>
      </c>
      <c r="S45">
        <v>5</v>
      </c>
      <c r="T45">
        <v>15</v>
      </c>
      <c r="U45">
        <v>3</v>
      </c>
      <c r="V45">
        <v>0</v>
      </c>
      <c r="W45">
        <v>5</v>
      </c>
      <c r="X45">
        <v>0</v>
      </c>
      <c r="Y45">
        <v>0</v>
      </c>
      <c r="Z45">
        <v>0</v>
      </c>
      <c r="AA45">
        <v>1</v>
      </c>
      <c r="AB45">
        <v>3</v>
      </c>
      <c r="AC45">
        <v>0</v>
      </c>
      <c r="AD45">
        <v>10</v>
      </c>
      <c r="AE45">
        <v>30</v>
      </c>
      <c r="AF45">
        <v>1</v>
      </c>
      <c r="AG45">
        <v>9</v>
      </c>
      <c r="AH45">
        <v>20</v>
      </c>
      <c r="AI45">
        <v>0</v>
      </c>
      <c r="AJ45">
        <v>22</v>
      </c>
      <c r="AK45">
        <v>0</v>
      </c>
      <c r="AL45">
        <v>0</v>
      </c>
      <c r="AM45">
        <v>10</v>
      </c>
      <c r="AN45">
        <v>19</v>
      </c>
      <c r="AO45">
        <v>10</v>
      </c>
      <c r="AQ45" t="str">
        <f t="shared" si="0"/>
        <v>Midfielder</v>
      </c>
    </row>
    <row r="46" spans="1:43" x14ac:dyDescent="0.35">
      <c r="A46" t="s">
        <v>92</v>
      </c>
      <c r="B46" t="s">
        <v>39</v>
      </c>
      <c r="C46" t="s">
        <v>913</v>
      </c>
      <c r="D46">
        <v>1985</v>
      </c>
      <c r="E46">
        <v>29</v>
      </c>
      <c r="F46" t="s">
        <v>66</v>
      </c>
      <c r="G46" t="s">
        <v>93</v>
      </c>
      <c r="H46">
        <v>1100000</v>
      </c>
      <c r="I46">
        <v>1100000</v>
      </c>
      <c r="J46" t="s">
        <v>55</v>
      </c>
      <c r="K46">
        <v>18</v>
      </c>
      <c r="L46">
        <v>421</v>
      </c>
      <c r="M46">
        <v>0</v>
      </c>
      <c r="N46">
        <v>251</v>
      </c>
      <c r="O46">
        <v>0</v>
      </c>
      <c r="P46">
        <v>2</v>
      </c>
      <c r="Q46">
        <v>0</v>
      </c>
      <c r="R46">
        <v>15</v>
      </c>
      <c r="S46">
        <v>2</v>
      </c>
      <c r="T46">
        <v>13</v>
      </c>
      <c r="U46">
        <v>3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1</v>
      </c>
      <c r="AC46">
        <v>0</v>
      </c>
      <c r="AD46">
        <v>17</v>
      </c>
      <c r="AE46">
        <v>43</v>
      </c>
      <c r="AF46">
        <v>1</v>
      </c>
      <c r="AG46">
        <v>16</v>
      </c>
      <c r="AH46">
        <v>13</v>
      </c>
      <c r="AI46">
        <v>0</v>
      </c>
      <c r="AJ46">
        <v>13</v>
      </c>
      <c r="AK46">
        <v>0</v>
      </c>
      <c r="AL46">
        <v>0</v>
      </c>
      <c r="AM46">
        <v>1</v>
      </c>
      <c r="AN46">
        <v>12</v>
      </c>
      <c r="AO46">
        <v>15</v>
      </c>
      <c r="AQ46" t="str">
        <f t="shared" si="0"/>
        <v>Midfielder</v>
      </c>
    </row>
    <row r="47" spans="1:43" x14ac:dyDescent="0.35">
      <c r="A47" t="s">
        <v>94</v>
      </c>
      <c r="B47" t="s">
        <v>47</v>
      </c>
      <c r="C47" t="s">
        <v>914</v>
      </c>
      <c r="D47">
        <v>1995</v>
      </c>
      <c r="E47">
        <v>21</v>
      </c>
      <c r="F47" t="s">
        <v>78</v>
      </c>
      <c r="G47" t="s">
        <v>95</v>
      </c>
      <c r="H47">
        <v>7700000</v>
      </c>
      <c r="I47">
        <v>7700000</v>
      </c>
      <c r="J47" t="s">
        <v>55</v>
      </c>
      <c r="K47">
        <v>25</v>
      </c>
      <c r="L47">
        <v>1629</v>
      </c>
      <c r="M47">
        <v>0</v>
      </c>
      <c r="N47">
        <v>356</v>
      </c>
      <c r="O47">
        <v>3</v>
      </c>
      <c r="P47">
        <v>3</v>
      </c>
      <c r="Q47">
        <v>0</v>
      </c>
      <c r="R47">
        <v>7</v>
      </c>
      <c r="S47">
        <v>8</v>
      </c>
      <c r="T47">
        <v>26</v>
      </c>
      <c r="U47">
        <v>7</v>
      </c>
      <c r="V47">
        <v>0</v>
      </c>
      <c r="W47">
        <v>11</v>
      </c>
      <c r="X47">
        <v>0</v>
      </c>
      <c r="Y47">
        <v>0</v>
      </c>
      <c r="Z47">
        <v>0</v>
      </c>
      <c r="AA47">
        <v>3</v>
      </c>
      <c r="AB47">
        <v>4</v>
      </c>
      <c r="AC47">
        <v>0</v>
      </c>
      <c r="AD47">
        <v>41</v>
      </c>
      <c r="AE47">
        <v>66</v>
      </c>
      <c r="AF47">
        <v>1</v>
      </c>
      <c r="AG47">
        <v>9</v>
      </c>
      <c r="AH47">
        <v>26</v>
      </c>
      <c r="AI47">
        <v>0</v>
      </c>
      <c r="AJ47">
        <v>17</v>
      </c>
      <c r="AK47">
        <v>0</v>
      </c>
      <c r="AL47">
        <v>0</v>
      </c>
      <c r="AM47">
        <v>19</v>
      </c>
      <c r="AN47">
        <v>14</v>
      </c>
      <c r="AO47">
        <v>39</v>
      </c>
      <c r="AQ47" t="str">
        <f t="shared" si="0"/>
        <v>Midfielder</v>
      </c>
    </row>
    <row r="48" spans="1:43" x14ac:dyDescent="0.35">
      <c r="A48" t="s">
        <v>96</v>
      </c>
      <c r="B48" t="s">
        <v>43</v>
      </c>
      <c r="C48" t="s">
        <v>915</v>
      </c>
      <c r="D48">
        <v>1986</v>
      </c>
      <c r="E48">
        <v>31</v>
      </c>
      <c r="F48" t="s">
        <v>66</v>
      </c>
      <c r="G48" t="s">
        <v>97</v>
      </c>
      <c r="H48">
        <v>900000</v>
      </c>
      <c r="I48">
        <v>1350000</v>
      </c>
      <c r="J48" t="s">
        <v>52</v>
      </c>
      <c r="K48">
        <v>28</v>
      </c>
      <c r="L48">
        <v>2208</v>
      </c>
      <c r="M48">
        <v>0</v>
      </c>
      <c r="N48">
        <v>961</v>
      </c>
      <c r="O48">
        <v>0</v>
      </c>
      <c r="P48">
        <v>4</v>
      </c>
      <c r="Q48">
        <v>0</v>
      </c>
      <c r="R48">
        <v>4</v>
      </c>
      <c r="S48">
        <v>3</v>
      </c>
      <c r="T48">
        <v>10</v>
      </c>
      <c r="U48">
        <v>2</v>
      </c>
      <c r="V48">
        <v>0</v>
      </c>
      <c r="W48">
        <v>79</v>
      </c>
      <c r="X48">
        <v>0</v>
      </c>
      <c r="Y48">
        <v>0</v>
      </c>
      <c r="Z48">
        <v>0</v>
      </c>
      <c r="AA48">
        <v>0</v>
      </c>
      <c r="AB48">
        <v>0</v>
      </c>
      <c r="AC48">
        <v>8</v>
      </c>
      <c r="AD48">
        <v>0</v>
      </c>
      <c r="AE48">
        <v>4</v>
      </c>
      <c r="AF48">
        <v>16</v>
      </c>
      <c r="AG48">
        <v>45</v>
      </c>
      <c r="AH48">
        <v>32</v>
      </c>
      <c r="AI48">
        <v>1</v>
      </c>
      <c r="AJ48">
        <v>45</v>
      </c>
      <c r="AK48">
        <v>2</v>
      </c>
      <c r="AL48">
        <v>0</v>
      </c>
      <c r="AM48">
        <v>129</v>
      </c>
      <c r="AN48">
        <v>90</v>
      </c>
      <c r="AO48">
        <v>75</v>
      </c>
      <c r="AQ48" t="str">
        <f t="shared" si="0"/>
        <v>Defensive Forward</v>
      </c>
    </row>
    <row r="49" spans="1:43" x14ac:dyDescent="0.35">
      <c r="A49" t="s">
        <v>96</v>
      </c>
      <c r="B49" t="s">
        <v>46</v>
      </c>
      <c r="C49" t="s">
        <v>916</v>
      </c>
      <c r="D49">
        <v>1986</v>
      </c>
      <c r="E49">
        <v>31</v>
      </c>
      <c r="F49" t="s">
        <v>66</v>
      </c>
      <c r="G49" t="s">
        <v>97</v>
      </c>
      <c r="H49">
        <v>1350000</v>
      </c>
      <c r="I49">
        <v>2700000</v>
      </c>
      <c r="J49" t="s">
        <v>52</v>
      </c>
      <c r="K49">
        <v>26</v>
      </c>
      <c r="L49">
        <v>1924</v>
      </c>
      <c r="M49">
        <v>0</v>
      </c>
      <c r="N49">
        <v>882</v>
      </c>
      <c r="O49">
        <v>0</v>
      </c>
      <c r="P49">
        <v>3</v>
      </c>
      <c r="Q49">
        <v>0</v>
      </c>
      <c r="R49">
        <v>6</v>
      </c>
      <c r="S49">
        <v>0</v>
      </c>
      <c r="T49">
        <v>7</v>
      </c>
      <c r="U49">
        <v>1</v>
      </c>
      <c r="V49">
        <v>0</v>
      </c>
      <c r="W49">
        <v>51</v>
      </c>
      <c r="X49">
        <v>0</v>
      </c>
      <c r="Y49">
        <v>0</v>
      </c>
      <c r="Z49">
        <v>0</v>
      </c>
      <c r="AA49">
        <v>1</v>
      </c>
      <c r="AB49">
        <v>0</v>
      </c>
      <c r="AC49">
        <v>6</v>
      </c>
      <c r="AD49">
        <v>0</v>
      </c>
      <c r="AE49">
        <v>1</v>
      </c>
      <c r="AF49">
        <v>15</v>
      </c>
      <c r="AG49">
        <v>25</v>
      </c>
      <c r="AH49">
        <v>19</v>
      </c>
      <c r="AI49">
        <v>2</v>
      </c>
      <c r="AJ49">
        <v>35</v>
      </c>
      <c r="AK49">
        <v>1</v>
      </c>
      <c r="AL49">
        <v>0</v>
      </c>
      <c r="AM49">
        <v>119</v>
      </c>
      <c r="AN49">
        <v>59</v>
      </c>
      <c r="AO49">
        <v>58</v>
      </c>
      <c r="AQ49" t="str">
        <f t="shared" si="0"/>
        <v>Defensive Forward</v>
      </c>
    </row>
    <row r="50" spans="1:43" x14ac:dyDescent="0.35">
      <c r="A50" t="s">
        <v>98</v>
      </c>
      <c r="B50" t="s">
        <v>43</v>
      </c>
      <c r="C50" t="s">
        <v>917</v>
      </c>
      <c r="D50">
        <v>1989</v>
      </c>
      <c r="E50">
        <v>28</v>
      </c>
      <c r="F50" t="s">
        <v>99</v>
      </c>
      <c r="G50" t="s">
        <v>41</v>
      </c>
      <c r="H50">
        <v>22500000</v>
      </c>
      <c r="I50">
        <v>18000000</v>
      </c>
      <c r="J50" t="s">
        <v>55</v>
      </c>
      <c r="K50">
        <v>12</v>
      </c>
      <c r="L50">
        <v>761</v>
      </c>
      <c r="M50">
        <v>0</v>
      </c>
      <c r="N50">
        <v>433</v>
      </c>
      <c r="O50">
        <v>1</v>
      </c>
      <c r="P50">
        <v>3</v>
      </c>
      <c r="Q50">
        <v>0</v>
      </c>
      <c r="R50">
        <v>3</v>
      </c>
      <c r="S50">
        <v>4</v>
      </c>
      <c r="T50">
        <v>11</v>
      </c>
      <c r="U50">
        <v>2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3</v>
      </c>
      <c r="AC50">
        <v>9</v>
      </c>
      <c r="AD50">
        <v>0</v>
      </c>
      <c r="AE50">
        <v>4</v>
      </c>
      <c r="AF50">
        <v>2</v>
      </c>
      <c r="AG50">
        <v>14</v>
      </c>
      <c r="AH50">
        <v>9</v>
      </c>
      <c r="AI50">
        <v>0</v>
      </c>
      <c r="AJ50">
        <v>22</v>
      </c>
      <c r="AK50">
        <v>0</v>
      </c>
      <c r="AL50">
        <v>0</v>
      </c>
      <c r="AM50">
        <v>0</v>
      </c>
      <c r="AN50">
        <v>11</v>
      </c>
      <c r="AO50">
        <v>19</v>
      </c>
      <c r="AQ50" t="str">
        <f t="shared" si="0"/>
        <v>Midfielder</v>
      </c>
    </row>
    <row r="51" spans="1:43" x14ac:dyDescent="0.35">
      <c r="A51" t="s">
        <v>100</v>
      </c>
      <c r="B51" t="s">
        <v>47</v>
      </c>
      <c r="C51" t="s">
        <v>918</v>
      </c>
      <c r="D51">
        <v>1987</v>
      </c>
      <c r="E51">
        <v>29</v>
      </c>
      <c r="F51" t="s">
        <v>71</v>
      </c>
      <c r="G51" t="s">
        <v>101</v>
      </c>
      <c r="H51">
        <v>4400000</v>
      </c>
      <c r="I51">
        <v>4400000</v>
      </c>
      <c r="J51" t="s">
        <v>52</v>
      </c>
      <c r="K51">
        <v>33</v>
      </c>
      <c r="L51">
        <v>2520</v>
      </c>
      <c r="M51">
        <v>0</v>
      </c>
      <c r="N51">
        <v>1371</v>
      </c>
      <c r="O51">
        <v>2</v>
      </c>
      <c r="P51">
        <v>3</v>
      </c>
      <c r="Q51">
        <v>1</v>
      </c>
      <c r="R51">
        <v>5</v>
      </c>
      <c r="S51">
        <v>1</v>
      </c>
      <c r="T51">
        <v>9</v>
      </c>
      <c r="U51">
        <v>2</v>
      </c>
      <c r="V51">
        <v>0</v>
      </c>
      <c r="W51">
        <v>53</v>
      </c>
      <c r="X51">
        <v>0</v>
      </c>
      <c r="Y51">
        <v>0</v>
      </c>
      <c r="Z51">
        <v>0</v>
      </c>
      <c r="AA51">
        <v>1</v>
      </c>
      <c r="AB51">
        <v>1</v>
      </c>
      <c r="AC51">
        <v>0</v>
      </c>
      <c r="AD51">
        <v>0</v>
      </c>
      <c r="AE51">
        <v>123</v>
      </c>
      <c r="AF51">
        <v>8</v>
      </c>
      <c r="AG51">
        <v>49</v>
      </c>
      <c r="AH51">
        <v>22</v>
      </c>
      <c r="AI51">
        <v>0</v>
      </c>
      <c r="AJ51">
        <v>42</v>
      </c>
      <c r="AK51">
        <v>0</v>
      </c>
      <c r="AL51">
        <v>1</v>
      </c>
      <c r="AM51">
        <v>90</v>
      </c>
      <c r="AN51">
        <v>59</v>
      </c>
      <c r="AO51">
        <v>38</v>
      </c>
      <c r="AQ51" t="str">
        <f t="shared" si="0"/>
        <v>Defensive Forward</v>
      </c>
    </row>
    <row r="52" spans="1:43" x14ac:dyDescent="0.35">
      <c r="A52" t="s">
        <v>102</v>
      </c>
      <c r="B52" t="s">
        <v>43</v>
      </c>
      <c r="C52" t="s">
        <v>919</v>
      </c>
      <c r="D52">
        <v>1991</v>
      </c>
      <c r="E52">
        <v>26</v>
      </c>
      <c r="F52" t="s">
        <v>103</v>
      </c>
      <c r="G52" t="s">
        <v>101</v>
      </c>
      <c r="H52">
        <v>1650000</v>
      </c>
      <c r="I52">
        <v>5500000</v>
      </c>
      <c r="J52" t="s">
        <v>52</v>
      </c>
      <c r="K52">
        <v>38</v>
      </c>
      <c r="L52">
        <v>3387</v>
      </c>
      <c r="M52">
        <v>2</v>
      </c>
      <c r="N52">
        <v>1186</v>
      </c>
      <c r="O52">
        <v>0</v>
      </c>
      <c r="P52">
        <v>4</v>
      </c>
      <c r="Q52">
        <v>0</v>
      </c>
      <c r="R52">
        <v>0</v>
      </c>
      <c r="S52">
        <v>1</v>
      </c>
      <c r="T52">
        <v>14</v>
      </c>
      <c r="U52">
        <v>4</v>
      </c>
      <c r="V52">
        <v>0</v>
      </c>
      <c r="W52">
        <v>152</v>
      </c>
      <c r="X52">
        <v>2</v>
      </c>
      <c r="Y52">
        <v>0</v>
      </c>
      <c r="Z52">
        <v>0</v>
      </c>
      <c r="AA52">
        <v>2</v>
      </c>
      <c r="AB52">
        <v>1</v>
      </c>
      <c r="AC52">
        <v>10</v>
      </c>
      <c r="AD52">
        <v>0</v>
      </c>
      <c r="AE52">
        <v>10</v>
      </c>
      <c r="AF52">
        <v>37</v>
      </c>
      <c r="AG52">
        <v>60</v>
      </c>
      <c r="AH52">
        <v>24</v>
      </c>
      <c r="AI52">
        <v>0</v>
      </c>
      <c r="AJ52">
        <v>58</v>
      </c>
      <c r="AK52">
        <v>1</v>
      </c>
      <c r="AL52">
        <v>0</v>
      </c>
      <c r="AM52">
        <v>270</v>
      </c>
      <c r="AN52">
        <v>103</v>
      </c>
      <c r="AO52">
        <v>84</v>
      </c>
      <c r="AQ52" t="str">
        <f t="shared" si="0"/>
        <v>Defensive Forward</v>
      </c>
    </row>
    <row r="53" spans="1:43" x14ac:dyDescent="0.35">
      <c r="A53" t="s">
        <v>104</v>
      </c>
      <c r="B53" t="s">
        <v>47</v>
      </c>
      <c r="C53" t="s">
        <v>920</v>
      </c>
      <c r="D53">
        <v>1992</v>
      </c>
      <c r="E53">
        <v>23</v>
      </c>
      <c r="F53" t="s">
        <v>99</v>
      </c>
      <c r="G53" t="s">
        <v>105</v>
      </c>
      <c r="H53">
        <v>16500000</v>
      </c>
      <c r="I53">
        <v>15300000</v>
      </c>
      <c r="J53" t="s">
        <v>42</v>
      </c>
      <c r="K53">
        <v>21</v>
      </c>
      <c r="L53">
        <v>753</v>
      </c>
      <c r="M53">
        <v>2</v>
      </c>
      <c r="N53">
        <v>214</v>
      </c>
      <c r="O53">
        <v>0</v>
      </c>
      <c r="P53">
        <v>1</v>
      </c>
      <c r="Q53">
        <v>0</v>
      </c>
      <c r="R53">
        <v>14</v>
      </c>
      <c r="S53">
        <v>6</v>
      </c>
      <c r="T53">
        <v>17</v>
      </c>
      <c r="U53">
        <v>6</v>
      </c>
      <c r="V53">
        <v>0</v>
      </c>
      <c r="W53">
        <v>2</v>
      </c>
      <c r="X53">
        <v>0</v>
      </c>
      <c r="Y53">
        <v>0</v>
      </c>
      <c r="Z53">
        <v>0</v>
      </c>
      <c r="AA53">
        <v>1</v>
      </c>
      <c r="AB53">
        <v>0</v>
      </c>
      <c r="AC53">
        <v>1</v>
      </c>
      <c r="AD53">
        <v>2</v>
      </c>
      <c r="AE53">
        <v>26</v>
      </c>
      <c r="AF53">
        <v>0</v>
      </c>
      <c r="AG53">
        <v>10</v>
      </c>
      <c r="AH53">
        <v>13</v>
      </c>
      <c r="AI53">
        <v>0</v>
      </c>
      <c r="AJ53">
        <v>13</v>
      </c>
      <c r="AK53">
        <v>0</v>
      </c>
      <c r="AL53">
        <v>0</v>
      </c>
      <c r="AM53">
        <v>2</v>
      </c>
      <c r="AN53">
        <v>10</v>
      </c>
      <c r="AO53">
        <v>31</v>
      </c>
      <c r="AQ53" t="str">
        <f t="shared" si="0"/>
        <v>Forward</v>
      </c>
    </row>
    <row r="54" spans="1:43" x14ac:dyDescent="0.35">
      <c r="A54" t="s">
        <v>106</v>
      </c>
      <c r="B54" t="s">
        <v>46</v>
      </c>
      <c r="C54" t="s">
        <v>921</v>
      </c>
      <c r="D54">
        <v>1997</v>
      </c>
      <c r="E54">
        <v>20</v>
      </c>
      <c r="F54" t="s">
        <v>61</v>
      </c>
      <c r="G54" t="s">
        <v>51</v>
      </c>
      <c r="H54">
        <v>7700000</v>
      </c>
      <c r="I54">
        <v>13200000</v>
      </c>
      <c r="J54" t="s">
        <v>55</v>
      </c>
      <c r="K54">
        <v>16</v>
      </c>
      <c r="L54">
        <v>986</v>
      </c>
      <c r="M54">
        <v>1</v>
      </c>
      <c r="N54">
        <v>451</v>
      </c>
      <c r="O54">
        <v>1</v>
      </c>
      <c r="P54">
        <v>1</v>
      </c>
      <c r="Q54">
        <v>1</v>
      </c>
      <c r="R54">
        <v>5</v>
      </c>
      <c r="S54">
        <v>2</v>
      </c>
      <c r="T54">
        <v>5</v>
      </c>
      <c r="U54">
        <v>3</v>
      </c>
      <c r="V54">
        <v>0</v>
      </c>
      <c r="W54">
        <v>9</v>
      </c>
      <c r="X54">
        <v>0</v>
      </c>
      <c r="Y54">
        <v>0</v>
      </c>
      <c r="Z54">
        <v>0</v>
      </c>
      <c r="AA54">
        <v>1</v>
      </c>
      <c r="AB54">
        <v>0</v>
      </c>
      <c r="AC54">
        <v>2</v>
      </c>
      <c r="AD54">
        <v>0</v>
      </c>
      <c r="AE54">
        <v>18</v>
      </c>
      <c r="AF54">
        <v>4</v>
      </c>
      <c r="AG54">
        <v>19</v>
      </c>
      <c r="AH54">
        <v>8</v>
      </c>
      <c r="AI54">
        <v>1</v>
      </c>
      <c r="AJ54">
        <v>33</v>
      </c>
      <c r="AK54">
        <v>0</v>
      </c>
      <c r="AL54">
        <v>0</v>
      </c>
      <c r="AM54">
        <v>11</v>
      </c>
      <c r="AN54">
        <v>6</v>
      </c>
      <c r="AO54">
        <v>12</v>
      </c>
      <c r="AQ54" t="str">
        <f t="shared" si="0"/>
        <v>Midfielder</v>
      </c>
    </row>
    <row r="55" spans="1:43" x14ac:dyDescent="0.35">
      <c r="A55" t="s">
        <v>106</v>
      </c>
      <c r="B55" t="s">
        <v>43</v>
      </c>
      <c r="C55" t="s">
        <v>922</v>
      </c>
      <c r="D55">
        <v>1997</v>
      </c>
      <c r="E55">
        <v>20</v>
      </c>
      <c r="F55" t="s">
        <v>61</v>
      </c>
      <c r="G55" t="s">
        <v>51</v>
      </c>
      <c r="H55">
        <v>1650000</v>
      </c>
      <c r="I55">
        <v>7700000</v>
      </c>
      <c r="J55" t="s">
        <v>55</v>
      </c>
      <c r="K55">
        <v>15</v>
      </c>
      <c r="L55">
        <v>908</v>
      </c>
      <c r="M55">
        <v>0</v>
      </c>
      <c r="N55">
        <v>536</v>
      </c>
      <c r="O55">
        <v>0</v>
      </c>
      <c r="P55">
        <v>1</v>
      </c>
      <c r="Q55">
        <v>0</v>
      </c>
      <c r="R55">
        <v>7</v>
      </c>
      <c r="S55">
        <v>0</v>
      </c>
      <c r="T55">
        <v>0</v>
      </c>
      <c r="U55">
        <v>0</v>
      </c>
      <c r="V55">
        <v>1</v>
      </c>
      <c r="W55">
        <v>8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20</v>
      </c>
      <c r="AF55">
        <v>1</v>
      </c>
      <c r="AG55">
        <v>12</v>
      </c>
      <c r="AH55">
        <v>10</v>
      </c>
      <c r="AI55">
        <v>2</v>
      </c>
      <c r="AJ55">
        <v>25</v>
      </c>
      <c r="AK55">
        <v>0</v>
      </c>
      <c r="AL55">
        <v>0</v>
      </c>
      <c r="AM55">
        <v>22</v>
      </c>
      <c r="AN55">
        <v>6</v>
      </c>
      <c r="AO55">
        <v>14</v>
      </c>
      <c r="AQ55" t="str">
        <f t="shared" si="0"/>
        <v>Midfielder</v>
      </c>
    </row>
    <row r="56" spans="1:43" x14ac:dyDescent="0.35">
      <c r="A56" t="s">
        <v>107</v>
      </c>
      <c r="B56" t="s">
        <v>39</v>
      </c>
      <c r="C56" t="s">
        <v>923</v>
      </c>
      <c r="D56">
        <v>1984</v>
      </c>
      <c r="E56">
        <v>30</v>
      </c>
      <c r="F56" t="s">
        <v>89</v>
      </c>
      <c r="G56" t="s">
        <v>108</v>
      </c>
      <c r="H56">
        <v>2000000</v>
      </c>
      <c r="I56">
        <v>2000000</v>
      </c>
      <c r="J56" t="s">
        <v>52</v>
      </c>
      <c r="K56">
        <v>28</v>
      </c>
      <c r="L56">
        <v>2330</v>
      </c>
      <c r="M56">
        <v>0</v>
      </c>
      <c r="N56">
        <v>843</v>
      </c>
      <c r="O56">
        <v>1</v>
      </c>
      <c r="P56">
        <v>6</v>
      </c>
      <c r="Q56">
        <v>1</v>
      </c>
      <c r="R56">
        <v>2</v>
      </c>
      <c r="S56">
        <v>1</v>
      </c>
      <c r="T56">
        <v>9</v>
      </c>
      <c r="U56">
        <v>0</v>
      </c>
      <c r="V56">
        <v>0</v>
      </c>
      <c r="W56">
        <v>32</v>
      </c>
      <c r="X56">
        <v>0</v>
      </c>
      <c r="Y56">
        <v>0</v>
      </c>
      <c r="Z56">
        <v>0</v>
      </c>
      <c r="AA56">
        <v>3</v>
      </c>
      <c r="AB56">
        <v>1</v>
      </c>
      <c r="AC56">
        <v>1</v>
      </c>
      <c r="AD56">
        <v>0</v>
      </c>
      <c r="AE56">
        <v>121</v>
      </c>
      <c r="AF56">
        <v>10</v>
      </c>
      <c r="AG56">
        <v>52</v>
      </c>
      <c r="AH56">
        <v>28</v>
      </c>
      <c r="AI56">
        <v>0</v>
      </c>
      <c r="AJ56">
        <v>55</v>
      </c>
      <c r="AK56">
        <v>2</v>
      </c>
      <c r="AL56">
        <v>2</v>
      </c>
      <c r="AM56">
        <v>52</v>
      </c>
      <c r="AN56">
        <v>34</v>
      </c>
      <c r="AO56">
        <v>16</v>
      </c>
      <c r="AQ56" t="str">
        <f t="shared" si="0"/>
        <v>Defensive Forward</v>
      </c>
    </row>
    <row r="57" spans="1:43" x14ac:dyDescent="0.35">
      <c r="A57" t="s">
        <v>109</v>
      </c>
      <c r="B57" t="s">
        <v>39</v>
      </c>
      <c r="C57" t="s">
        <v>924</v>
      </c>
      <c r="D57">
        <v>1992</v>
      </c>
      <c r="E57">
        <v>23</v>
      </c>
      <c r="F57" t="s">
        <v>80</v>
      </c>
      <c r="G57" t="s">
        <v>45</v>
      </c>
      <c r="H57">
        <v>16500000</v>
      </c>
      <c r="I57">
        <v>16500000</v>
      </c>
      <c r="J57" t="s">
        <v>52</v>
      </c>
      <c r="K57">
        <v>28</v>
      </c>
      <c r="L57">
        <v>2547</v>
      </c>
      <c r="M57">
        <v>1</v>
      </c>
      <c r="N57">
        <v>1323</v>
      </c>
      <c r="O57">
        <v>4</v>
      </c>
      <c r="P57">
        <v>3</v>
      </c>
      <c r="Q57">
        <v>0</v>
      </c>
      <c r="R57">
        <v>4</v>
      </c>
      <c r="S57">
        <v>3</v>
      </c>
      <c r="T57">
        <v>36</v>
      </c>
      <c r="U57">
        <v>8</v>
      </c>
      <c r="V57">
        <v>1</v>
      </c>
      <c r="W57">
        <v>12</v>
      </c>
      <c r="X57">
        <v>0</v>
      </c>
      <c r="Y57">
        <v>0</v>
      </c>
      <c r="Z57">
        <v>0</v>
      </c>
      <c r="AA57">
        <v>6</v>
      </c>
      <c r="AB57">
        <v>1</v>
      </c>
      <c r="AC57">
        <v>1</v>
      </c>
      <c r="AD57">
        <v>31</v>
      </c>
      <c r="AE57">
        <v>138</v>
      </c>
      <c r="AF57">
        <v>5</v>
      </c>
      <c r="AG57">
        <v>63</v>
      </c>
      <c r="AH57">
        <v>29</v>
      </c>
      <c r="AI57">
        <v>0</v>
      </c>
      <c r="AJ57">
        <v>92</v>
      </c>
      <c r="AK57">
        <v>0</v>
      </c>
      <c r="AL57">
        <v>0</v>
      </c>
      <c r="AM57">
        <v>48</v>
      </c>
      <c r="AN57">
        <v>14</v>
      </c>
      <c r="AO57">
        <v>15</v>
      </c>
      <c r="AQ57" t="str">
        <f t="shared" si="0"/>
        <v>Defensive Forward</v>
      </c>
    </row>
    <row r="58" spans="1:43" x14ac:dyDescent="0.35">
      <c r="A58" t="s">
        <v>109</v>
      </c>
      <c r="B58" t="s">
        <v>43</v>
      </c>
      <c r="C58" t="s">
        <v>925</v>
      </c>
      <c r="D58">
        <v>1992</v>
      </c>
      <c r="E58">
        <v>25</v>
      </c>
      <c r="F58" t="s">
        <v>80</v>
      </c>
      <c r="G58" t="s">
        <v>45</v>
      </c>
      <c r="H58">
        <v>11000000</v>
      </c>
      <c r="I58">
        <v>11000000</v>
      </c>
      <c r="J58" t="s">
        <v>52</v>
      </c>
      <c r="K58">
        <v>16</v>
      </c>
      <c r="L58">
        <v>1264</v>
      </c>
      <c r="M58">
        <v>0</v>
      </c>
      <c r="N58">
        <v>783</v>
      </c>
      <c r="O58">
        <v>0</v>
      </c>
      <c r="P58">
        <v>1</v>
      </c>
      <c r="Q58">
        <v>0</v>
      </c>
      <c r="R58">
        <v>2</v>
      </c>
      <c r="S58">
        <v>0</v>
      </c>
      <c r="T58">
        <v>12</v>
      </c>
      <c r="U58">
        <v>2</v>
      </c>
      <c r="V58">
        <v>0</v>
      </c>
      <c r="W58">
        <v>16</v>
      </c>
      <c r="X58">
        <v>0</v>
      </c>
      <c r="Y58">
        <v>0</v>
      </c>
      <c r="Z58">
        <v>0</v>
      </c>
      <c r="AA58">
        <v>0</v>
      </c>
      <c r="AB58">
        <v>1</v>
      </c>
      <c r="AC58">
        <v>10</v>
      </c>
      <c r="AD58">
        <v>3</v>
      </c>
      <c r="AE58">
        <v>51</v>
      </c>
      <c r="AF58">
        <v>2</v>
      </c>
      <c r="AG58">
        <v>12</v>
      </c>
      <c r="AH58">
        <v>8</v>
      </c>
      <c r="AI58">
        <v>0</v>
      </c>
      <c r="AJ58">
        <v>35</v>
      </c>
      <c r="AK58">
        <v>0</v>
      </c>
      <c r="AL58">
        <v>0</v>
      </c>
      <c r="AM58">
        <v>39</v>
      </c>
      <c r="AN58">
        <v>10</v>
      </c>
      <c r="AO58">
        <v>17</v>
      </c>
      <c r="AQ58" t="str">
        <f t="shared" si="0"/>
        <v>Defensive Forward</v>
      </c>
    </row>
    <row r="59" spans="1:43" x14ac:dyDescent="0.35">
      <c r="A59" t="s">
        <v>109</v>
      </c>
      <c r="B59" t="s">
        <v>47</v>
      </c>
      <c r="C59" t="s">
        <v>926</v>
      </c>
      <c r="D59">
        <v>1992</v>
      </c>
      <c r="E59">
        <v>24</v>
      </c>
      <c r="F59" t="s">
        <v>80</v>
      </c>
      <c r="G59" t="s">
        <v>45</v>
      </c>
      <c r="H59">
        <v>16500000</v>
      </c>
      <c r="I59">
        <v>11000000</v>
      </c>
      <c r="J59" t="s">
        <v>52</v>
      </c>
      <c r="K59">
        <v>12</v>
      </c>
      <c r="L59">
        <v>298</v>
      </c>
      <c r="M59">
        <v>0</v>
      </c>
      <c r="N59">
        <v>182</v>
      </c>
      <c r="O59">
        <v>1</v>
      </c>
      <c r="P59">
        <v>1</v>
      </c>
      <c r="Q59">
        <v>0</v>
      </c>
      <c r="R59">
        <v>10</v>
      </c>
      <c r="S59">
        <v>0</v>
      </c>
      <c r="T59">
        <v>3</v>
      </c>
      <c r="U59">
        <v>0</v>
      </c>
      <c r="V59">
        <v>1</v>
      </c>
      <c r="W59">
        <v>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3</v>
      </c>
      <c r="AE59">
        <v>13</v>
      </c>
      <c r="AF59">
        <v>0</v>
      </c>
      <c r="AG59">
        <v>2</v>
      </c>
      <c r="AH59">
        <v>2</v>
      </c>
      <c r="AI59">
        <v>0</v>
      </c>
      <c r="AJ59">
        <v>6</v>
      </c>
      <c r="AK59">
        <v>0</v>
      </c>
      <c r="AL59">
        <v>0</v>
      </c>
      <c r="AM59">
        <v>17</v>
      </c>
      <c r="AN59">
        <v>2</v>
      </c>
      <c r="AO59">
        <v>4</v>
      </c>
      <c r="AQ59" t="str">
        <f t="shared" si="0"/>
        <v>Defensive Forward</v>
      </c>
    </row>
    <row r="60" spans="1:43" x14ac:dyDescent="0.35">
      <c r="A60" t="s">
        <v>110</v>
      </c>
      <c r="B60" t="s">
        <v>39</v>
      </c>
      <c r="C60" t="s">
        <v>927</v>
      </c>
      <c r="D60">
        <v>1990</v>
      </c>
      <c r="E60">
        <v>25</v>
      </c>
      <c r="F60" t="s">
        <v>40</v>
      </c>
      <c r="G60" t="s">
        <v>82</v>
      </c>
      <c r="H60">
        <v>5400000</v>
      </c>
      <c r="I60">
        <v>5400000</v>
      </c>
      <c r="J60" t="s">
        <v>42</v>
      </c>
      <c r="K60">
        <v>10</v>
      </c>
      <c r="L60">
        <v>669</v>
      </c>
      <c r="M60">
        <v>2</v>
      </c>
      <c r="N60">
        <v>199</v>
      </c>
      <c r="O60">
        <v>0</v>
      </c>
      <c r="P60">
        <v>2</v>
      </c>
      <c r="Q60">
        <v>0</v>
      </c>
      <c r="R60">
        <v>3</v>
      </c>
      <c r="S60">
        <v>5</v>
      </c>
      <c r="T60">
        <v>15</v>
      </c>
      <c r="U60">
        <v>7</v>
      </c>
      <c r="V60">
        <v>1</v>
      </c>
      <c r="W60">
        <v>3</v>
      </c>
      <c r="X60">
        <v>0</v>
      </c>
      <c r="Y60">
        <v>0</v>
      </c>
      <c r="Z60">
        <v>0</v>
      </c>
      <c r="AA60">
        <v>6</v>
      </c>
      <c r="AB60">
        <v>1</v>
      </c>
      <c r="AC60">
        <v>3</v>
      </c>
      <c r="AD60">
        <v>0</v>
      </c>
      <c r="AE60">
        <v>5</v>
      </c>
      <c r="AF60">
        <v>1</v>
      </c>
      <c r="AG60">
        <v>7</v>
      </c>
      <c r="AH60">
        <v>17</v>
      </c>
      <c r="AI60">
        <v>0</v>
      </c>
      <c r="AJ60">
        <v>7</v>
      </c>
      <c r="AK60">
        <v>0</v>
      </c>
      <c r="AL60">
        <v>0</v>
      </c>
      <c r="AM60">
        <v>4</v>
      </c>
      <c r="AN60">
        <v>5</v>
      </c>
      <c r="AO60">
        <v>16</v>
      </c>
      <c r="AQ60" t="str">
        <f t="shared" si="0"/>
        <v>Forward</v>
      </c>
    </row>
    <row r="61" spans="1:43" x14ac:dyDescent="0.35">
      <c r="A61" t="s">
        <v>111</v>
      </c>
      <c r="B61" t="s">
        <v>43</v>
      </c>
      <c r="C61" t="s">
        <v>928</v>
      </c>
      <c r="D61">
        <v>1991</v>
      </c>
      <c r="E61">
        <v>26</v>
      </c>
      <c r="F61" t="s">
        <v>99</v>
      </c>
      <c r="G61" t="s">
        <v>112</v>
      </c>
      <c r="H61">
        <v>10800000</v>
      </c>
      <c r="I61">
        <v>9000000</v>
      </c>
      <c r="J61" t="s">
        <v>52</v>
      </c>
      <c r="K61">
        <v>11</v>
      </c>
      <c r="L61">
        <v>767</v>
      </c>
      <c r="M61">
        <v>0</v>
      </c>
      <c r="N61">
        <v>337</v>
      </c>
      <c r="O61">
        <v>0</v>
      </c>
      <c r="P61">
        <v>2</v>
      </c>
      <c r="Q61">
        <v>0</v>
      </c>
      <c r="R61">
        <v>4</v>
      </c>
      <c r="S61">
        <v>1</v>
      </c>
      <c r="T61">
        <v>0</v>
      </c>
      <c r="U61">
        <v>0</v>
      </c>
      <c r="V61">
        <v>0</v>
      </c>
      <c r="W61">
        <v>25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</v>
      </c>
      <c r="AF61">
        <v>8</v>
      </c>
      <c r="AG61">
        <v>16</v>
      </c>
      <c r="AH61">
        <v>7</v>
      </c>
      <c r="AI61">
        <v>0</v>
      </c>
      <c r="AJ61">
        <v>13</v>
      </c>
      <c r="AK61">
        <v>0</v>
      </c>
      <c r="AL61">
        <v>0</v>
      </c>
      <c r="AM61">
        <v>42</v>
      </c>
      <c r="AN61">
        <v>13</v>
      </c>
      <c r="AO61">
        <v>9</v>
      </c>
      <c r="AQ61" t="str">
        <f t="shared" si="0"/>
        <v>Defensive Forward</v>
      </c>
    </row>
    <row r="62" spans="1:43" x14ac:dyDescent="0.35">
      <c r="A62" t="s">
        <v>113</v>
      </c>
      <c r="B62" t="s">
        <v>47</v>
      </c>
      <c r="C62" t="s">
        <v>929</v>
      </c>
      <c r="D62">
        <v>1985</v>
      </c>
      <c r="E62">
        <v>30</v>
      </c>
      <c r="F62" t="s">
        <v>114</v>
      </c>
      <c r="G62" t="s">
        <v>115</v>
      </c>
      <c r="H62">
        <v>9900000</v>
      </c>
      <c r="I62">
        <v>9000000</v>
      </c>
      <c r="J62" t="s">
        <v>52</v>
      </c>
      <c r="K62">
        <v>29</v>
      </c>
      <c r="L62">
        <v>2533</v>
      </c>
      <c r="M62">
        <v>1</v>
      </c>
      <c r="N62">
        <v>1859</v>
      </c>
      <c r="O62">
        <v>1</v>
      </c>
      <c r="P62">
        <v>6</v>
      </c>
      <c r="Q62">
        <v>0</v>
      </c>
      <c r="R62">
        <v>2</v>
      </c>
      <c r="S62">
        <v>0</v>
      </c>
      <c r="T62">
        <v>32</v>
      </c>
      <c r="U62">
        <v>10</v>
      </c>
      <c r="V62">
        <v>0</v>
      </c>
      <c r="W62">
        <v>106</v>
      </c>
      <c r="X62">
        <v>0</v>
      </c>
      <c r="Y62">
        <v>0</v>
      </c>
      <c r="Z62">
        <v>1</v>
      </c>
      <c r="AA62">
        <v>0</v>
      </c>
      <c r="AB62">
        <v>6</v>
      </c>
      <c r="AC62">
        <v>0</v>
      </c>
      <c r="AD62">
        <v>2</v>
      </c>
      <c r="AE62">
        <v>27</v>
      </c>
      <c r="AF62">
        <v>10</v>
      </c>
      <c r="AG62">
        <v>46</v>
      </c>
      <c r="AH62">
        <v>34</v>
      </c>
      <c r="AI62">
        <v>0</v>
      </c>
      <c r="AJ62">
        <v>47</v>
      </c>
      <c r="AK62">
        <v>0</v>
      </c>
      <c r="AL62">
        <v>1</v>
      </c>
      <c r="AM62">
        <v>155</v>
      </c>
      <c r="AN62">
        <v>84</v>
      </c>
      <c r="AO62">
        <v>41</v>
      </c>
      <c r="AQ62" t="str">
        <f t="shared" si="0"/>
        <v>Defensive Forward</v>
      </c>
    </row>
    <row r="63" spans="1:43" x14ac:dyDescent="0.35">
      <c r="A63" t="s">
        <v>113</v>
      </c>
      <c r="B63" t="s">
        <v>39</v>
      </c>
      <c r="C63" t="s">
        <v>930</v>
      </c>
      <c r="D63">
        <v>1985</v>
      </c>
      <c r="E63">
        <v>29</v>
      </c>
      <c r="F63" t="s">
        <v>114</v>
      </c>
      <c r="G63" t="s">
        <v>115</v>
      </c>
      <c r="H63">
        <v>9900000</v>
      </c>
      <c r="I63">
        <v>9900000</v>
      </c>
      <c r="J63" t="s">
        <v>52</v>
      </c>
      <c r="K63">
        <v>29</v>
      </c>
      <c r="L63">
        <v>2281</v>
      </c>
      <c r="M63">
        <v>3</v>
      </c>
      <c r="N63">
        <v>1361</v>
      </c>
      <c r="O63">
        <v>3</v>
      </c>
      <c r="P63">
        <v>3</v>
      </c>
      <c r="Q63">
        <v>0</v>
      </c>
      <c r="R63">
        <v>4</v>
      </c>
      <c r="S63">
        <v>2</v>
      </c>
      <c r="T63">
        <v>39</v>
      </c>
      <c r="U63">
        <v>10</v>
      </c>
      <c r="V63">
        <v>3</v>
      </c>
      <c r="W63">
        <v>48</v>
      </c>
      <c r="X63">
        <v>0</v>
      </c>
      <c r="Y63">
        <v>0</v>
      </c>
      <c r="Z63">
        <v>0</v>
      </c>
      <c r="AA63">
        <v>3</v>
      </c>
      <c r="AB63">
        <v>1</v>
      </c>
      <c r="AC63">
        <v>2</v>
      </c>
      <c r="AD63">
        <v>43</v>
      </c>
      <c r="AE63">
        <v>149</v>
      </c>
      <c r="AF63">
        <v>8</v>
      </c>
      <c r="AG63">
        <v>46</v>
      </c>
      <c r="AH63">
        <v>20</v>
      </c>
      <c r="AI63">
        <v>0</v>
      </c>
      <c r="AJ63">
        <v>34</v>
      </c>
      <c r="AK63">
        <v>0</v>
      </c>
      <c r="AL63">
        <v>0</v>
      </c>
      <c r="AM63">
        <v>71</v>
      </c>
      <c r="AN63">
        <v>47</v>
      </c>
      <c r="AO63">
        <v>25</v>
      </c>
      <c r="AQ63" t="str">
        <f t="shared" si="0"/>
        <v>Defensive Forward</v>
      </c>
    </row>
    <row r="64" spans="1:43" x14ac:dyDescent="0.35">
      <c r="A64" t="s">
        <v>116</v>
      </c>
      <c r="B64" t="s">
        <v>39</v>
      </c>
      <c r="C64" t="s">
        <v>931</v>
      </c>
      <c r="D64">
        <v>1994</v>
      </c>
      <c r="E64">
        <v>21</v>
      </c>
      <c r="F64" t="s">
        <v>117</v>
      </c>
      <c r="G64" t="s">
        <v>115</v>
      </c>
      <c r="H64">
        <v>9900000</v>
      </c>
      <c r="I64">
        <v>13800000</v>
      </c>
      <c r="J64" t="s">
        <v>42</v>
      </c>
      <c r="K64">
        <v>34</v>
      </c>
      <c r="L64">
        <v>2113</v>
      </c>
      <c r="M64">
        <v>9</v>
      </c>
      <c r="N64">
        <v>721</v>
      </c>
      <c r="O64">
        <v>4</v>
      </c>
      <c r="P64">
        <v>4</v>
      </c>
      <c r="Q64">
        <v>2</v>
      </c>
      <c r="R64">
        <v>12</v>
      </c>
      <c r="S64">
        <v>8</v>
      </c>
      <c r="T64">
        <v>79</v>
      </c>
      <c r="U64">
        <v>30</v>
      </c>
      <c r="V64">
        <v>2</v>
      </c>
      <c r="W64">
        <v>26</v>
      </c>
      <c r="X64">
        <v>4</v>
      </c>
      <c r="Y64">
        <v>2</v>
      </c>
      <c r="Z64">
        <v>0</v>
      </c>
      <c r="AA64">
        <v>16</v>
      </c>
      <c r="AB64">
        <v>4</v>
      </c>
      <c r="AC64">
        <v>8</v>
      </c>
      <c r="AD64">
        <v>0</v>
      </c>
      <c r="AE64">
        <v>7</v>
      </c>
      <c r="AF64">
        <v>6</v>
      </c>
      <c r="AG64">
        <v>7</v>
      </c>
      <c r="AH64">
        <v>50</v>
      </c>
      <c r="AI64">
        <v>0</v>
      </c>
      <c r="AJ64">
        <v>24</v>
      </c>
      <c r="AK64">
        <v>0</v>
      </c>
      <c r="AL64">
        <v>0</v>
      </c>
      <c r="AM64">
        <v>32</v>
      </c>
      <c r="AN64">
        <v>85</v>
      </c>
      <c r="AO64">
        <v>112</v>
      </c>
      <c r="AQ64" t="str">
        <f t="shared" si="0"/>
        <v>Forward</v>
      </c>
    </row>
    <row r="65" spans="1:43" x14ac:dyDescent="0.35">
      <c r="A65" t="s">
        <v>116</v>
      </c>
      <c r="B65" t="s">
        <v>46</v>
      </c>
      <c r="C65" t="s">
        <v>932</v>
      </c>
      <c r="D65">
        <v>1994</v>
      </c>
      <c r="E65">
        <v>24</v>
      </c>
      <c r="F65" t="s">
        <v>74</v>
      </c>
      <c r="G65" t="s">
        <v>115</v>
      </c>
      <c r="H65">
        <v>13500000</v>
      </c>
      <c r="I65">
        <v>22500000</v>
      </c>
      <c r="J65" t="s">
        <v>42</v>
      </c>
      <c r="K65">
        <v>37</v>
      </c>
      <c r="L65">
        <v>3281</v>
      </c>
      <c r="M65">
        <v>11</v>
      </c>
      <c r="N65">
        <v>1026</v>
      </c>
      <c r="O65">
        <v>3</v>
      </c>
      <c r="P65">
        <v>7</v>
      </c>
      <c r="Q65">
        <v>0</v>
      </c>
      <c r="R65">
        <v>0</v>
      </c>
      <c r="S65">
        <v>2</v>
      </c>
      <c r="T65">
        <v>131</v>
      </c>
      <c r="U65">
        <v>48</v>
      </c>
      <c r="V65">
        <v>5</v>
      </c>
      <c r="W65">
        <v>48</v>
      </c>
      <c r="X65">
        <v>6</v>
      </c>
      <c r="Y65">
        <v>0</v>
      </c>
      <c r="Z65">
        <v>0</v>
      </c>
      <c r="AA65">
        <v>34</v>
      </c>
      <c r="AB65">
        <v>4</v>
      </c>
      <c r="AC65">
        <v>83</v>
      </c>
      <c r="AD65">
        <v>0</v>
      </c>
      <c r="AE65">
        <v>6</v>
      </c>
      <c r="AF65">
        <v>8</v>
      </c>
      <c r="AG65">
        <v>6</v>
      </c>
      <c r="AH65">
        <v>61</v>
      </c>
      <c r="AI65">
        <v>0</v>
      </c>
      <c r="AJ65">
        <v>19</v>
      </c>
      <c r="AK65">
        <v>0</v>
      </c>
      <c r="AL65">
        <v>0</v>
      </c>
      <c r="AM65">
        <v>53</v>
      </c>
      <c r="AN65">
        <v>240</v>
      </c>
      <c r="AO65">
        <v>245</v>
      </c>
      <c r="AQ65" t="str">
        <f t="shared" si="0"/>
        <v>Forward</v>
      </c>
    </row>
    <row r="66" spans="1:43" x14ac:dyDescent="0.35">
      <c r="A66" t="s">
        <v>118</v>
      </c>
      <c r="B66" t="s">
        <v>39</v>
      </c>
      <c r="C66" t="s">
        <v>933</v>
      </c>
      <c r="D66">
        <v>1996</v>
      </c>
      <c r="E66">
        <v>19</v>
      </c>
      <c r="F66" t="s">
        <v>61</v>
      </c>
      <c r="G66" t="s">
        <v>105</v>
      </c>
      <c r="H66">
        <v>1100000</v>
      </c>
      <c r="I66">
        <v>3600000</v>
      </c>
      <c r="J66" t="s">
        <v>42</v>
      </c>
      <c r="K66">
        <v>13</v>
      </c>
      <c r="L66">
        <v>632</v>
      </c>
      <c r="M66">
        <v>2</v>
      </c>
      <c r="N66">
        <v>368</v>
      </c>
      <c r="O66">
        <v>0</v>
      </c>
      <c r="P66">
        <v>0</v>
      </c>
      <c r="Q66">
        <v>0</v>
      </c>
      <c r="R66">
        <v>5</v>
      </c>
      <c r="S66">
        <v>7</v>
      </c>
      <c r="T66">
        <v>15</v>
      </c>
      <c r="U66">
        <v>7</v>
      </c>
      <c r="V66">
        <v>1</v>
      </c>
      <c r="W66">
        <v>1</v>
      </c>
      <c r="X66">
        <v>0</v>
      </c>
      <c r="Y66">
        <v>0</v>
      </c>
      <c r="Z66">
        <v>0</v>
      </c>
      <c r="AA66">
        <v>0</v>
      </c>
      <c r="AB66">
        <v>3</v>
      </c>
      <c r="AC66">
        <v>0</v>
      </c>
      <c r="AD66">
        <v>0</v>
      </c>
      <c r="AE66">
        <v>8</v>
      </c>
      <c r="AF66">
        <v>0</v>
      </c>
      <c r="AG66">
        <v>3</v>
      </c>
      <c r="AH66">
        <v>3</v>
      </c>
      <c r="AI66">
        <v>0</v>
      </c>
      <c r="AJ66">
        <v>8</v>
      </c>
      <c r="AK66">
        <v>0</v>
      </c>
      <c r="AL66">
        <v>0</v>
      </c>
      <c r="AM66">
        <v>1</v>
      </c>
      <c r="AN66">
        <v>2</v>
      </c>
      <c r="AO66">
        <v>6</v>
      </c>
      <c r="AQ66" t="str">
        <f t="shared" ref="AQ66:AQ129" si="1">IF(J66 = "FW", REPLACE(J66,1,2,"Forward"),IF(J66 = "DF", "Defensive Forward", "Midfielder"))</f>
        <v>Forward</v>
      </c>
    </row>
    <row r="67" spans="1:43" x14ac:dyDescent="0.35">
      <c r="A67" t="s">
        <v>118</v>
      </c>
      <c r="B67" t="s">
        <v>47</v>
      </c>
      <c r="C67" t="s">
        <v>934</v>
      </c>
      <c r="D67">
        <v>1996</v>
      </c>
      <c r="E67">
        <v>20</v>
      </c>
      <c r="F67" t="s">
        <v>61</v>
      </c>
      <c r="G67" t="s">
        <v>105</v>
      </c>
      <c r="H67">
        <v>3600000</v>
      </c>
      <c r="I67">
        <v>9000000</v>
      </c>
      <c r="J67" t="s">
        <v>42</v>
      </c>
      <c r="K67">
        <v>26</v>
      </c>
      <c r="L67">
        <v>1462</v>
      </c>
      <c r="M67">
        <v>3</v>
      </c>
      <c r="N67">
        <v>896</v>
      </c>
      <c r="O67">
        <v>3</v>
      </c>
      <c r="P67">
        <v>1</v>
      </c>
      <c r="Q67">
        <v>0</v>
      </c>
      <c r="R67">
        <v>8</v>
      </c>
      <c r="S67">
        <v>14</v>
      </c>
      <c r="T67">
        <v>39</v>
      </c>
      <c r="U67">
        <v>11</v>
      </c>
      <c r="V67">
        <v>0</v>
      </c>
      <c r="W67">
        <v>1</v>
      </c>
      <c r="X67">
        <v>1</v>
      </c>
      <c r="Y67">
        <v>0</v>
      </c>
      <c r="Z67">
        <v>0</v>
      </c>
      <c r="AA67">
        <v>3</v>
      </c>
      <c r="AB67">
        <v>6</v>
      </c>
      <c r="AC67">
        <v>0</v>
      </c>
      <c r="AD67">
        <v>2</v>
      </c>
      <c r="AE67">
        <v>18</v>
      </c>
      <c r="AF67">
        <v>4</v>
      </c>
      <c r="AG67">
        <v>8</v>
      </c>
      <c r="AH67">
        <v>7</v>
      </c>
      <c r="AI67">
        <v>0</v>
      </c>
      <c r="AJ67">
        <v>19</v>
      </c>
      <c r="AK67">
        <v>0</v>
      </c>
      <c r="AL67">
        <v>0</v>
      </c>
      <c r="AM67">
        <v>4</v>
      </c>
      <c r="AN67">
        <v>4</v>
      </c>
      <c r="AO67">
        <v>10</v>
      </c>
      <c r="AQ67" t="str">
        <f t="shared" si="1"/>
        <v>Forward</v>
      </c>
    </row>
    <row r="68" spans="1:43" x14ac:dyDescent="0.35">
      <c r="A68" t="s">
        <v>118</v>
      </c>
      <c r="B68" t="s">
        <v>43</v>
      </c>
      <c r="C68" t="s">
        <v>935</v>
      </c>
      <c r="D68">
        <v>1996</v>
      </c>
      <c r="E68">
        <v>21</v>
      </c>
      <c r="F68" t="s">
        <v>61</v>
      </c>
      <c r="G68" t="s">
        <v>105</v>
      </c>
      <c r="H68">
        <v>9000000</v>
      </c>
      <c r="I68">
        <v>13500000</v>
      </c>
      <c r="J68" t="s">
        <v>42</v>
      </c>
      <c r="K68">
        <v>26</v>
      </c>
      <c r="L68">
        <v>1843</v>
      </c>
      <c r="M68">
        <v>3</v>
      </c>
      <c r="N68">
        <v>1137</v>
      </c>
      <c r="O68">
        <v>5</v>
      </c>
      <c r="P68">
        <v>1</v>
      </c>
      <c r="Q68">
        <v>0</v>
      </c>
      <c r="R68">
        <v>4</v>
      </c>
      <c r="S68">
        <v>17</v>
      </c>
      <c r="T68">
        <v>45</v>
      </c>
      <c r="U68">
        <v>23</v>
      </c>
      <c r="V68">
        <v>1</v>
      </c>
      <c r="W68">
        <v>4</v>
      </c>
      <c r="X68">
        <v>0</v>
      </c>
      <c r="Y68">
        <v>0</v>
      </c>
      <c r="Z68">
        <v>0</v>
      </c>
      <c r="AA68">
        <v>0</v>
      </c>
      <c r="AB68">
        <v>12</v>
      </c>
      <c r="AC68">
        <v>22</v>
      </c>
      <c r="AD68">
        <v>1</v>
      </c>
      <c r="AE68">
        <v>20</v>
      </c>
      <c r="AF68">
        <v>1</v>
      </c>
      <c r="AG68">
        <v>7</v>
      </c>
      <c r="AH68">
        <v>11</v>
      </c>
      <c r="AI68">
        <v>0</v>
      </c>
      <c r="AJ68">
        <v>19</v>
      </c>
      <c r="AK68">
        <v>0</v>
      </c>
      <c r="AL68">
        <v>0</v>
      </c>
      <c r="AM68">
        <v>8</v>
      </c>
      <c r="AN68">
        <v>3</v>
      </c>
      <c r="AO68">
        <v>14</v>
      </c>
      <c r="AQ68" t="str">
        <f t="shared" si="1"/>
        <v>Forward</v>
      </c>
    </row>
    <row r="69" spans="1:43" x14ac:dyDescent="0.35">
      <c r="A69" t="s">
        <v>118</v>
      </c>
      <c r="B69" t="s">
        <v>46</v>
      </c>
      <c r="C69" t="s">
        <v>936</v>
      </c>
      <c r="D69">
        <v>1996</v>
      </c>
      <c r="E69">
        <v>22</v>
      </c>
      <c r="F69" t="s">
        <v>61</v>
      </c>
      <c r="G69" t="s">
        <v>105</v>
      </c>
      <c r="H69">
        <v>13500000</v>
      </c>
      <c r="I69">
        <v>22900000</v>
      </c>
      <c r="J69" t="s">
        <v>42</v>
      </c>
      <c r="K69">
        <v>35</v>
      </c>
      <c r="L69">
        <v>1972</v>
      </c>
      <c r="M69">
        <v>3</v>
      </c>
      <c r="N69">
        <v>951</v>
      </c>
      <c r="O69">
        <v>6</v>
      </c>
      <c r="P69">
        <v>0</v>
      </c>
      <c r="Q69">
        <v>0</v>
      </c>
      <c r="R69">
        <v>13</v>
      </c>
      <c r="S69">
        <v>15</v>
      </c>
      <c r="T69">
        <v>35</v>
      </c>
      <c r="U69">
        <v>14</v>
      </c>
      <c r="V69">
        <v>0</v>
      </c>
      <c r="W69">
        <v>4</v>
      </c>
      <c r="X69">
        <v>0</v>
      </c>
      <c r="Y69">
        <v>0</v>
      </c>
      <c r="Z69">
        <v>0</v>
      </c>
      <c r="AA69">
        <v>2</v>
      </c>
      <c r="AB69">
        <v>3</v>
      </c>
      <c r="AC69">
        <v>21</v>
      </c>
      <c r="AD69">
        <v>1</v>
      </c>
      <c r="AE69">
        <v>57</v>
      </c>
      <c r="AF69">
        <v>1</v>
      </c>
      <c r="AG69">
        <v>12</v>
      </c>
      <c r="AH69">
        <v>8</v>
      </c>
      <c r="AI69">
        <v>0</v>
      </c>
      <c r="AJ69">
        <v>28</v>
      </c>
      <c r="AK69">
        <v>1</v>
      </c>
      <c r="AL69">
        <v>0</v>
      </c>
      <c r="AM69">
        <v>10</v>
      </c>
      <c r="AN69">
        <v>4</v>
      </c>
      <c r="AO69">
        <v>21</v>
      </c>
      <c r="AQ69" t="str">
        <f t="shared" si="1"/>
        <v>Forward</v>
      </c>
    </row>
    <row r="70" spans="1:43" x14ac:dyDescent="0.35">
      <c r="A70" t="s">
        <v>119</v>
      </c>
      <c r="B70" t="s">
        <v>39</v>
      </c>
      <c r="C70" t="s">
        <v>937</v>
      </c>
      <c r="D70">
        <v>1993</v>
      </c>
      <c r="E70">
        <v>21</v>
      </c>
      <c r="F70" t="s">
        <v>61</v>
      </c>
      <c r="G70" t="s">
        <v>51</v>
      </c>
      <c r="H70">
        <v>22000000</v>
      </c>
      <c r="I70">
        <v>22000000</v>
      </c>
      <c r="J70" t="s">
        <v>55</v>
      </c>
      <c r="K70">
        <v>22</v>
      </c>
      <c r="L70">
        <v>919</v>
      </c>
      <c r="M70">
        <v>1</v>
      </c>
      <c r="N70">
        <v>439</v>
      </c>
      <c r="O70">
        <v>0</v>
      </c>
      <c r="P70">
        <v>0</v>
      </c>
      <c r="Q70">
        <v>0</v>
      </c>
      <c r="R70">
        <v>13</v>
      </c>
      <c r="S70">
        <v>8</v>
      </c>
      <c r="T70">
        <v>23</v>
      </c>
      <c r="U70">
        <v>0</v>
      </c>
      <c r="V70">
        <v>2</v>
      </c>
      <c r="W70">
        <v>2</v>
      </c>
      <c r="X70">
        <v>0</v>
      </c>
      <c r="Y70">
        <v>0</v>
      </c>
      <c r="Z70">
        <v>0</v>
      </c>
      <c r="AA70">
        <v>2</v>
      </c>
      <c r="AB70">
        <v>5</v>
      </c>
      <c r="AC70">
        <v>1</v>
      </c>
      <c r="AD70">
        <v>6</v>
      </c>
      <c r="AE70">
        <v>43</v>
      </c>
      <c r="AF70">
        <v>5</v>
      </c>
      <c r="AG70">
        <v>12</v>
      </c>
      <c r="AH70">
        <v>11</v>
      </c>
      <c r="AI70">
        <v>0</v>
      </c>
      <c r="AJ70">
        <v>23</v>
      </c>
      <c r="AK70">
        <v>1</v>
      </c>
      <c r="AL70">
        <v>0</v>
      </c>
      <c r="AM70">
        <v>9</v>
      </c>
      <c r="AN70">
        <v>9</v>
      </c>
      <c r="AO70">
        <v>10</v>
      </c>
      <c r="AQ70" t="str">
        <f t="shared" si="1"/>
        <v>Midfielder</v>
      </c>
    </row>
    <row r="71" spans="1:43" x14ac:dyDescent="0.35">
      <c r="A71" t="s">
        <v>119</v>
      </c>
      <c r="B71" t="s">
        <v>47</v>
      </c>
      <c r="C71" t="s">
        <v>938</v>
      </c>
      <c r="D71">
        <v>1993</v>
      </c>
      <c r="E71">
        <v>22</v>
      </c>
      <c r="F71" t="s">
        <v>61</v>
      </c>
      <c r="G71" t="s">
        <v>51</v>
      </c>
      <c r="H71">
        <v>22000000</v>
      </c>
      <c r="I71">
        <v>24200000</v>
      </c>
      <c r="J71" t="s">
        <v>55</v>
      </c>
      <c r="K71">
        <v>29</v>
      </c>
      <c r="L71">
        <v>1562</v>
      </c>
      <c r="M71">
        <v>2</v>
      </c>
      <c r="N71">
        <v>774</v>
      </c>
      <c r="O71">
        <v>7</v>
      </c>
      <c r="P71">
        <v>1</v>
      </c>
      <c r="Q71">
        <v>0</v>
      </c>
      <c r="R71">
        <v>13</v>
      </c>
      <c r="S71">
        <v>11</v>
      </c>
      <c r="T71">
        <v>28</v>
      </c>
      <c r="U71">
        <v>8</v>
      </c>
      <c r="V71">
        <v>1</v>
      </c>
      <c r="W71">
        <v>11</v>
      </c>
      <c r="X71">
        <v>0</v>
      </c>
      <c r="Y71">
        <v>0</v>
      </c>
      <c r="Z71">
        <v>0</v>
      </c>
      <c r="AA71">
        <v>0</v>
      </c>
      <c r="AB71">
        <v>11</v>
      </c>
      <c r="AC71">
        <v>3</v>
      </c>
      <c r="AD71">
        <v>15</v>
      </c>
      <c r="AE71">
        <v>68</v>
      </c>
      <c r="AF71">
        <v>2</v>
      </c>
      <c r="AG71">
        <v>11</v>
      </c>
      <c r="AH71">
        <v>30</v>
      </c>
      <c r="AI71">
        <v>2</v>
      </c>
      <c r="AJ71">
        <v>37</v>
      </c>
      <c r="AK71">
        <v>1</v>
      </c>
      <c r="AL71">
        <v>0</v>
      </c>
      <c r="AM71">
        <v>22</v>
      </c>
      <c r="AN71">
        <v>15</v>
      </c>
      <c r="AO71">
        <v>30</v>
      </c>
      <c r="AQ71" t="str">
        <f t="shared" si="1"/>
        <v>Midfielder</v>
      </c>
    </row>
    <row r="72" spans="1:43" x14ac:dyDescent="0.35">
      <c r="A72" t="s">
        <v>119</v>
      </c>
      <c r="B72" t="s">
        <v>43</v>
      </c>
      <c r="C72" t="s">
        <v>939</v>
      </c>
      <c r="D72">
        <v>1993</v>
      </c>
      <c r="E72">
        <v>24</v>
      </c>
      <c r="F72" t="s">
        <v>80</v>
      </c>
      <c r="G72" t="s">
        <v>51</v>
      </c>
      <c r="H72">
        <v>24200000</v>
      </c>
      <c r="I72">
        <v>44000000</v>
      </c>
      <c r="J72" t="s">
        <v>55</v>
      </c>
      <c r="K72">
        <v>35</v>
      </c>
      <c r="L72">
        <v>1726</v>
      </c>
      <c r="M72">
        <v>3</v>
      </c>
      <c r="N72">
        <v>836</v>
      </c>
      <c r="O72">
        <v>7</v>
      </c>
      <c r="P72">
        <v>3</v>
      </c>
      <c r="Q72">
        <v>0</v>
      </c>
      <c r="R72">
        <v>18</v>
      </c>
      <c r="S72">
        <v>10</v>
      </c>
      <c r="T72">
        <v>47</v>
      </c>
      <c r="U72">
        <v>17</v>
      </c>
      <c r="V72">
        <v>1</v>
      </c>
      <c r="W72">
        <v>6</v>
      </c>
      <c r="X72">
        <v>0</v>
      </c>
      <c r="Y72">
        <v>0</v>
      </c>
      <c r="Z72">
        <v>0</v>
      </c>
      <c r="AA72">
        <v>3</v>
      </c>
      <c r="AB72">
        <v>13</v>
      </c>
      <c r="AC72">
        <v>30</v>
      </c>
      <c r="AD72">
        <v>32</v>
      </c>
      <c r="AE72">
        <v>86</v>
      </c>
      <c r="AF72">
        <v>2</v>
      </c>
      <c r="AG72">
        <v>26</v>
      </c>
      <c r="AH72">
        <v>17</v>
      </c>
      <c r="AI72">
        <v>0</v>
      </c>
      <c r="AJ72">
        <v>37</v>
      </c>
      <c r="AK72">
        <v>0</v>
      </c>
      <c r="AL72">
        <v>0</v>
      </c>
      <c r="AM72">
        <v>13</v>
      </c>
      <c r="AN72">
        <v>15</v>
      </c>
      <c r="AO72">
        <v>33</v>
      </c>
      <c r="AQ72" t="str">
        <f t="shared" si="1"/>
        <v>Midfielder</v>
      </c>
    </row>
    <row r="73" spans="1:43" x14ac:dyDescent="0.35">
      <c r="A73" t="s">
        <v>120</v>
      </c>
      <c r="B73" t="s">
        <v>46</v>
      </c>
      <c r="C73" t="s">
        <v>940</v>
      </c>
      <c r="D73">
        <v>1993</v>
      </c>
      <c r="E73">
        <v>25</v>
      </c>
      <c r="F73" t="s">
        <v>58</v>
      </c>
      <c r="G73" t="s">
        <v>51</v>
      </c>
      <c r="H73">
        <v>11000000</v>
      </c>
      <c r="I73">
        <v>9900000</v>
      </c>
      <c r="J73" t="s">
        <v>55</v>
      </c>
      <c r="K73">
        <v>30</v>
      </c>
      <c r="L73">
        <v>2089</v>
      </c>
      <c r="M73">
        <v>2</v>
      </c>
      <c r="N73">
        <v>896</v>
      </c>
      <c r="O73">
        <v>0</v>
      </c>
      <c r="P73">
        <v>2</v>
      </c>
      <c r="Q73">
        <v>0</v>
      </c>
      <c r="R73">
        <v>4</v>
      </c>
      <c r="S73">
        <v>15</v>
      </c>
      <c r="T73">
        <v>47</v>
      </c>
      <c r="U73">
        <v>13</v>
      </c>
      <c r="V73">
        <v>0</v>
      </c>
      <c r="W73">
        <v>2</v>
      </c>
      <c r="X73">
        <v>0</v>
      </c>
      <c r="Y73">
        <v>0</v>
      </c>
      <c r="Z73">
        <v>0</v>
      </c>
      <c r="AA73">
        <v>7</v>
      </c>
      <c r="AB73">
        <v>1</v>
      </c>
      <c r="AC73">
        <v>34</v>
      </c>
      <c r="AD73">
        <v>23</v>
      </c>
      <c r="AE73">
        <v>78</v>
      </c>
      <c r="AF73">
        <v>2</v>
      </c>
      <c r="AG73">
        <v>17</v>
      </c>
      <c r="AH73">
        <v>13</v>
      </c>
      <c r="AI73">
        <v>0</v>
      </c>
      <c r="AJ73">
        <v>36</v>
      </c>
      <c r="AK73">
        <v>0</v>
      </c>
      <c r="AL73">
        <v>0</v>
      </c>
      <c r="AM73">
        <v>7</v>
      </c>
      <c r="AN73">
        <v>14</v>
      </c>
      <c r="AO73">
        <v>35</v>
      </c>
      <c r="AQ73" t="str">
        <f t="shared" si="1"/>
        <v>Midfielder</v>
      </c>
    </row>
    <row r="74" spans="1:43" x14ac:dyDescent="0.35">
      <c r="A74" t="s">
        <v>120</v>
      </c>
      <c r="B74" t="s">
        <v>43</v>
      </c>
      <c r="C74" t="s">
        <v>941</v>
      </c>
      <c r="D74">
        <v>1993</v>
      </c>
      <c r="E74">
        <v>24</v>
      </c>
      <c r="F74" t="s">
        <v>58</v>
      </c>
      <c r="G74" t="s">
        <v>51</v>
      </c>
      <c r="H74">
        <v>5500000</v>
      </c>
      <c r="I74">
        <v>11000000</v>
      </c>
      <c r="J74" t="s">
        <v>55</v>
      </c>
      <c r="K74">
        <v>14</v>
      </c>
      <c r="L74">
        <v>1002</v>
      </c>
      <c r="M74">
        <v>1</v>
      </c>
      <c r="N74">
        <v>344</v>
      </c>
      <c r="O74">
        <v>1</v>
      </c>
      <c r="P74">
        <v>1</v>
      </c>
      <c r="Q74">
        <v>0</v>
      </c>
      <c r="R74">
        <v>2</v>
      </c>
      <c r="S74">
        <v>6</v>
      </c>
      <c r="T74">
        <v>20</v>
      </c>
      <c r="U74">
        <v>4</v>
      </c>
      <c r="V74">
        <v>0</v>
      </c>
      <c r="W74">
        <v>1</v>
      </c>
      <c r="X74">
        <v>0</v>
      </c>
      <c r="Y74">
        <v>0</v>
      </c>
      <c r="Z74">
        <v>0</v>
      </c>
      <c r="AA74">
        <v>0</v>
      </c>
      <c r="AB74">
        <v>1</v>
      </c>
      <c r="AC74">
        <v>16</v>
      </c>
      <c r="AD74">
        <v>23</v>
      </c>
      <c r="AE74">
        <v>48</v>
      </c>
      <c r="AF74">
        <v>1</v>
      </c>
      <c r="AG74">
        <v>5</v>
      </c>
      <c r="AH74">
        <v>5</v>
      </c>
      <c r="AI74">
        <v>0</v>
      </c>
      <c r="AJ74">
        <v>19</v>
      </c>
      <c r="AK74">
        <v>0</v>
      </c>
      <c r="AL74">
        <v>0</v>
      </c>
      <c r="AM74">
        <v>8</v>
      </c>
      <c r="AN74">
        <v>2</v>
      </c>
      <c r="AO74">
        <v>19</v>
      </c>
      <c r="AQ74" t="str">
        <f t="shared" si="1"/>
        <v>Midfielder</v>
      </c>
    </row>
    <row r="75" spans="1:43" x14ac:dyDescent="0.35">
      <c r="A75" t="s">
        <v>121</v>
      </c>
      <c r="B75" t="s">
        <v>46</v>
      </c>
      <c r="C75" t="s">
        <v>942</v>
      </c>
      <c r="D75">
        <v>1995</v>
      </c>
      <c r="E75">
        <v>22</v>
      </c>
      <c r="F75" t="s">
        <v>64</v>
      </c>
      <c r="G75" t="s">
        <v>87</v>
      </c>
      <c r="H75">
        <v>6300000</v>
      </c>
      <c r="I75">
        <v>5400000</v>
      </c>
      <c r="J75" t="s">
        <v>42</v>
      </c>
      <c r="K75">
        <v>12</v>
      </c>
      <c r="L75">
        <v>173</v>
      </c>
      <c r="M75">
        <v>0</v>
      </c>
      <c r="N75">
        <v>59</v>
      </c>
      <c r="O75">
        <v>0</v>
      </c>
      <c r="P75">
        <v>0</v>
      </c>
      <c r="Q75">
        <v>0</v>
      </c>
      <c r="R75">
        <v>12</v>
      </c>
      <c r="S75">
        <v>0</v>
      </c>
      <c r="T75">
        <v>4</v>
      </c>
      <c r="U75">
        <v>0</v>
      </c>
      <c r="V75">
        <v>0</v>
      </c>
      <c r="W75">
        <v>3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0</v>
      </c>
      <c r="AE75">
        <v>0</v>
      </c>
      <c r="AF75">
        <v>0</v>
      </c>
      <c r="AG75">
        <v>0</v>
      </c>
      <c r="AH75">
        <v>4</v>
      </c>
      <c r="AI75">
        <v>0</v>
      </c>
      <c r="AJ75">
        <v>2</v>
      </c>
      <c r="AK75">
        <v>0</v>
      </c>
      <c r="AL75">
        <v>0</v>
      </c>
      <c r="AM75">
        <v>3</v>
      </c>
      <c r="AN75">
        <v>18</v>
      </c>
      <c r="AO75">
        <v>9</v>
      </c>
      <c r="AQ75" t="str">
        <f t="shared" si="1"/>
        <v>Forward</v>
      </c>
    </row>
    <row r="76" spans="1:43" x14ac:dyDescent="0.35">
      <c r="A76" t="s">
        <v>122</v>
      </c>
      <c r="B76" t="s">
        <v>39</v>
      </c>
      <c r="C76" t="s">
        <v>943</v>
      </c>
      <c r="D76">
        <v>1986</v>
      </c>
      <c r="E76">
        <v>29</v>
      </c>
      <c r="F76" t="s">
        <v>123</v>
      </c>
      <c r="G76" t="s">
        <v>87</v>
      </c>
      <c r="H76">
        <v>3150000</v>
      </c>
      <c r="I76">
        <v>3150000</v>
      </c>
      <c r="J76" t="s">
        <v>55</v>
      </c>
      <c r="K76">
        <v>23</v>
      </c>
      <c r="L76">
        <v>1952</v>
      </c>
      <c r="M76">
        <v>2</v>
      </c>
      <c r="N76">
        <v>1064</v>
      </c>
      <c r="O76">
        <v>0</v>
      </c>
      <c r="P76">
        <v>10</v>
      </c>
      <c r="Q76">
        <v>0</v>
      </c>
      <c r="R76">
        <v>0</v>
      </c>
      <c r="S76">
        <v>3</v>
      </c>
      <c r="T76">
        <v>20</v>
      </c>
      <c r="U76">
        <v>3</v>
      </c>
      <c r="V76">
        <v>0</v>
      </c>
      <c r="W76">
        <v>35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2</v>
      </c>
      <c r="AF76">
        <v>4</v>
      </c>
      <c r="AG76">
        <v>42</v>
      </c>
      <c r="AH76">
        <v>39</v>
      </c>
      <c r="AI76">
        <v>0</v>
      </c>
      <c r="AJ76">
        <v>48</v>
      </c>
      <c r="AK76">
        <v>0</v>
      </c>
      <c r="AL76">
        <v>0</v>
      </c>
      <c r="AM76">
        <v>51</v>
      </c>
      <c r="AN76">
        <v>31</v>
      </c>
      <c r="AO76">
        <v>24</v>
      </c>
      <c r="AQ76" t="str">
        <f t="shared" si="1"/>
        <v>Midfielder</v>
      </c>
    </row>
    <row r="77" spans="1:43" x14ac:dyDescent="0.35">
      <c r="A77" t="s">
        <v>124</v>
      </c>
      <c r="B77" t="s">
        <v>43</v>
      </c>
      <c r="C77" t="s">
        <v>944</v>
      </c>
      <c r="D77">
        <v>1991</v>
      </c>
      <c r="E77">
        <v>26</v>
      </c>
      <c r="F77" t="s">
        <v>61</v>
      </c>
      <c r="G77" t="s">
        <v>67</v>
      </c>
      <c r="H77">
        <v>38500000</v>
      </c>
      <c r="I77">
        <v>54000000</v>
      </c>
      <c r="J77" t="s">
        <v>42</v>
      </c>
      <c r="K77">
        <v>32</v>
      </c>
      <c r="L77">
        <v>2211</v>
      </c>
      <c r="M77">
        <v>14</v>
      </c>
      <c r="N77">
        <v>722</v>
      </c>
      <c r="O77">
        <v>4</v>
      </c>
      <c r="P77">
        <v>1</v>
      </c>
      <c r="Q77">
        <v>0</v>
      </c>
      <c r="R77">
        <v>6</v>
      </c>
      <c r="S77">
        <v>16</v>
      </c>
      <c r="T77">
        <v>68</v>
      </c>
      <c r="U77">
        <v>35</v>
      </c>
      <c r="V77">
        <v>2</v>
      </c>
      <c r="W77">
        <v>1</v>
      </c>
      <c r="X77">
        <v>2</v>
      </c>
      <c r="Y77">
        <v>2</v>
      </c>
      <c r="Z77">
        <v>0</v>
      </c>
      <c r="AA77">
        <v>23</v>
      </c>
      <c r="AB77">
        <v>9</v>
      </c>
      <c r="AC77">
        <v>33</v>
      </c>
      <c r="AD77">
        <v>0</v>
      </c>
      <c r="AE77">
        <v>16</v>
      </c>
      <c r="AF77">
        <v>3</v>
      </c>
      <c r="AG77">
        <v>7</v>
      </c>
      <c r="AH77">
        <v>28</v>
      </c>
      <c r="AI77">
        <v>0</v>
      </c>
      <c r="AJ77">
        <v>24</v>
      </c>
      <c r="AK77">
        <v>0</v>
      </c>
      <c r="AL77">
        <v>0</v>
      </c>
      <c r="AM77">
        <v>4</v>
      </c>
      <c r="AN77">
        <v>29</v>
      </c>
      <c r="AO77">
        <v>61</v>
      </c>
      <c r="AQ77" t="str">
        <f t="shared" si="1"/>
        <v>Forward</v>
      </c>
    </row>
    <row r="78" spans="1:43" x14ac:dyDescent="0.35">
      <c r="A78" t="s">
        <v>124</v>
      </c>
      <c r="B78" t="s">
        <v>46</v>
      </c>
      <c r="C78" t="s">
        <v>945</v>
      </c>
      <c r="D78">
        <v>1991</v>
      </c>
      <c r="E78">
        <v>27</v>
      </c>
      <c r="F78" t="s">
        <v>61</v>
      </c>
      <c r="G78" t="s">
        <v>67</v>
      </c>
      <c r="H78">
        <v>54000000</v>
      </c>
      <c r="I78">
        <v>63000000</v>
      </c>
      <c r="J78" t="s">
        <v>42</v>
      </c>
      <c r="K78">
        <v>35</v>
      </c>
      <c r="L78">
        <v>2505</v>
      </c>
      <c r="M78">
        <v>13</v>
      </c>
      <c r="N78">
        <v>771</v>
      </c>
      <c r="O78">
        <v>8</v>
      </c>
      <c r="P78">
        <v>2</v>
      </c>
      <c r="Q78">
        <v>0</v>
      </c>
      <c r="R78">
        <v>8</v>
      </c>
      <c r="S78">
        <v>9</v>
      </c>
      <c r="T78">
        <v>81</v>
      </c>
      <c r="U78">
        <v>30</v>
      </c>
      <c r="V78">
        <v>1</v>
      </c>
      <c r="W78">
        <v>22</v>
      </c>
      <c r="X78">
        <v>0</v>
      </c>
      <c r="Y78">
        <v>0</v>
      </c>
      <c r="Z78">
        <v>1</v>
      </c>
      <c r="AA78">
        <v>24</v>
      </c>
      <c r="AB78">
        <v>10</v>
      </c>
      <c r="AC78">
        <v>51</v>
      </c>
      <c r="AD78">
        <v>0</v>
      </c>
      <c r="AE78">
        <v>29</v>
      </c>
      <c r="AF78">
        <v>1</v>
      </c>
      <c r="AG78">
        <v>15</v>
      </c>
      <c r="AH78">
        <v>51</v>
      </c>
      <c r="AI78">
        <v>0</v>
      </c>
      <c r="AJ78">
        <v>35</v>
      </c>
      <c r="AK78">
        <v>0</v>
      </c>
      <c r="AL78">
        <v>0</v>
      </c>
      <c r="AM78">
        <v>29</v>
      </c>
      <c r="AN78">
        <v>47</v>
      </c>
      <c r="AO78">
        <v>93</v>
      </c>
      <c r="AQ78" t="str">
        <f t="shared" si="1"/>
        <v>Forward</v>
      </c>
    </row>
    <row r="79" spans="1:43" x14ac:dyDescent="0.35">
      <c r="A79" t="s">
        <v>125</v>
      </c>
      <c r="B79" t="s">
        <v>39</v>
      </c>
      <c r="C79" t="s">
        <v>946</v>
      </c>
      <c r="D79">
        <v>1987</v>
      </c>
      <c r="E79">
        <v>28</v>
      </c>
      <c r="F79" t="s">
        <v>50</v>
      </c>
      <c r="G79" t="s">
        <v>126</v>
      </c>
      <c r="H79">
        <v>13200000</v>
      </c>
      <c r="I79">
        <v>6600000</v>
      </c>
      <c r="J79" t="s">
        <v>55</v>
      </c>
      <c r="K79">
        <v>12</v>
      </c>
      <c r="L79">
        <v>658</v>
      </c>
      <c r="M79">
        <v>0</v>
      </c>
      <c r="N79">
        <v>448</v>
      </c>
      <c r="O79">
        <v>0</v>
      </c>
      <c r="P79">
        <v>1</v>
      </c>
      <c r="Q79">
        <v>0</v>
      </c>
      <c r="R79">
        <v>4</v>
      </c>
      <c r="S79">
        <v>5</v>
      </c>
      <c r="T79">
        <v>6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1</v>
      </c>
      <c r="AC79">
        <v>0</v>
      </c>
      <c r="AD79">
        <v>0</v>
      </c>
      <c r="AE79">
        <v>3</v>
      </c>
      <c r="AF79">
        <v>0</v>
      </c>
      <c r="AG79">
        <v>12</v>
      </c>
      <c r="AH79">
        <v>13</v>
      </c>
      <c r="AI79">
        <v>0</v>
      </c>
      <c r="AJ79">
        <v>41</v>
      </c>
      <c r="AK79">
        <v>0</v>
      </c>
      <c r="AL79">
        <v>0</v>
      </c>
      <c r="AM79">
        <v>6</v>
      </c>
      <c r="AN79">
        <v>5</v>
      </c>
      <c r="AO79">
        <v>2</v>
      </c>
      <c r="AQ79" t="str">
        <f t="shared" si="1"/>
        <v>Midfielder</v>
      </c>
    </row>
    <row r="80" spans="1:43" x14ac:dyDescent="0.35">
      <c r="A80" t="s">
        <v>127</v>
      </c>
      <c r="B80" t="s">
        <v>47</v>
      </c>
      <c r="C80" t="s">
        <v>947</v>
      </c>
      <c r="D80">
        <v>1988</v>
      </c>
      <c r="E80">
        <v>28</v>
      </c>
      <c r="F80" t="s">
        <v>61</v>
      </c>
      <c r="G80" t="s">
        <v>128</v>
      </c>
      <c r="H80">
        <v>49500000</v>
      </c>
      <c r="I80">
        <v>58500000</v>
      </c>
      <c r="J80" t="s">
        <v>42</v>
      </c>
      <c r="K80">
        <v>38</v>
      </c>
      <c r="L80">
        <v>3223</v>
      </c>
      <c r="M80">
        <v>24</v>
      </c>
      <c r="N80">
        <v>1643</v>
      </c>
      <c r="O80">
        <v>10</v>
      </c>
      <c r="P80">
        <v>6</v>
      </c>
      <c r="Q80">
        <v>0</v>
      </c>
      <c r="R80">
        <v>2</v>
      </c>
      <c r="S80">
        <v>8</v>
      </c>
      <c r="T80">
        <v>129</v>
      </c>
      <c r="U80">
        <v>49</v>
      </c>
      <c r="V80">
        <v>5</v>
      </c>
      <c r="W80">
        <v>0</v>
      </c>
      <c r="X80">
        <v>3</v>
      </c>
      <c r="Y80">
        <v>0</v>
      </c>
      <c r="Z80">
        <v>2</v>
      </c>
      <c r="AA80">
        <v>27</v>
      </c>
      <c r="AB80">
        <v>48</v>
      </c>
      <c r="AC80">
        <v>8</v>
      </c>
      <c r="AD80">
        <v>6</v>
      </c>
      <c r="AE80">
        <v>66</v>
      </c>
      <c r="AF80">
        <v>1</v>
      </c>
      <c r="AG80">
        <v>24</v>
      </c>
      <c r="AH80">
        <v>49</v>
      </c>
      <c r="AI80">
        <v>0</v>
      </c>
      <c r="AJ80">
        <v>53</v>
      </c>
      <c r="AK80">
        <v>0</v>
      </c>
      <c r="AL80">
        <v>0</v>
      </c>
      <c r="AM80">
        <v>4</v>
      </c>
      <c r="AN80">
        <v>14</v>
      </c>
      <c r="AO80">
        <v>51</v>
      </c>
      <c r="AQ80" t="str">
        <f t="shared" si="1"/>
        <v>Forward</v>
      </c>
    </row>
    <row r="81" spans="1:43" x14ac:dyDescent="0.35">
      <c r="A81" t="s">
        <v>127</v>
      </c>
      <c r="B81" t="s">
        <v>39</v>
      </c>
      <c r="C81" t="s">
        <v>948</v>
      </c>
      <c r="D81">
        <v>1988</v>
      </c>
      <c r="E81">
        <v>26</v>
      </c>
      <c r="F81" t="s">
        <v>61</v>
      </c>
      <c r="G81" t="s">
        <v>128</v>
      </c>
      <c r="H81">
        <v>49500000</v>
      </c>
      <c r="I81">
        <v>49500000</v>
      </c>
      <c r="J81" t="s">
        <v>42</v>
      </c>
      <c r="K81">
        <v>30</v>
      </c>
      <c r="L81">
        <v>2446</v>
      </c>
      <c r="M81">
        <v>13</v>
      </c>
      <c r="N81">
        <v>1434</v>
      </c>
      <c r="O81">
        <v>4</v>
      </c>
      <c r="P81">
        <v>1</v>
      </c>
      <c r="Q81">
        <v>0</v>
      </c>
      <c r="R81">
        <v>2</v>
      </c>
      <c r="S81">
        <v>12</v>
      </c>
      <c r="T81">
        <v>107</v>
      </c>
      <c r="U81">
        <v>38</v>
      </c>
      <c r="V81">
        <v>5</v>
      </c>
      <c r="W81">
        <v>3</v>
      </c>
      <c r="X81">
        <v>2</v>
      </c>
      <c r="Y81">
        <v>0</v>
      </c>
      <c r="Z81">
        <v>1</v>
      </c>
      <c r="AA81">
        <v>13</v>
      </c>
      <c r="AB81">
        <v>36</v>
      </c>
      <c r="AC81">
        <v>11</v>
      </c>
      <c r="AD81">
        <v>15</v>
      </c>
      <c r="AE81">
        <v>64</v>
      </c>
      <c r="AF81">
        <v>3</v>
      </c>
      <c r="AG81">
        <v>24</v>
      </c>
      <c r="AH81">
        <v>32</v>
      </c>
      <c r="AI81">
        <v>0</v>
      </c>
      <c r="AJ81">
        <v>47</v>
      </c>
      <c r="AK81">
        <v>0</v>
      </c>
      <c r="AL81">
        <v>0</v>
      </c>
      <c r="AM81">
        <v>6</v>
      </c>
      <c r="AN81">
        <v>22</v>
      </c>
      <c r="AO81">
        <v>42</v>
      </c>
      <c r="AQ81" t="str">
        <f t="shared" si="1"/>
        <v>Forward</v>
      </c>
    </row>
    <row r="82" spans="1:43" x14ac:dyDescent="0.35">
      <c r="A82" t="s">
        <v>127</v>
      </c>
      <c r="B82" t="s">
        <v>43</v>
      </c>
      <c r="C82" t="s">
        <v>949</v>
      </c>
      <c r="D82">
        <v>1988</v>
      </c>
      <c r="E82">
        <v>29</v>
      </c>
      <c r="F82" t="s">
        <v>61</v>
      </c>
      <c r="G82" t="s">
        <v>128</v>
      </c>
      <c r="H82">
        <v>58500000</v>
      </c>
      <c r="I82">
        <v>49500000</v>
      </c>
      <c r="J82" t="s">
        <v>42</v>
      </c>
      <c r="K82">
        <v>31</v>
      </c>
      <c r="L82">
        <v>2553</v>
      </c>
      <c r="M82">
        <v>9</v>
      </c>
      <c r="N82">
        <v>1455</v>
      </c>
      <c r="O82">
        <v>6</v>
      </c>
      <c r="P82">
        <v>5</v>
      </c>
      <c r="Q82">
        <v>0</v>
      </c>
      <c r="R82">
        <v>2</v>
      </c>
      <c r="S82">
        <v>11</v>
      </c>
      <c r="T82">
        <v>88</v>
      </c>
      <c r="U82">
        <v>35</v>
      </c>
      <c r="V82">
        <v>4</v>
      </c>
      <c r="W82">
        <v>0</v>
      </c>
      <c r="X82">
        <v>1</v>
      </c>
      <c r="Y82">
        <v>1</v>
      </c>
      <c r="Z82">
        <v>0</v>
      </c>
      <c r="AA82">
        <v>26</v>
      </c>
      <c r="AB82">
        <v>29</v>
      </c>
      <c r="AC82">
        <v>53</v>
      </c>
      <c r="AD82">
        <v>54</v>
      </c>
      <c r="AE82">
        <v>97</v>
      </c>
      <c r="AF82">
        <v>2</v>
      </c>
      <c r="AG82">
        <v>23</v>
      </c>
      <c r="AH82">
        <v>31</v>
      </c>
      <c r="AI82">
        <v>0</v>
      </c>
      <c r="AJ82">
        <v>41</v>
      </c>
      <c r="AK82">
        <v>0</v>
      </c>
      <c r="AL82">
        <v>0</v>
      </c>
      <c r="AM82">
        <v>0</v>
      </c>
      <c r="AN82">
        <v>21</v>
      </c>
      <c r="AO82">
        <v>43</v>
      </c>
      <c r="AQ82" t="str">
        <f t="shared" si="1"/>
        <v>Forward</v>
      </c>
    </row>
    <row r="83" spans="1:43" x14ac:dyDescent="0.35">
      <c r="A83" t="s">
        <v>127</v>
      </c>
      <c r="B83" t="s">
        <v>46</v>
      </c>
      <c r="C83" t="s">
        <v>950</v>
      </c>
      <c r="D83">
        <v>1988</v>
      </c>
      <c r="E83">
        <v>29</v>
      </c>
      <c r="F83" t="s">
        <v>129</v>
      </c>
      <c r="G83" t="s">
        <v>128</v>
      </c>
      <c r="H83">
        <v>49500000</v>
      </c>
      <c r="I83">
        <v>31500000</v>
      </c>
      <c r="J83" t="s">
        <v>42</v>
      </c>
      <c r="K83">
        <v>20</v>
      </c>
      <c r="L83">
        <v>877</v>
      </c>
      <c r="M83">
        <v>1</v>
      </c>
      <c r="N83">
        <v>382</v>
      </c>
      <c r="O83">
        <v>3</v>
      </c>
      <c r="P83">
        <v>0</v>
      </c>
      <c r="Q83">
        <v>0</v>
      </c>
      <c r="R83">
        <v>11</v>
      </c>
      <c r="S83">
        <v>8</v>
      </c>
      <c r="T83">
        <v>17</v>
      </c>
      <c r="U83">
        <v>9</v>
      </c>
      <c r="V83">
        <v>0</v>
      </c>
      <c r="W83">
        <v>0</v>
      </c>
      <c r="X83">
        <v>0</v>
      </c>
      <c r="Y83">
        <v>0</v>
      </c>
      <c r="Z83">
        <v>0</v>
      </c>
      <c r="AA83">
        <v>8</v>
      </c>
      <c r="AB83">
        <v>6</v>
      </c>
      <c r="AC83">
        <v>8</v>
      </c>
      <c r="AD83">
        <v>5</v>
      </c>
      <c r="AE83">
        <v>24</v>
      </c>
      <c r="AF83">
        <v>0</v>
      </c>
      <c r="AG83">
        <v>9</v>
      </c>
      <c r="AH83">
        <v>14</v>
      </c>
      <c r="AI83">
        <v>0</v>
      </c>
      <c r="AJ83">
        <v>17</v>
      </c>
      <c r="AK83">
        <v>0</v>
      </c>
      <c r="AL83">
        <v>0</v>
      </c>
      <c r="AM83">
        <v>0</v>
      </c>
      <c r="AN83">
        <v>7</v>
      </c>
      <c r="AO83">
        <v>22</v>
      </c>
      <c r="AQ83" t="str">
        <f t="shared" si="1"/>
        <v>Forward</v>
      </c>
    </row>
    <row r="84" spans="1:43" x14ac:dyDescent="0.35">
      <c r="A84" t="s">
        <v>130</v>
      </c>
      <c r="B84" t="s">
        <v>43</v>
      </c>
      <c r="C84" t="s">
        <v>951</v>
      </c>
      <c r="D84">
        <v>1994</v>
      </c>
      <c r="E84">
        <v>23</v>
      </c>
      <c r="F84" t="s">
        <v>40</v>
      </c>
      <c r="G84" t="s">
        <v>51</v>
      </c>
      <c r="H84">
        <v>5400000</v>
      </c>
      <c r="I84">
        <v>13500000</v>
      </c>
      <c r="J84" t="s">
        <v>52</v>
      </c>
      <c r="K84">
        <v>38</v>
      </c>
      <c r="L84">
        <v>3420</v>
      </c>
      <c r="M84">
        <v>2</v>
      </c>
      <c r="N84">
        <v>1744</v>
      </c>
      <c r="O84">
        <v>1</v>
      </c>
      <c r="P84">
        <v>3</v>
      </c>
      <c r="Q84">
        <v>0</v>
      </c>
      <c r="R84">
        <v>0</v>
      </c>
      <c r="S84">
        <v>0</v>
      </c>
      <c r="T84">
        <v>20</v>
      </c>
      <c r="U84">
        <v>6</v>
      </c>
      <c r="V84">
        <v>0</v>
      </c>
      <c r="W84">
        <v>126</v>
      </c>
      <c r="X84">
        <v>0</v>
      </c>
      <c r="Y84">
        <v>0</v>
      </c>
      <c r="Z84">
        <v>0</v>
      </c>
      <c r="AA84">
        <v>0</v>
      </c>
      <c r="AB84">
        <v>1</v>
      </c>
      <c r="AC84">
        <v>14</v>
      </c>
      <c r="AD84">
        <v>0</v>
      </c>
      <c r="AE84">
        <v>2</v>
      </c>
      <c r="AF84">
        <v>32</v>
      </c>
      <c r="AG84">
        <v>35</v>
      </c>
      <c r="AH84">
        <v>19</v>
      </c>
      <c r="AI84">
        <v>0</v>
      </c>
      <c r="AJ84">
        <v>32</v>
      </c>
      <c r="AK84">
        <v>1</v>
      </c>
      <c r="AL84">
        <v>0</v>
      </c>
      <c r="AM84">
        <v>222</v>
      </c>
      <c r="AN84">
        <v>122</v>
      </c>
      <c r="AO84">
        <v>74</v>
      </c>
      <c r="AQ84" t="str">
        <f t="shared" si="1"/>
        <v>Defensive Forward</v>
      </c>
    </row>
    <row r="85" spans="1:43" x14ac:dyDescent="0.35">
      <c r="A85" t="s">
        <v>130</v>
      </c>
      <c r="B85" t="s">
        <v>47</v>
      </c>
      <c r="C85" t="s">
        <v>952</v>
      </c>
      <c r="D85">
        <v>1994</v>
      </c>
      <c r="E85">
        <v>22</v>
      </c>
      <c r="F85" t="s">
        <v>40</v>
      </c>
      <c r="G85" t="s">
        <v>51</v>
      </c>
      <c r="H85">
        <v>270000</v>
      </c>
      <c r="I85">
        <v>5400000</v>
      </c>
      <c r="J85" t="s">
        <v>52</v>
      </c>
      <c r="K85">
        <v>27</v>
      </c>
      <c r="L85">
        <v>2430</v>
      </c>
      <c r="M85">
        <v>4</v>
      </c>
      <c r="N85">
        <v>1218</v>
      </c>
      <c r="O85">
        <v>0</v>
      </c>
      <c r="P85">
        <v>1</v>
      </c>
      <c r="Q85">
        <v>0</v>
      </c>
      <c r="R85">
        <v>0</v>
      </c>
      <c r="S85">
        <v>0</v>
      </c>
      <c r="T85">
        <v>22</v>
      </c>
      <c r="U85">
        <v>5</v>
      </c>
      <c r="V85">
        <v>2</v>
      </c>
      <c r="W85">
        <v>95</v>
      </c>
      <c r="X85">
        <v>3</v>
      </c>
      <c r="Y85">
        <v>0</v>
      </c>
      <c r="Z85">
        <v>0</v>
      </c>
      <c r="AA85">
        <v>0</v>
      </c>
      <c r="AB85">
        <v>1</v>
      </c>
      <c r="AC85">
        <v>1</v>
      </c>
      <c r="AD85">
        <v>0</v>
      </c>
      <c r="AE85">
        <v>1</v>
      </c>
      <c r="AF85">
        <v>27</v>
      </c>
      <c r="AG85">
        <v>30</v>
      </c>
      <c r="AH85">
        <v>10</v>
      </c>
      <c r="AI85">
        <v>0</v>
      </c>
      <c r="AJ85">
        <v>29</v>
      </c>
      <c r="AK85">
        <v>1</v>
      </c>
      <c r="AL85">
        <v>2</v>
      </c>
      <c r="AM85">
        <v>169</v>
      </c>
      <c r="AN85">
        <v>84</v>
      </c>
      <c r="AO85">
        <v>52</v>
      </c>
      <c r="AQ85" t="str">
        <f t="shared" si="1"/>
        <v>Defensive Forward</v>
      </c>
    </row>
    <row r="86" spans="1:43" x14ac:dyDescent="0.35">
      <c r="A86" t="s">
        <v>130</v>
      </c>
      <c r="B86" t="s">
        <v>46</v>
      </c>
      <c r="C86" t="s">
        <v>953</v>
      </c>
      <c r="D86">
        <v>1994</v>
      </c>
      <c r="E86">
        <v>24</v>
      </c>
      <c r="F86" t="s">
        <v>74</v>
      </c>
      <c r="G86" t="s">
        <v>51</v>
      </c>
      <c r="H86">
        <v>13500000</v>
      </c>
      <c r="I86">
        <v>13500000</v>
      </c>
      <c r="J86" t="s">
        <v>52</v>
      </c>
      <c r="K86">
        <v>15</v>
      </c>
      <c r="L86">
        <v>1130</v>
      </c>
      <c r="M86">
        <v>0</v>
      </c>
      <c r="N86">
        <v>477</v>
      </c>
      <c r="O86">
        <v>0</v>
      </c>
      <c r="P86">
        <v>2</v>
      </c>
      <c r="Q86">
        <v>0</v>
      </c>
      <c r="R86">
        <v>2</v>
      </c>
      <c r="S86">
        <v>2</v>
      </c>
      <c r="T86">
        <v>2</v>
      </c>
      <c r="U86">
        <v>1</v>
      </c>
      <c r="V86">
        <v>0</v>
      </c>
      <c r="W86">
        <v>38</v>
      </c>
      <c r="X86">
        <v>0</v>
      </c>
      <c r="Y86">
        <v>0</v>
      </c>
      <c r="Z86">
        <v>0</v>
      </c>
      <c r="AA86">
        <v>0</v>
      </c>
      <c r="AB86">
        <v>0</v>
      </c>
      <c r="AC86">
        <v>1</v>
      </c>
      <c r="AD86">
        <v>0</v>
      </c>
      <c r="AE86">
        <v>3</v>
      </c>
      <c r="AF86">
        <v>17</v>
      </c>
      <c r="AG86">
        <v>19</v>
      </c>
      <c r="AH86">
        <v>6</v>
      </c>
      <c r="AI86">
        <v>0</v>
      </c>
      <c r="AJ86">
        <v>11</v>
      </c>
      <c r="AK86">
        <v>0</v>
      </c>
      <c r="AL86">
        <v>0</v>
      </c>
      <c r="AM86">
        <v>64</v>
      </c>
      <c r="AN86">
        <v>32</v>
      </c>
      <c r="AO86">
        <v>21</v>
      </c>
      <c r="AQ86" t="str">
        <f t="shared" si="1"/>
        <v>Defensive Forward</v>
      </c>
    </row>
    <row r="87" spans="1:43" x14ac:dyDescent="0.35">
      <c r="A87" t="s">
        <v>131</v>
      </c>
      <c r="B87" t="s">
        <v>47</v>
      </c>
      <c r="C87" t="s">
        <v>954</v>
      </c>
      <c r="D87">
        <v>1990</v>
      </c>
      <c r="E87">
        <v>26</v>
      </c>
      <c r="F87" t="s">
        <v>71</v>
      </c>
      <c r="G87" t="s">
        <v>132</v>
      </c>
      <c r="H87">
        <v>8800000</v>
      </c>
      <c r="I87">
        <v>5500000</v>
      </c>
      <c r="J87" t="s">
        <v>55</v>
      </c>
      <c r="K87">
        <v>15</v>
      </c>
      <c r="L87">
        <v>1277</v>
      </c>
      <c r="M87">
        <v>0</v>
      </c>
      <c r="N87">
        <v>563</v>
      </c>
      <c r="O87">
        <v>0</v>
      </c>
      <c r="P87">
        <v>7</v>
      </c>
      <c r="Q87">
        <v>0</v>
      </c>
      <c r="R87">
        <v>0</v>
      </c>
      <c r="S87">
        <v>4</v>
      </c>
      <c r="T87">
        <v>10</v>
      </c>
      <c r="U87">
        <v>3</v>
      </c>
      <c r="V87">
        <v>1</v>
      </c>
      <c r="W87">
        <v>8</v>
      </c>
      <c r="X87">
        <v>0</v>
      </c>
      <c r="Y87">
        <v>0</v>
      </c>
      <c r="Z87">
        <v>0</v>
      </c>
      <c r="AA87">
        <v>1</v>
      </c>
      <c r="AB87">
        <v>2</v>
      </c>
      <c r="AC87">
        <v>2</v>
      </c>
      <c r="AD87">
        <v>0</v>
      </c>
      <c r="AE87">
        <v>6</v>
      </c>
      <c r="AF87">
        <v>6</v>
      </c>
      <c r="AG87">
        <v>20</v>
      </c>
      <c r="AH87">
        <v>34</v>
      </c>
      <c r="AI87">
        <v>0</v>
      </c>
      <c r="AJ87">
        <v>37</v>
      </c>
      <c r="AK87">
        <v>0</v>
      </c>
      <c r="AL87">
        <v>0</v>
      </c>
      <c r="AM87">
        <v>16</v>
      </c>
      <c r="AN87">
        <v>14</v>
      </c>
      <c r="AO87">
        <v>25</v>
      </c>
      <c r="AQ87" t="str">
        <f t="shared" si="1"/>
        <v>Midfielder</v>
      </c>
    </row>
    <row r="88" spans="1:43" x14ac:dyDescent="0.35">
      <c r="A88" t="s">
        <v>133</v>
      </c>
      <c r="B88" t="s">
        <v>46</v>
      </c>
      <c r="C88" t="s">
        <v>955</v>
      </c>
      <c r="D88">
        <v>1993</v>
      </c>
      <c r="E88">
        <v>24</v>
      </c>
      <c r="F88" t="s">
        <v>134</v>
      </c>
      <c r="G88" t="s">
        <v>135</v>
      </c>
      <c r="H88">
        <v>16200000</v>
      </c>
      <c r="I88">
        <v>13500000</v>
      </c>
      <c r="J88" t="s">
        <v>55</v>
      </c>
      <c r="K88">
        <v>19</v>
      </c>
      <c r="L88">
        <v>1019</v>
      </c>
      <c r="M88">
        <v>0</v>
      </c>
      <c r="N88">
        <v>277</v>
      </c>
      <c r="O88">
        <v>0</v>
      </c>
      <c r="P88">
        <v>2</v>
      </c>
      <c r="Q88">
        <v>0</v>
      </c>
      <c r="R88">
        <v>7</v>
      </c>
      <c r="S88">
        <v>9</v>
      </c>
      <c r="T88">
        <v>21</v>
      </c>
      <c r="U88">
        <v>6</v>
      </c>
      <c r="V88">
        <v>2</v>
      </c>
      <c r="W88">
        <v>0</v>
      </c>
      <c r="X88">
        <v>0</v>
      </c>
      <c r="Y88">
        <v>0</v>
      </c>
      <c r="Z88">
        <v>0</v>
      </c>
      <c r="AA88">
        <v>6</v>
      </c>
      <c r="AB88">
        <v>1</v>
      </c>
      <c r="AC88">
        <v>15</v>
      </c>
      <c r="AD88">
        <v>5</v>
      </c>
      <c r="AE88">
        <v>23</v>
      </c>
      <c r="AF88">
        <v>0</v>
      </c>
      <c r="AG88">
        <v>11</v>
      </c>
      <c r="AH88">
        <v>19</v>
      </c>
      <c r="AI88">
        <v>0</v>
      </c>
      <c r="AJ88">
        <v>32</v>
      </c>
      <c r="AK88">
        <v>0</v>
      </c>
      <c r="AL88">
        <v>0</v>
      </c>
      <c r="AM88">
        <v>2</v>
      </c>
      <c r="AN88">
        <v>11</v>
      </c>
      <c r="AO88">
        <v>18</v>
      </c>
      <c r="AQ88" t="str">
        <f t="shared" si="1"/>
        <v>Midfielder</v>
      </c>
    </row>
    <row r="89" spans="1:43" x14ac:dyDescent="0.35">
      <c r="A89" t="s">
        <v>136</v>
      </c>
      <c r="B89" t="s">
        <v>47</v>
      </c>
      <c r="C89" t="s">
        <v>956</v>
      </c>
      <c r="D89">
        <v>1988</v>
      </c>
      <c r="E89">
        <v>28</v>
      </c>
      <c r="F89" t="s">
        <v>103</v>
      </c>
      <c r="G89" t="s">
        <v>126</v>
      </c>
      <c r="H89">
        <v>3600000</v>
      </c>
      <c r="I89">
        <v>4050000</v>
      </c>
      <c r="J89" t="s">
        <v>52</v>
      </c>
      <c r="K89">
        <v>32</v>
      </c>
      <c r="L89">
        <v>2637</v>
      </c>
      <c r="M89">
        <v>0</v>
      </c>
      <c r="N89">
        <v>735</v>
      </c>
      <c r="O89">
        <v>2</v>
      </c>
      <c r="P89">
        <v>8</v>
      </c>
      <c r="Q89">
        <v>0</v>
      </c>
      <c r="R89">
        <v>3</v>
      </c>
      <c r="S89">
        <v>3</v>
      </c>
      <c r="T89">
        <v>6</v>
      </c>
      <c r="U89">
        <v>1</v>
      </c>
      <c r="V89">
        <v>0</v>
      </c>
      <c r="W89">
        <v>57</v>
      </c>
      <c r="X89">
        <v>0</v>
      </c>
      <c r="Y89">
        <v>0</v>
      </c>
      <c r="Z89">
        <v>0</v>
      </c>
      <c r="AA89">
        <v>2</v>
      </c>
      <c r="AB89">
        <v>0</v>
      </c>
      <c r="AC89">
        <v>0</v>
      </c>
      <c r="AD89">
        <v>0</v>
      </c>
      <c r="AE89">
        <v>78</v>
      </c>
      <c r="AF89">
        <v>8</v>
      </c>
      <c r="AG89">
        <v>60</v>
      </c>
      <c r="AH89">
        <v>50</v>
      </c>
      <c r="AI89">
        <v>0</v>
      </c>
      <c r="AJ89">
        <v>72</v>
      </c>
      <c r="AK89">
        <v>0</v>
      </c>
      <c r="AL89">
        <v>0</v>
      </c>
      <c r="AM89">
        <v>101</v>
      </c>
      <c r="AN89">
        <v>21</v>
      </c>
      <c r="AO89">
        <v>19</v>
      </c>
      <c r="AQ89" t="str">
        <f t="shared" si="1"/>
        <v>Defensive Forward</v>
      </c>
    </row>
    <row r="90" spans="1:43" x14ac:dyDescent="0.35">
      <c r="A90" t="s">
        <v>136</v>
      </c>
      <c r="B90" t="s">
        <v>39</v>
      </c>
      <c r="C90" t="s">
        <v>957</v>
      </c>
      <c r="D90">
        <v>1988</v>
      </c>
      <c r="E90">
        <v>27</v>
      </c>
      <c r="F90" t="s">
        <v>66</v>
      </c>
      <c r="G90" t="s">
        <v>126</v>
      </c>
      <c r="H90">
        <v>3600000</v>
      </c>
      <c r="I90">
        <v>3600000</v>
      </c>
      <c r="J90" t="s">
        <v>52</v>
      </c>
      <c r="K90">
        <v>28</v>
      </c>
      <c r="L90">
        <v>2474</v>
      </c>
      <c r="M90">
        <v>0</v>
      </c>
      <c r="N90">
        <v>860</v>
      </c>
      <c r="O90">
        <v>1</v>
      </c>
      <c r="P90">
        <v>8</v>
      </c>
      <c r="Q90">
        <v>0</v>
      </c>
      <c r="R90">
        <v>3</v>
      </c>
      <c r="S90">
        <v>9</v>
      </c>
      <c r="T90">
        <v>7</v>
      </c>
      <c r="U90">
        <v>1</v>
      </c>
      <c r="V90">
        <v>0</v>
      </c>
      <c r="W90">
        <v>26</v>
      </c>
      <c r="X90">
        <v>0</v>
      </c>
      <c r="Y90">
        <v>0</v>
      </c>
      <c r="Z90">
        <v>0</v>
      </c>
      <c r="AA90">
        <v>0</v>
      </c>
      <c r="AB90">
        <v>1</v>
      </c>
      <c r="AC90">
        <v>0</v>
      </c>
      <c r="AD90">
        <v>0</v>
      </c>
      <c r="AE90">
        <v>85</v>
      </c>
      <c r="AF90">
        <v>7</v>
      </c>
      <c r="AG90">
        <v>60</v>
      </c>
      <c r="AH90">
        <v>36</v>
      </c>
      <c r="AI90">
        <v>0</v>
      </c>
      <c r="AJ90">
        <v>84</v>
      </c>
      <c r="AK90">
        <v>1</v>
      </c>
      <c r="AL90">
        <v>0</v>
      </c>
      <c r="AM90">
        <v>70</v>
      </c>
      <c r="AN90">
        <v>13</v>
      </c>
      <c r="AO90">
        <v>20</v>
      </c>
      <c r="AQ90" t="str">
        <f t="shared" si="1"/>
        <v>Defensive Forward</v>
      </c>
    </row>
    <row r="91" spans="1:43" x14ac:dyDescent="0.35">
      <c r="A91" t="s">
        <v>136</v>
      </c>
      <c r="B91" t="s">
        <v>43</v>
      </c>
      <c r="C91" t="s">
        <v>958</v>
      </c>
      <c r="D91">
        <v>1988</v>
      </c>
      <c r="E91">
        <v>29</v>
      </c>
      <c r="F91" t="s">
        <v>103</v>
      </c>
      <c r="G91" t="s">
        <v>126</v>
      </c>
      <c r="H91">
        <v>4050000</v>
      </c>
      <c r="I91">
        <v>4050000</v>
      </c>
      <c r="J91" t="s">
        <v>52</v>
      </c>
      <c r="K91">
        <v>29</v>
      </c>
      <c r="L91">
        <v>2308</v>
      </c>
      <c r="M91">
        <v>0</v>
      </c>
      <c r="N91">
        <v>753</v>
      </c>
      <c r="O91">
        <v>1</v>
      </c>
      <c r="P91">
        <v>7</v>
      </c>
      <c r="Q91">
        <v>0</v>
      </c>
      <c r="R91">
        <v>4</v>
      </c>
      <c r="S91">
        <v>2</v>
      </c>
      <c r="T91">
        <v>0</v>
      </c>
      <c r="U91">
        <v>0</v>
      </c>
      <c r="V91">
        <v>0</v>
      </c>
      <c r="W91">
        <v>47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88</v>
      </c>
      <c r="AF91">
        <v>9</v>
      </c>
      <c r="AG91">
        <v>27</v>
      </c>
      <c r="AH91">
        <v>20</v>
      </c>
      <c r="AI91">
        <v>0</v>
      </c>
      <c r="AJ91">
        <v>64</v>
      </c>
      <c r="AK91">
        <v>0</v>
      </c>
      <c r="AL91">
        <v>0</v>
      </c>
      <c r="AM91">
        <v>83</v>
      </c>
      <c r="AN91">
        <v>22</v>
      </c>
      <c r="AO91">
        <v>19</v>
      </c>
      <c r="AQ91" t="str">
        <f t="shared" si="1"/>
        <v>Defensive Forward</v>
      </c>
    </row>
    <row r="92" spans="1:43" x14ac:dyDescent="0.35">
      <c r="A92" t="s">
        <v>137</v>
      </c>
      <c r="B92" t="s">
        <v>39</v>
      </c>
      <c r="C92" t="s">
        <v>959</v>
      </c>
      <c r="D92">
        <v>1986</v>
      </c>
      <c r="E92">
        <v>28</v>
      </c>
      <c r="F92" t="s">
        <v>66</v>
      </c>
      <c r="G92" t="s">
        <v>138</v>
      </c>
      <c r="H92">
        <v>2750000</v>
      </c>
      <c r="I92">
        <v>3750000</v>
      </c>
      <c r="J92" t="s">
        <v>55</v>
      </c>
      <c r="K92">
        <v>32</v>
      </c>
      <c r="L92">
        <v>1984</v>
      </c>
      <c r="M92">
        <v>2</v>
      </c>
      <c r="N92">
        <v>938</v>
      </c>
      <c r="O92">
        <v>0</v>
      </c>
      <c r="P92">
        <v>4</v>
      </c>
      <c r="Q92">
        <v>0</v>
      </c>
      <c r="R92">
        <v>7</v>
      </c>
      <c r="S92">
        <v>20</v>
      </c>
      <c r="T92">
        <v>39</v>
      </c>
      <c r="U92">
        <v>10</v>
      </c>
      <c r="V92">
        <v>1</v>
      </c>
      <c r="W92">
        <v>9</v>
      </c>
      <c r="X92">
        <v>0</v>
      </c>
      <c r="Y92">
        <v>0</v>
      </c>
      <c r="Z92">
        <v>1</v>
      </c>
      <c r="AA92">
        <v>1</v>
      </c>
      <c r="AB92">
        <v>2</v>
      </c>
      <c r="AC92">
        <v>1</v>
      </c>
      <c r="AD92">
        <v>13</v>
      </c>
      <c r="AE92">
        <v>55</v>
      </c>
      <c r="AF92">
        <v>3</v>
      </c>
      <c r="AG92">
        <v>32</v>
      </c>
      <c r="AH92">
        <v>38</v>
      </c>
      <c r="AI92">
        <v>1</v>
      </c>
      <c r="AJ92">
        <v>83</v>
      </c>
      <c r="AK92">
        <v>0</v>
      </c>
      <c r="AL92">
        <v>0</v>
      </c>
      <c r="AM92">
        <v>24</v>
      </c>
      <c r="AN92">
        <v>22</v>
      </c>
      <c r="AO92">
        <v>31</v>
      </c>
      <c r="AQ92" t="str">
        <f t="shared" si="1"/>
        <v>Midfielder</v>
      </c>
    </row>
    <row r="93" spans="1:43" x14ac:dyDescent="0.35">
      <c r="A93" t="s">
        <v>139</v>
      </c>
      <c r="B93" t="s">
        <v>39</v>
      </c>
      <c r="C93" t="s">
        <v>960</v>
      </c>
      <c r="D93">
        <v>1987</v>
      </c>
      <c r="E93">
        <v>27</v>
      </c>
      <c r="F93" t="s">
        <v>89</v>
      </c>
      <c r="G93" t="s">
        <v>67</v>
      </c>
      <c r="H93">
        <v>2700000</v>
      </c>
      <c r="I93">
        <v>1800000</v>
      </c>
      <c r="J93" t="s">
        <v>52</v>
      </c>
      <c r="K93">
        <v>18</v>
      </c>
      <c r="L93">
        <v>1603</v>
      </c>
      <c r="M93">
        <v>0</v>
      </c>
      <c r="N93">
        <v>647</v>
      </c>
      <c r="O93">
        <v>0</v>
      </c>
      <c r="P93">
        <v>3</v>
      </c>
      <c r="Q93">
        <v>1</v>
      </c>
      <c r="R93">
        <v>0</v>
      </c>
      <c r="S93">
        <v>0</v>
      </c>
      <c r="T93">
        <v>4</v>
      </c>
      <c r="U93">
        <v>3</v>
      </c>
      <c r="V93">
        <v>0</v>
      </c>
      <c r="W93">
        <v>31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81</v>
      </c>
      <c r="AF93">
        <v>3</v>
      </c>
      <c r="AG93">
        <v>40</v>
      </c>
      <c r="AH93">
        <v>13</v>
      </c>
      <c r="AI93">
        <v>0</v>
      </c>
      <c r="AJ93">
        <v>26</v>
      </c>
      <c r="AK93">
        <v>0</v>
      </c>
      <c r="AL93">
        <v>0</v>
      </c>
      <c r="AM93">
        <v>75</v>
      </c>
      <c r="AN93">
        <v>22</v>
      </c>
      <c r="AO93">
        <v>12</v>
      </c>
      <c r="AQ93" t="str">
        <f t="shared" si="1"/>
        <v>Defensive Forward</v>
      </c>
    </row>
    <row r="94" spans="1:43" x14ac:dyDescent="0.35">
      <c r="A94" t="s">
        <v>140</v>
      </c>
      <c r="B94" t="s">
        <v>39</v>
      </c>
      <c r="C94" t="s">
        <v>961</v>
      </c>
      <c r="D94">
        <v>1989</v>
      </c>
      <c r="E94">
        <v>25</v>
      </c>
      <c r="F94" t="s">
        <v>129</v>
      </c>
      <c r="G94" t="s">
        <v>45</v>
      </c>
      <c r="H94">
        <v>30800000</v>
      </c>
      <c r="I94">
        <v>30800000</v>
      </c>
      <c r="J94" t="s">
        <v>55</v>
      </c>
      <c r="K94">
        <v>27</v>
      </c>
      <c r="L94">
        <v>1532</v>
      </c>
      <c r="M94">
        <v>3</v>
      </c>
      <c r="N94">
        <v>1097</v>
      </c>
      <c r="O94">
        <v>0</v>
      </c>
      <c r="P94">
        <v>4</v>
      </c>
      <c r="Q94">
        <v>0</v>
      </c>
      <c r="R94">
        <v>10</v>
      </c>
      <c r="S94">
        <v>11</v>
      </c>
      <c r="T94">
        <v>24</v>
      </c>
      <c r="U94">
        <v>6</v>
      </c>
      <c r="V94">
        <v>0</v>
      </c>
      <c r="W94">
        <v>5</v>
      </c>
      <c r="X94">
        <v>1</v>
      </c>
      <c r="Y94">
        <v>1</v>
      </c>
      <c r="Z94">
        <v>0</v>
      </c>
      <c r="AA94">
        <v>1</v>
      </c>
      <c r="AB94">
        <v>7</v>
      </c>
      <c r="AC94">
        <v>1</v>
      </c>
      <c r="AD94">
        <v>7</v>
      </c>
      <c r="AE94">
        <v>34</v>
      </c>
      <c r="AF94">
        <v>6</v>
      </c>
      <c r="AG94">
        <v>24</v>
      </c>
      <c r="AH94">
        <v>28</v>
      </c>
      <c r="AI94">
        <v>0</v>
      </c>
      <c r="AJ94">
        <v>56</v>
      </c>
      <c r="AK94">
        <v>0</v>
      </c>
      <c r="AL94">
        <v>0</v>
      </c>
      <c r="AM94">
        <v>17</v>
      </c>
      <c r="AN94">
        <v>7</v>
      </c>
      <c r="AO94">
        <v>7</v>
      </c>
      <c r="AQ94" t="str">
        <f t="shared" si="1"/>
        <v>Midfielder</v>
      </c>
    </row>
    <row r="95" spans="1:43" x14ac:dyDescent="0.35">
      <c r="A95" t="s">
        <v>140</v>
      </c>
      <c r="B95" t="s">
        <v>47</v>
      </c>
      <c r="C95" t="s">
        <v>962</v>
      </c>
      <c r="D95">
        <v>1989</v>
      </c>
      <c r="E95">
        <v>26</v>
      </c>
      <c r="F95" t="s">
        <v>129</v>
      </c>
      <c r="G95" t="s">
        <v>45</v>
      </c>
      <c r="H95">
        <v>30800000</v>
      </c>
      <c r="I95">
        <v>33000000</v>
      </c>
      <c r="J95" t="s">
        <v>55</v>
      </c>
      <c r="K95">
        <v>31</v>
      </c>
      <c r="L95">
        <v>2464</v>
      </c>
      <c r="M95">
        <v>1</v>
      </c>
      <c r="N95">
        <v>2089</v>
      </c>
      <c r="O95">
        <v>6</v>
      </c>
      <c r="P95">
        <v>5</v>
      </c>
      <c r="Q95">
        <v>1</v>
      </c>
      <c r="R95">
        <v>4</v>
      </c>
      <c r="S95">
        <v>5</v>
      </c>
      <c r="T95">
        <v>38</v>
      </c>
      <c r="U95">
        <v>6</v>
      </c>
      <c r="V95">
        <v>2</v>
      </c>
      <c r="W95">
        <v>17</v>
      </c>
      <c r="X95">
        <v>0</v>
      </c>
      <c r="Y95">
        <v>0</v>
      </c>
      <c r="Z95">
        <v>0</v>
      </c>
      <c r="AA95">
        <v>0</v>
      </c>
      <c r="AB95">
        <v>12</v>
      </c>
      <c r="AC95">
        <v>1</v>
      </c>
      <c r="AD95">
        <v>2</v>
      </c>
      <c r="AE95">
        <v>50</v>
      </c>
      <c r="AF95">
        <v>7</v>
      </c>
      <c r="AG95">
        <v>81</v>
      </c>
      <c r="AH95">
        <v>47</v>
      </c>
      <c r="AI95">
        <v>0</v>
      </c>
      <c r="AJ95">
        <v>84</v>
      </c>
      <c r="AK95">
        <v>0</v>
      </c>
      <c r="AL95">
        <v>0</v>
      </c>
      <c r="AM95">
        <v>51</v>
      </c>
      <c r="AN95">
        <v>27</v>
      </c>
      <c r="AO95">
        <v>17</v>
      </c>
      <c r="AQ95" t="str">
        <f t="shared" si="1"/>
        <v>Midfielder</v>
      </c>
    </row>
    <row r="96" spans="1:43" x14ac:dyDescent="0.35">
      <c r="A96" t="s">
        <v>140</v>
      </c>
      <c r="B96" t="s">
        <v>43</v>
      </c>
      <c r="C96" t="s">
        <v>963</v>
      </c>
      <c r="D96">
        <v>1989</v>
      </c>
      <c r="E96">
        <v>28</v>
      </c>
      <c r="F96" t="s">
        <v>129</v>
      </c>
      <c r="G96" t="s">
        <v>45</v>
      </c>
      <c r="H96">
        <v>33000000</v>
      </c>
      <c r="I96">
        <v>33000000</v>
      </c>
      <c r="J96" t="s">
        <v>55</v>
      </c>
      <c r="K96">
        <v>26</v>
      </c>
      <c r="L96">
        <v>1260</v>
      </c>
      <c r="M96">
        <v>0</v>
      </c>
      <c r="N96">
        <v>1043</v>
      </c>
      <c r="O96">
        <v>2</v>
      </c>
      <c r="P96">
        <v>5</v>
      </c>
      <c r="Q96">
        <v>0</v>
      </c>
      <c r="R96">
        <v>13</v>
      </c>
      <c r="S96">
        <v>6</v>
      </c>
      <c r="T96">
        <v>12</v>
      </c>
      <c r="U96">
        <v>1</v>
      </c>
      <c r="V96">
        <v>0</v>
      </c>
      <c r="W96">
        <v>4</v>
      </c>
      <c r="X96">
        <v>0</v>
      </c>
      <c r="Y96">
        <v>0</v>
      </c>
      <c r="Z96">
        <v>0</v>
      </c>
      <c r="AA96">
        <v>2</v>
      </c>
      <c r="AB96">
        <v>4</v>
      </c>
      <c r="AC96">
        <v>11</v>
      </c>
      <c r="AD96">
        <v>1</v>
      </c>
      <c r="AE96">
        <v>15</v>
      </c>
      <c r="AF96">
        <v>6</v>
      </c>
      <c r="AG96">
        <v>34</v>
      </c>
      <c r="AH96">
        <v>28</v>
      </c>
      <c r="AI96">
        <v>0</v>
      </c>
      <c r="AJ96">
        <v>56</v>
      </c>
      <c r="AK96">
        <v>0</v>
      </c>
      <c r="AL96">
        <v>0</v>
      </c>
      <c r="AM96">
        <v>20</v>
      </c>
      <c r="AN96">
        <v>9</v>
      </c>
      <c r="AO96">
        <v>10</v>
      </c>
      <c r="AQ96" t="str">
        <f t="shared" si="1"/>
        <v>Midfielder</v>
      </c>
    </row>
    <row r="97" spans="1:43" x14ac:dyDescent="0.35">
      <c r="A97" t="s">
        <v>140</v>
      </c>
      <c r="B97" t="s">
        <v>46</v>
      </c>
      <c r="C97" t="s">
        <v>964</v>
      </c>
      <c r="D97">
        <v>1989</v>
      </c>
      <c r="E97">
        <v>28</v>
      </c>
      <c r="F97" t="s">
        <v>129</v>
      </c>
      <c r="G97" t="s">
        <v>45</v>
      </c>
      <c r="H97">
        <v>33000000</v>
      </c>
      <c r="I97">
        <v>27500000</v>
      </c>
      <c r="J97" t="s">
        <v>55</v>
      </c>
      <c r="K97">
        <v>22</v>
      </c>
      <c r="L97">
        <v>1404</v>
      </c>
      <c r="M97">
        <v>2</v>
      </c>
      <c r="N97">
        <v>980</v>
      </c>
      <c r="O97">
        <v>3</v>
      </c>
      <c r="P97">
        <v>4</v>
      </c>
      <c r="Q97">
        <v>0</v>
      </c>
      <c r="R97">
        <v>6</v>
      </c>
      <c r="S97">
        <v>7</v>
      </c>
      <c r="T97">
        <v>21</v>
      </c>
      <c r="U97">
        <v>8</v>
      </c>
      <c r="V97">
        <v>0</v>
      </c>
      <c r="W97">
        <v>10</v>
      </c>
      <c r="X97">
        <v>0</v>
      </c>
      <c r="Y97">
        <v>0</v>
      </c>
      <c r="Z97">
        <v>0</v>
      </c>
      <c r="AA97">
        <v>0</v>
      </c>
      <c r="AB97">
        <v>3</v>
      </c>
      <c r="AC97">
        <v>13</v>
      </c>
      <c r="AD97">
        <v>2</v>
      </c>
      <c r="AE97">
        <v>6</v>
      </c>
      <c r="AF97">
        <v>6</v>
      </c>
      <c r="AG97">
        <v>37</v>
      </c>
      <c r="AH97">
        <v>21</v>
      </c>
      <c r="AI97">
        <v>0</v>
      </c>
      <c r="AJ97">
        <v>54</v>
      </c>
      <c r="AK97">
        <v>0</v>
      </c>
      <c r="AL97">
        <v>0</v>
      </c>
      <c r="AM97">
        <v>21</v>
      </c>
      <c r="AN97">
        <v>5</v>
      </c>
      <c r="AO97">
        <v>14</v>
      </c>
      <c r="AQ97" t="str">
        <f t="shared" si="1"/>
        <v>Midfielder</v>
      </c>
    </row>
    <row r="98" spans="1:43" x14ac:dyDescent="0.35">
      <c r="A98" t="s">
        <v>141</v>
      </c>
      <c r="B98" t="s">
        <v>39</v>
      </c>
      <c r="C98" t="s">
        <v>965</v>
      </c>
      <c r="D98">
        <v>1989</v>
      </c>
      <c r="E98">
        <v>25</v>
      </c>
      <c r="F98" t="s">
        <v>40</v>
      </c>
      <c r="G98" t="s">
        <v>69</v>
      </c>
      <c r="H98">
        <v>14300000</v>
      </c>
      <c r="I98">
        <v>16200000</v>
      </c>
      <c r="J98" t="s">
        <v>42</v>
      </c>
      <c r="K98">
        <v>34</v>
      </c>
      <c r="L98">
        <v>2937</v>
      </c>
      <c r="M98">
        <v>12</v>
      </c>
      <c r="N98">
        <v>1056</v>
      </c>
      <c r="O98">
        <v>0</v>
      </c>
      <c r="P98">
        <v>5</v>
      </c>
      <c r="Q98">
        <v>0</v>
      </c>
      <c r="R98">
        <v>0</v>
      </c>
      <c r="S98">
        <v>15</v>
      </c>
      <c r="T98">
        <v>67</v>
      </c>
      <c r="U98">
        <v>27</v>
      </c>
      <c r="V98">
        <v>2</v>
      </c>
      <c r="W98">
        <v>9</v>
      </c>
      <c r="X98">
        <v>4</v>
      </c>
      <c r="Y98">
        <v>0</v>
      </c>
      <c r="Z98">
        <v>1</v>
      </c>
      <c r="AA98">
        <v>9</v>
      </c>
      <c r="AB98">
        <v>7</v>
      </c>
      <c r="AC98">
        <v>7</v>
      </c>
      <c r="AD98">
        <v>1</v>
      </c>
      <c r="AE98">
        <v>23</v>
      </c>
      <c r="AF98">
        <v>2</v>
      </c>
      <c r="AG98">
        <v>23</v>
      </c>
      <c r="AH98">
        <v>35</v>
      </c>
      <c r="AI98">
        <v>0</v>
      </c>
      <c r="AJ98">
        <v>55</v>
      </c>
      <c r="AK98">
        <v>0</v>
      </c>
      <c r="AL98">
        <v>0</v>
      </c>
      <c r="AM98">
        <v>13</v>
      </c>
      <c r="AN98">
        <v>45</v>
      </c>
      <c r="AO98">
        <v>89</v>
      </c>
      <c r="AQ98" t="str">
        <f t="shared" si="1"/>
        <v>Forward</v>
      </c>
    </row>
    <row r="99" spans="1:43" x14ac:dyDescent="0.35">
      <c r="A99" t="s">
        <v>141</v>
      </c>
      <c r="B99" t="s">
        <v>47</v>
      </c>
      <c r="C99" t="s">
        <v>966</v>
      </c>
      <c r="D99">
        <v>1989</v>
      </c>
      <c r="E99">
        <v>26</v>
      </c>
      <c r="F99" t="s">
        <v>50</v>
      </c>
      <c r="G99" t="s">
        <v>69</v>
      </c>
      <c r="H99">
        <v>16200000</v>
      </c>
      <c r="I99">
        <v>16200000</v>
      </c>
      <c r="J99" t="s">
        <v>42</v>
      </c>
      <c r="K99">
        <v>25</v>
      </c>
      <c r="L99">
        <v>1440</v>
      </c>
      <c r="M99">
        <v>6</v>
      </c>
      <c r="N99">
        <v>431</v>
      </c>
      <c r="O99">
        <v>3</v>
      </c>
      <c r="P99">
        <v>1</v>
      </c>
      <c r="Q99">
        <v>0</v>
      </c>
      <c r="R99">
        <v>9</v>
      </c>
      <c r="S99">
        <v>11</v>
      </c>
      <c r="T99">
        <v>34</v>
      </c>
      <c r="U99">
        <v>13</v>
      </c>
      <c r="V99">
        <v>2</v>
      </c>
      <c r="W99">
        <v>6</v>
      </c>
      <c r="X99">
        <v>2</v>
      </c>
      <c r="Y99">
        <v>0</v>
      </c>
      <c r="Z99">
        <v>0</v>
      </c>
      <c r="AA99">
        <v>5</v>
      </c>
      <c r="AB99">
        <v>0</v>
      </c>
      <c r="AC99">
        <v>5</v>
      </c>
      <c r="AD99">
        <v>0</v>
      </c>
      <c r="AE99">
        <v>7</v>
      </c>
      <c r="AF99">
        <v>0</v>
      </c>
      <c r="AG99">
        <v>10</v>
      </c>
      <c r="AH99">
        <v>14</v>
      </c>
      <c r="AI99">
        <v>0</v>
      </c>
      <c r="AJ99">
        <v>17</v>
      </c>
      <c r="AK99">
        <v>0</v>
      </c>
      <c r="AL99">
        <v>0</v>
      </c>
      <c r="AM99">
        <v>10</v>
      </c>
      <c r="AN99">
        <v>21</v>
      </c>
      <c r="AO99">
        <v>56</v>
      </c>
      <c r="AQ99" t="str">
        <f t="shared" si="1"/>
        <v>Forward</v>
      </c>
    </row>
    <row r="100" spans="1:43" x14ac:dyDescent="0.35">
      <c r="A100" t="s">
        <v>141</v>
      </c>
      <c r="B100" t="s">
        <v>43</v>
      </c>
      <c r="C100" t="s">
        <v>967</v>
      </c>
      <c r="D100">
        <v>1989</v>
      </c>
      <c r="E100">
        <v>28</v>
      </c>
      <c r="F100" t="s">
        <v>40</v>
      </c>
      <c r="G100" t="s">
        <v>69</v>
      </c>
      <c r="H100">
        <v>16200000</v>
      </c>
      <c r="I100">
        <v>13500000</v>
      </c>
      <c r="J100" t="s">
        <v>42</v>
      </c>
      <c r="K100">
        <v>30</v>
      </c>
      <c r="L100">
        <v>1843</v>
      </c>
      <c r="M100">
        <v>3</v>
      </c>
      <c r="N100">
        <v>582</v>
      </c>
      <c r="O100">
        <v>4</v>
      </c>
      <c r="P100">
        <v>5</v>
      </c>
      <c r="Q100">
        <v>0</v>
      </c>
      <c r="R100">
        <v>11</v>
      </c>
      <c r="S100">
        <v>8</v>
      </c>
      <c r="T100">
        <v>26</v>
      </c>
      <c r="U100">
        <v>12</v>
      </c>
      <c r="V100">
        <v>1</v>
      </c>
      <c r="W100">
        <v>8</v>
      </c>
      <c r="X100">
        <v>0</v>
      </c>
      <c r="Y100">
        <v>0</v>
      </c>
      <c r="Z100">
        <v>0</v>
      </c>
      <c r="AA100">
        <v>6</v>
      </c>
      <c r="AB100">
        <v>5</v>
      </c>
      <c r="AC100">
        <v>14</v>
      </c>
      <c r="AD100">
        <v>0</v>
      </c>
      <c r="AE100">
        <v>16</v>
      </c>
      <c r="AF100">
        <v>1</v>
      </c>
      <c r="AG100">
        <v>9</v>
      </c>
      <c r="AH100">
        <v>24</v>
      </c>
      <c r="AI100">
        <v>0</v>
      </c>
      <c r="AJ100">
        <v>34</v>
      </c>
      <c r="AK100">
        <v>0</v>
      </c>
      <c r="AL100">
        <v>0</v>
      </c>
      <c r="AM100">
        <v>11</v>
      </c>
      <c r="AN100">
        <v>46</v>
      </c>
      <c r="AO100">
        <v>99</v>
      </c>
      <c r="AQ100" t="str">
        <f t="shared" si="1"/>
        <v>Forward</v>
      </c>
    </row>
    <row r="101" spans="1:43" x14ac:dyDescent="0.35">
      <c r="A101" t="s">
        <v>142</v>
      </c>
      <c r="B101" t="s">
        <v>43</v>
      </c>
      <c r="C101" t="s">
        <v>968</v>
      </c>
      <c r="D101">
        <v>1991</v>
      </c>
      <c r="E101">
        <v>26</v>
      </c>
      <c r="F101" t="s">
        <v>66</v>
      </c>
      <c r="G101" t="s">
        <v>143</v>
      </c>
      <c r="H101">
        <v>5400000</v>
      </c>
      <c r="I101">
        <v>5400000</v>
      </c>
      <c r="J101" t="s">
        <v>55</v>
      </c>
      <c r="K101">
        <v>28</v>
      </c>
      <c r="L101">
        <v>1536</v>
      </c>
      <c r="M101">
        <v>1</v>
      </c>
      <c r="N101">
        <v>709</v>
      </c>
      <c r="O101">
        <v>2</v>
      </c>
      <c r="P101">
        <v>2</v>
      </c>
      <c r="Q101">
        <v>0</v>
      </c>
      <c r="R101">
        <v>12</v>
      </c>
      <c r="S101">
        <v>8</v>
      </c>
      <c r="T101">
        <v>24</v>
      </c>
      <c r="U101">
        <v>3</v>
      </c>
      <c r="V101">
        <v>0</v>
      </c>
      <c r="W101">
        <v>5</v>
      </c>
      <c r="X101">
        <v>1</v>
      </c>
      <c r="Y101">
        <v>0</v>
      </c>
      <c r="Z101">
        <v>0</v>
      </c>
      <c r="AA101">
        <v>4</v>
      </c>
      <c r="AB101">
        <v>2</v>
      </c>
      <c r="AC101">
        <v>21</v>
      </c>
      <c r="AD101">
        <v>4</v>
      </c>
      <c r="AE101">
        <v>54</v>
      </c>
      <c r="AF101">
        <v>0</v>
      </c>
      <c r="AG101">
        <v>15</v>
      </c>
      <c r="AH101">
        <v>13</v>
      </c>
      <c r="AI101">
        <v>0</v>
      </c>
      <c r="AJ101">
        <v>31</v>
      </c>
      <c r="AK101">
        <v>0</v>
      </c>
      <c r="AL101">
        <v>0</v>
      </c>
      <c r="AM101">
        <v>11</v>
      </c>
      <c r="AN101">
        <v>13</v>
      </c>
      <c r="AO101">
        <v>41</v>
      </c>
      <c r="AQ101" t="str">
        <f t="shared" si="1"/>
        <v>Midfielder</v>
      </c>
    </row>
    <row r="102" spans="1:43" x14ac:dyDescent="0.35">
      <c r="A102" t="s">
        <v>144</v>
      </c>
      <c r="B102" t="s">
        <v>46</v>
      </c>
      <c r="C102" t="s">
        <v>969</v>
      </c>
      <c r="D102">
        <v>1993</v>
      </c>
      <c r="E102">
        <v>25</v>
      </c>
      <c r="F102" t="s">
        <v>54</v>
      </c>
      <c r="G102" t="s">
        <v>41</v>
      </c>
      <c r="H102">
        <v>13500000</v>
      </c>
      <c r="I102">
        <v>25200000</v>
      </c>
      <c r="J102" t="s">
        <v>55</v>
      </c>
      <c r="K102">
        <v>27</v>
      </c>
      <c r="L102">
        <v>1986</v>
      </c>
      <c r="M102">
        <v>0</v>
      </c>
      <c r="N102">
        <v>1200</v>
      </c>
      <c r="O102">
        <v>0</v>
      </c>
      <c r="P102">
        <v>0</v>
      </c>
      <c r="Q102">
        <v>0</v>
      </c>
      <c r="R102">
        <v>3</v>
      </c>
      <c r="S102">
        <v>9</v>
      </c>
      <c r="T102">
        <v>21</v>
      </c>
      <c r="U102">
        <v>5</v>
      </c>
      <c r="V102">
        <v>0</v>
      </c>
      <c r="W102">
        <v>11</v>
      </c>
      <c r="X102">
        <v>0</v>
      </c>
      <c r="Y102">
        <v>0</v>
      </c>
      <c r="Z102">
        <v>0</v>
      </c>
      <c r="AA102">
        <v>0</v>
      </c>
      <c r="AB102">
        <v>1</v>
      </c>
      <c r="AC102">
        <v>16</v>
      </c>
      <c r="AD102">
        <v>0</v>
      </c>
      <c r="AE102">
        <v>16</v>
      </c>
      <c r="AF102">
        <v>4</v>
      </c>
      <c r="AG102">
        <v>20</v>
      </c>
      <c r="AH102">
        <v>49</v>
      </c>
      <c r="AI102">
        <v>0</v>
      </c>
      <c r="AJ102">
        <v>39</v>
      </c>
      <c r="AK102">
        <v>0</v>
      </c>
      <c r="AL102">
        <v>0</v>
      </c>
      <c r="AM102">
        <v>18</v>
      </c>
      <c r="AN102">
        <v>38</v>
      </c>
      <c r="AO102">
        <v>32</v>
      </c>
      <c r="AQ102" t="str">
        <f t="shared" si="1"/>
        <v>Midfielder</v>
      </c>
    </row>
    <row r="103" spans="1:43" x14ac:dyDescent="0.35">
      <c r="A103" t="s">
        <v>145</v>
      </c>
      <c r="B103" t="s">
        <v>46</v>
      </c>
      <c r="C103" t="s">
        <v>970</v>
      </c>
      <c r="D103">
        <v>1990</v>
      </c>
      <c r="E103">
        <v>27</v>
      </c>
      <c r="F103" t="s">
        <v>74</v>
      </c>
      <c r="G103" t="s">
        <v>146</v>
      </c>
      <c r="H103">
        <v>13500000</v>
      </c>
      <c r="I103">
        <v>10800000</v>
      </c>
      <c r="J103" t="s">
        <v>55</v>
      </c>
      <c r="K103">
        <v>24</v>
      </c>
      <c r="L103">
        <v>1649</v>
      </c>
      <c r="M103">
        <v>6</v>
      </c>
      <c r="N103">
        <v>523</v>
      </c>
      <c r="O103">
        <v>0</v>
      </c>
      <c r="P103">
        <v>0</v>
      </c>
      <c r="Q103">
        <v>0</v>
      </c>
      <c r="R103">
        <v>3</v>
      </c>
      <c r="S103">
        <v>14</v>
      </c>
      <c r="T103">
        <v>55</v>
      </c>
      <c r="U103">
        <v>18</v>
      </c>
      <c r="V103">
        <v>1</v>
      </c>
      <c r="W103">
        <v>6</v>
      </c>
      <c r="X103">
        <v>0</v>
      </c>
      <c r="Y103">
        <v>0</v>
      </c>
      <c r="Z103">
        <v>0</v>
      </c>
      <c r="AA103">
        <v>11</v>
      </c>
      <c r="AB103">
        <v>2</v>
      </c>
      <c r="AC103">
        <v>37</v>
      </c>
      <c r="AD103">
        <v>2</v>
      </c>
      <c r="AE103">
        <v>41</v>
      </c>
      <c r="AF103">
        <v>1</v>
      </c>
      <c r="AG103">
        <v>8</v>
      </c>
      <c r="AH103">
        <v>17</v>
      </c>
      <c r="AI103">
        <v>0</v>
      </c>
      <c r="AJ103">
        <v>29</v>
      </c>
      <c r="AK103">
        <v>0</v>
      </c>
      <c r="AL103">
        <v>0</v>
      </c>
      <c r="AM103">
        <v>16</v>
      </c>
      <c r="AN103">
        <v>15</v>
      </c>
      <c r="AO103">
        <v>18</v>
      </c>
      <c r="AQ103" t="str">
        <f t="shared" si="1"/>
        <v>Midfielder</v>
      </c>
    </row>
    <row r="104" spans="1:43" x14ac:dyDescent="0.35">
      <c r="A104" t="s">
        <v>147</v>
      </c>
      <c r="B104" t="s">
        <v>47</v>
      </c>
      <c r="C104" t="s">
        <v>971</v>
      </c>
      <c r="D104">
        <v>1991</v>
      </c>
      <c r="E104">
        <v>25</v>
      </c>
      <c r="F104" t="s">
        <v>56</v>
      </c>
      <c r="G104" t="s">
        <v>51</v>
      </c>
      <c r="H104">
        <v>450000</v>
      </c>
      <c r="I104">
        <v>9000000</v>
      </c>
      <c r="J104" t="s">
        <v>42</v>
      </c>
      <c r="K104">
        <v>32</v>
      </c>
      <c r="L104">
        <v>2267</v>
      </c>
      <c r="M104">
        <v>9</v>
      </c>
      <c r="N104">
        <v>371</v>
      </c>
      <c r="O104">
        <v>3</v>
      </c>
      <c r="P104">
        <v>2</v>
      </c>
      <c r="Q104">
        <v>0</v>
      </c>
      <c r="R104">
        <v>6</v>
      </c>
      <c r="S104">
        <v>14</v>
      </c>
      <c r="T104">
        <v>47</v>
      </c>
      <c r="U104">
        <v>19</v>
      </c>
      <c r="V104">
        <v>0</v>
      </c>
      <c r="W104">
        <v>0</v>
      </c>
      <c r="X104">
        <v>0</v>
      </c>
      <c r="Y104">
        <v>2</v>
      </c>
      <c r="Z104">
        <v>1</v>
      </c>
      <c r="AA104">
        <v>35</v>
      </c>
      <c r="AB104">
        <v>0</v>
      </c>
      <c r="AC104">
        <v>6</v>
      </c>
      <c r="AD104">
        <v>0</v>
      </c>
      <c r="AE104">
        <v>26</v>
      </c>
      <c r="AF104">
        <v>1</v>
      </c>
      <c r="AG104">
        <v>4</v>
      </c>
      <c r="AH104">
        <v>17</v>
      </c>
      <c r="AI104">
        <v>0</v>
      </c>
      <c r="AJ104">
        <v>10</v>
      </c>
      <c r="AK104">
        <v>0</v>
      </c>
      <c r="AL104">
        <v>0</v>
      </c>
      <c r="AM104">
        <v>1</v>
      </c>
      <c r="AN104">
        <v>4</v>
      </c>
      <c r="AO104">
        <v>27</v>
      </c>
      <c r="AQ104" t="str">
        <f t="shared" si="1"/>
        <v>Forward</v>
      </c>
    </row>
    <row r="105" spans="1:43" x14ac:dyDescent="0.35">
      <c r="A105" t="s">
        <v>147</v>
      </c>
      <c r="B105" t="s">
        <v>43</v>
      </c>
      <c r="C105" t="s">
        <v>972</v>
      </c>
      <c r="D105">
        <v>1991</v>
      </c>
      <c r="E105">
        <v>26</v>
      </c>
      <c r="F105" t="s">
        <v>66</v>
      </c>
      <c r="G105" t="s">
        <v>51</v>
      </c>
      <c r="H105">
        <v>9000000</v>
      </c>
      <c r="I105">
        <v>13500000</v>
      </c>
      <c r="J105" t="s">
        <v>42</v>
      </c>
      <c r="K105">
        <v>31</v>
      </c>
      <c r="L105">
        <v>1496</v>
      </c>
      <c r="M105">
        <v>5</v>
      </c>
      <c r="N105">
        <v>299</v>
      </c>
      <c r="O105">
        <v>2</v>
      </c>
      <c r="P105">
        <v>1</v>
      </c>
      <c r="Q105">
        <v>0</v>
      </c>
      <c r="R105">
        <v>15</v>
      </c>
      <c r="S105">
        <v>12</v>
      </c>
      <c r="T105">
        <v>34</v>
      </c>
      <c r="U105">
        <v>13</v>
      </c>
      <c r="V105">
        <v>0</v>
      </c>
      <c r="W105">
        <v>2</v>
      </c>
      <c r="X105">
        <v>2</v>
      </c>
      <c r="Y105">
        <v>0</v>
      </c>
      <c r="Z105">
        <v>0</v>
      </c>
      <c r="AA105">
        <v>12</v>
      </c>
      <c r="AB105">
        <v>2</v>
      </c>
      <c r="AC105">
        <v>21</v>
      </c>
      <c r="AD105">
        <v>0</v>
      </c>
      <c r="AE105">
        <v>9</v>
      </c>
      <c r="AF105">
        <v>0</v>
      </c>
      <c r="AG105">
        <v>4</v>
      </c>
      <c r="AH105">
        <v>11</v>
      </c>
      <c r="AI105">
        <v>0</v>
      </c>
      <c r="AJ105">
        <v>2</v>
      </c>
      <c r="AK105">
        <v>0</v>
      </c>
      <c r="AL105">
        <v>0</v>
      </c>
      <c r="AM105">
        <v>3</v>
      </c>
      <c r="AN105">
        <v>17</v>
      </c>
      <c r="AO105">
        <v>53</v>
      </c>
      <c r="AQ105" t="str">
        <f t="shared" si="1"/>
        <v>Forward</v>
      </c>
    </row>
    <row r="106" spans="1:43" x14ac:dyDescent="0.35">
      <c r="A106" t="s">
        <v>147</v>
      </c>
      <c r="B106" t="s">
        <v>46</v>
      </c>
      <c r="C106" t="s">
        <v>973</v>
      </c>
      <c r="D106">
        <v>1991</v>
      </c>
      <c r="E106">
        <v>27</v>
      </c>
      <c r="F106" t="s">
        <v>66</v>
      </c>
      <c r="G106" t="s">
        <v>51</v>
      </c>
      <c r="H106">
        <v>13500000</v>
      </c>
      <c r="I106">
        <v>13500000</v>
      </c>
      <c r="J106" t="s">
        <v>42</v>
      </c>
      <c r="K106">
        <v>29</v>
      </c>
      <c r="L106">
        <v>1360</v>
      </c>
      <c r="M106">
        <v>7</v>
      </c>
      <c r="N106">
        <v>236</v>
      </c>
      <c r="O106">
        <v>2</v>
      </c>
      <c r="P106">
        <v>2</v>
      </c>
      <c r="Q106">
        <v>0</v>
      </c>
      <c r="R106">
        <v>16</v>
      </c>
      <c r="S106">
        <v>8</v>
      </c>
      <c r="T106">
        <v>35</v>
      </c>
      <c r="U106">
        <v>17</v>
      </c>
      <c r="V106">
        <v>0</v>
      </c>
      <c r="W106">
        <v>2</v>
      </c>
      <c r="X106">
        <v>0</v>
      </c>
      <c r="Y106">
        <v>0</v>
      </c>
      <c r="Z106">
        <v>0</v>
      </c>
      <c r="AA106">
        <v>15</v>
      </c>
      <c r="AB106">
        <v>0</v>
      </c>
      <c r="AC106">
        <v>18</v>
      </c>
      <c r="AD106">
        <v>0</v>
      </c>
      <c r="AE106">
        <v>8</v>
      </c>
      <c r="AF106">
        <v>1</v>
      </c>
      <c r="AG106">
        <v>2</v>
      </c>
      <c r="AH106">
        <v>12</v>
      </c>
      <c r="AI106">
        <v>0</v>
      </c>
      <c r="AJ106">
        <v>3</v>
      </c>
      <c r="AK106">
        <v>0</v>
      </c>
      <c r="AL106">
        <v>0</v>
      </c>
      <c r="AM106">
        <v>4</v>
      </c>
      <c r="AN106">
        <v>17</v>
      </c>
      <c r="AO106">
        <v>54</v>
      </c>
      <c r="AQ106" t="str">
        <f t="shared" si="1"/>
        <v>Forward</v>
      </c>
    </row>
    <row r="107" spans="1:43" x14ac:dyDescent="0.35">
      <c r="A107" t="s">
        <v>148</v>
      </c>
      <c r="B107" t="s">
        <v>39</v>
      </c>
      <c r="C107" t="s">
        <v>974</v>
      </c>
      <c r="D107">
        <v>1993</v>
      </c>
      <c r="E107">
        <v>22</v>
      </c>
      <c r="F107" t="s">
        <v>123</v>
      </c>
      <c r="G107" t="s">
        <v>51</v>
      </c>
      <c r="H107">
        <v>4500000</v>
      </c>
      <c r="I107">
        <v>2700000</v>
      </c>
      <c r="J107" t="s">
        <v>52</v>
      </c>
      <c r="K107">
        <v>10</v>
      </c>
      <c r="L107">
        <v>823</v>
      </c>
      <c r="M107">
        <v>0</v>
      </c>
      <c r="N107">
        <v>307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2</v>
      </c>
      <c r="U107">
        <v>0</v>
      </c>
      <c r="V107">
        <v>0</v>
      </c>
      <c r="W107">
        <v>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25</v>
      </c>
      <c r="AF107">
        <v>0</v>
      </c>
      <c r="AG107">
        <v>8</v>
      </c>
      <c r="AH107">
        <v>3</v>
      </c>
      <c r="AI107">
        <v>0</v>
      </c>
      <c r="AJ107">
        <v>19</v>
      </c>
      <c r="AK107">
        <v>0</v>
      </c>
      <c r="AL107">
        <v>0</v>
      </c>
      <c r="AM107">
        <v>23</v>
      </c>
      <c r="AN107">
        <v>10</v>
      </c>
      <c r="AO107">
        <v>10</v>
      </c>
      <c r="AQ107" t="str">
        <f t="shared" si="1"/>
        <v>Defensive Forward</v>
      </c>
    </row>
    <row r="108" spans="1:43" x14ac:dyDescent="0.35">
      <c r="A108" t="s">
        <v>149</v>
      </c>
      <c r="B108" t="s">
        <v>46</v>
      </c>
      <c r="C108" t="s">
        <v>975</v>
      </c>
      <c r="D108">
        <v>1995</v>
      </c>
      <c r="E108">
        <v>22</v>
      </c>
      <c r="F108" t="s">
        <v>74</v>
      </c>
      <c r="G108" t="s">
        <v>126</v>
      </c>
      <c r="H108">
        <v>27500000</v>
      </c>
      <c r="I108">
        <v>27500000</v>
      </c>
      <c r="J108" t="s">
        <v>55</v>
      </c>
      <c r="K108">
        <v>22</v>
      </c>
      <c r="L108">
        <v>1519</v>
      </c>
      <c r="M108">
        <v>0</v>
      </c>
      <c r="N108">
        <v>1043</v>
      </c>
      <c r="O108">
        <v>0</v>
      </c>
      <c r="P108">
        <v>0</v>
      </c>
      <c r="Q108">
        <v>0</v>
      </c>
      <c r="R108">
        <v>6</v>
      </c>
      <c r="S108">
        <v>6</v>
      </c>
      <c r="T108">
        <v>21</v>
      </c>
      <c r="U108">
        <v>5</v>
      </c>
      <c r="V108">
        <v>0</v>
      </c>
      <c r="W108">
        <v>14</v>
      </c>
      <c r="X108">
        <v>0</v>
      </c>
      <c r="Y108">
        <v>0</v>
      </c>
      <c r="Z108">
        <v>0</v>
      </c>
      <c r="AA108">
        <v>2</v>
      </c>
      <c r="AB108">
        <v>0</v>
      </c>
      <c r="AC108">
        <v>16</v>
      </c>
      <c r="AD108">
        <v>0</v>
      </c>
      <c r="AE108">
        <v>2</v>
      </c>
      <c r="AF108">
        <v>6</v>
      </c>
      <c r="AG108">
        <v>34</v>
      </c>
      <c r="AH108">
        <v>23</v>
      </c>
      <c r="AI108">
        <v>0</v>
      </c>
      <c r="AJ108">
        <v>48</v>
      </c>
      <c r="AK108">
        <v>0</v>
      </c>
      <c r="AL108">
        <v>0</v>
      </c>
      <c r="AM108">
        <v>29</v>
      </c>
      <c r="AN108">
        <v>22</v>
      </c>
      <c r="AO108">
        <v>31</v>
      </c>
      <c r="AQ108" t="str">
        <f t="shared" si="1"/>
        <v>Midfielder</v>
      </c>
    </row>
    <row r="109" spans="1:43" x14ac:dyDescent="0.35">
      <c r="A109" t="s">
        <v>150</v>
      </c>
      <c r="B109" t="s">
        <v>47</v>
      </c>
      <c r="C109" t="s">
        <v>976</v>
      </c>
      <c r="D109">
        <v>1988</v>
      </c>
      <c r="E109">
        <v>28</v>
      </c>
      <c r="F109" t="s">
        <v>71</v>
      </c>
      <c r="G109" t="s">
        <v>82</v>
      </c>
      <c r="H109">
        <v>6600000</v>
      </c>
      <c r="I109">
        <v>5500000</v>
      </c>
      <c r="J109" t="s">
        <v>52</v>
      </c>
      <c r="K109">
        <v>16</v>
      </c>
      <c r="L109">
        <v>1329</v>
      </c>
      <c r="M109">
        <v>2</v>
      </c>
      <c r="N109">
        <v>550</v>
      </c>
      <c r="O109">
        <v>2</v>
      </c>
      <c r="P109">
        <v>2</v>
      </c>
      <c r="Q109">
        <v>0</v>
      </c>
      <c r="R109">
        <v>0</v>
      </c>
      <c r="S109">
        <v>1</v>
      </c>
      <c r="T109">
        <v>8</v>
      </c>
      <c r="U109">
        <v>5</v>
      </c>
      <c r="V109">
        <v>0</v>
      </c>
      <c r="W109">
        <v>70</v>
      </c>
      <c r="X109">
        <v>1</v>
      </c>
      <c r="Y109">
        <v>0</v>
      </c>
      <c r="Z109">
        <v>0</v>
      </c>
      <c r="AA109">
        <v>0</v>
      </c>
      <c r="AB109">
        <v>0</v>
      </c>
      <c r="AC109">
        <v>1</v>
      </c>
      <c r="AD109">
        <v>0</v>
      </c>
      <c r="AE109">
        <v>2</v>
      </c>
      <c r="AF109">
        <v>12</v>
      </c>
      <c r="AG109">
        <v>22</v>
      </c>
      <c r="AH109">
        <v>13</v>
      </c>
      <c r="AI109">
        <v>0</v>
      </c>
      <c r="AJ109">
        <v>28</v>
      </c>
      <c r="AK109">
        <v>1</v>
      </c>
      <c r="AL109">
        <v>0</v>
      </c>
      <c r="AM109">
        <v>114</v>
      </c>
      <c r="AN109">
        <v>43</v>
      </c>
      <c r="AO109">
        <v>35</v>
      </c>
      <c r="AQ109" t="str">
        <f t="shared" si="1"/>
        <v>Defensive Forward</v>
      </c>
    </row>
    <row r="110" spans="1:43" x14ac:dyDescent="0.35">
      <c r="A110" t="s">
        <v>151</v>
      </c>
      <c r="B110" t="s">
        <v>43</v>
      </c>
      <c r="C110" t="s">
        <v>977</v>
      </c>
      <c r="D110">
        <v>1996</v>
      </c>
      <c r="E110">
        <v>21</v>
      </c>
      <c r="F110" t="s">
        <v>44</v>
      </c>
      <c r="G110" t="s">
        <v>152</v>
      </c>
      <c r="H110">
        <v>19800000</v>
      </c>
      <c r="I110">
        <v>44000000</v>
      </c>
      <c r="J110" t="s">
        <v>52</v>
      </c>
      <c r="K110">
        <v>27</v>
      </c>
      <c r="L110">
        <v>2070</v>
      </c>
      <c r="M110">
        <v>0</v>
      </c>
      <c r="N110">
        <v>1349</v>
      </c>
      <c r="O110">
        <v>0</v>
      </c>
      <c r="P110">
        <v>0</v>
      </c>
      <c r="Q110">
        <v>0</v>
      </c>
      <c r="R110">
        <v>4</v>
      </c>
      <c r="S110">
        <v>6</v>
      </c>
      <c r="T110">
        <v>12</v>
      </c>
      <c r="U110">
        <v>1</v>
      </c>
      <c r="V110">
        <v>2</v>
      </c>
      <c r="W110">
        <v>60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11</v>
      </c>
      <c r="AD110">
        <v>0</v>
      </c>
      <c r="AE110">
        <v>0</v>
      </c>
      <c r="AF110">
        <v>17</v>
      </c>
      <c r="AG110">
        <v>38</v>
      </c>
      <c r="AH110">
        <v>8</v>
      </c>
      <c r="AI110">
        <v>0</v>
      </c>
      <c r="AJ110">
        <v>26</v>
      </c>
      <c r="AK110">
        <v>1</v>
      </c>
      <c r="AL110">
        <v>0</v>
      </c>
      <c r="AM110">
        <v>104</v>
      </c>
      <c r="AN110">
        <v>56</v>
      </c>
      <c r="AO110">
        <v>29</v>
      </c>
      <c r="AQ110" t="str">
        <f t="shared" si="1"/>
        <v>Defensive Forward</v>
      </c>
    </row>
    <row r="111" spans="1:43" x14ac:dyDescent="0.35">
      <c r="A111" t="s">
        <v>153</v>
      </c>
      <c r="B111" t="s">
        <v>46</v>
      </c>
      <c r="C111" t="s">
        <v>978</v>
      </c>
      <c r="D111">
        <v>1996</v>
      </c>
      <c r="E111">
        <v>22</v>
      </c>
      <c r="F111" t="s">
        <v>129</v>
      </c>
      <c r="G111" t="s">
        <v>154</v>
      </c>
      <c r="H111">
        <v>6600000</v>
      </c>
      <c r="I111">
        <v>11000000</v>
      </c>
      <c r="J111" t="s">
        <v>55</v>
      </c>
      <c r="K111">
        <v>15</v>
      </c>
      <c r="L111">
        <v>594</v>
      </c>
      <c r="M111">
        <v>1</v>
      </c>
      <c r="N111">
        <v>353</v>
      </c>
      <c r="O111">
        <v>1</v>
      </c>
      <c r="P111">
        <v>5</v>
      </c>
      <c r="Q111">
        <v>0</v>
      </c>
      <c r="R111">
        <v>9</v>
      </c>
      <c r="S111">
        <v>5</v>
      </c>
      <c r="T111">
        <v>8</v>
      </c>
      <c r="U111">
        <v>2</v>
      </c>
      <c r="V111">
        <v>0</v>
      </c>
      <c r="W111">
        <v>3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6</v>
      </c>
      <c r="AD111">
        <v>6</v>
      </c>
      <c r="AE111">
        <v>12</v>
      </c>
      <c r="AF111">
        <v>2</v>
      </c>
      <c r="AG111">
        <v>11</v>
      </c>
      <c r="AH111">
        <v>12</v>
      </c>
      <c r="AI111">
        <v>0</v>
      </c>
      <c r="AJ111">
        <v>8</v>
      </c>
      <c r="AK111">
        <v>1</v>
      </c>
      <c r="AL111">
        <v>0</v>
      </c>
      <c r="AM111">
        <v>7</v>
      </c>
      <c r="AN111">
        <v>3</v>
      </c>
      <c r="AO111">
        <v>13</v>
      </c>
      <c r="AQ111" t="str">
        <f t="shared" si="1"/>
        <v>Midfielder</v>
      </c>
    </row>
    <row r="112" spans="1:43" x14ac:dyDescent="0.35">
      <c r="A112" t="s">
        <v>155</v>
      </c>
      <c r="B112" t="s">
        <v>43</v>
      </c>
      <c r="C112" t="s">
        <v>979</v>
      </c>
      <c r="D112">
        <v>1994</v>
      </c>
      <c r="E112">
        <v>23</v>
      </c>
      <c r="F112" t="s">
        <v>80</v>
      </c>
      <c r="G112" t="s">
        <v>108</v>
      </c>
      <c r="H112">
        <v>6300000</v>
      </c>
      <c r="I112">
        <v>22500000</v>
      </c>
      <c r="J112" t="s">
        <v>52</v>
      </c>
      <c r="K112">
        <v>22</v>
      </c>
      <c r="L112">
        <v>1943</v>
      </c>
      <c r="M112">
        <v>1</v>
      </c>
      <c r="N112">
        <v>1421</v>
      </c>
      <c r="O112">
        <v>5</v>
      </c>
      <c r="P112">
        <v>2</v>
      </c>
      <c r="Q112">
        <v>0</v>
      </c>
      <c r="R112">
        <v>0</v>
      </c>
      <c r="S112">
        <v>3</v>
      </c>
      <c r="T112">
        <v>12</v>
      </c>
      <c r="U112">
        <v>2</v>
      </c>
      <c r="V112">
        <v>0</v>
      </c>
      <c r="W112">
        <v>16</v>
      </c>
      <c r="X112">
        <v>0</v>
      </c>
      <c r="Y112">
        <v>0</v>
      </c>
      <c r="Z112">
        <v>0</v>
      </c>
      <c r="AA112">
        <v>5</v>
      </c>
      <c r="AB112">
        <v>3</v>
      </c>
      <c r="AC112">
        <v>10</v>
      </c>
      <c r="AD112">
        <v>0</v>
      </c>
      <c r="AE112">
        <v>88</v>
      </c>
      <c r="AF112">
        <v>2</v>
      </c>
      <c r="AG112">
        <v>26</v>
      </c>
      <c r="AH112">
        <v>15</v>
      </c>
      <c r="AI112">
        <v>1</v>
      </c>
      <c r="AJ112">
        <v>31</v>
      </c>
      <c r="AK112">
        <v>0</v>
      </c>
      <c r="AL112">
        <v>0</v>
      </c>
      <c r="AM112">
        <v>49</v>
      </c>
      <c r="AN112">
        <v>15</v>
      </c>
      <c r="AO112">
        <v>10</v>
      </c>
      <c r="AQ112" t="str">
        <f t="shared" si="1"/>
        <v>Defensive Forward</v>
      </c>
    </row>
    <row r="113" spans="1:43" x14ac:dyDescent="0.35">
      <c r="A113" t="s">
        <v>155</v>
      </c>
      <c r="B113" t="s">
        <v>46</v>
      </c>
      <c r="C113" t="s">
        <v>980</v>
      </c>
      <c r="D113">
        <v>1994</v>
      </c>
      <c r="E113">
        <v>24</v>
      </c>
      <c r="F113" t="s">
        <v>80</v>
      </c>
      <c r="G113" t="s">
        <v>108</v>
      </c>
      <c r="H113">
        <v>22500000</v>
      </c>
      <c r="I113">
        <v>54000000</v>
      </c>
      <c r="J113" t="s">
        <v>52</v>
      </c>
      <c r="K113">
        <v>36</v>
      </c>
      <c r="L113">
        <v>3219</v>
      </c>
      <c r="M113">
        <v>0</v>
      </c>
      <c r="N113">
        <v>2396</v>
      </c>
      <c r="O113">
        <v>11</v>
      </c>
      <c r="P113">
        <v>4</v>
      </c>
      <c r="Q113">
        <v>0</v>
      </c>
      <c r="R113">
        <v>0</v>
      </c>
      <c r="S113">
        <v>3</v>
      </c>
      <c r="T113">
        <v>16</v>
      </c>
      <c r="U113">
        <v>5</v>
      </c>
      <c r="V113">
        <v>1</v>
      </c>
      <c r="W113">
        <v>23</v>
      </c>
      <c r="X113">
        <v>0</v>
      </c>
      <c r="Y113">
        <v>0</v>
      </c>
      <c r="Z113">
        <v>0</v>
      </c>
      <c r="AA113">
        <v>1</v>
      </c>
      <c r="AB113">
        <v>2</v>
      </c>
      <c r="AC113">
        <v>11</v>
      </c>
      <c r="AD113">
        <v>4</v>
      </c>
      <c r="AE113">
        <v>135</v>
      </c>
      <c r="AF113">
        <v>6</v>
      </c>
      <c r="AG113">
        <v>30</v>
      </c>
      <c r="AH113">
        <v>18</v>
      </c>
      <c r="AI113">
        <v>0</v>
      </c>
      <c r="AJ113">
        <v>80</v>
      </c>
      <c r="AK113">
        <v>0</v>
      </c>
      <c r="AL113">
        <v>0</v>
      </c>
      <c r="AM113">
        <v>47</v>
      </c>
      <c r="AN113">
        <v>24</v>
      </c>
      <c r="AO113">
        <v>29</v>
      </c>
      <c r="AQ113" t="str">
        <f t="shared" si="1"/>
        <v>Defensive Forward</v>
      </c>
    </row>
    <row r="114" spans="1:43" x14ac:dyDescent="0.35">
      <c r="A114" t="s">
        <v>155</v>
      </c>
      <c r="B114" t="s">
        <v>47</v>
      </c>
      <c r="C114" t="s">
        <v>981</v>
      </c>
      <c r="D114">
        <v>1994</v>
      </c>
      <c r="E114">
        <v>22</v>
      </c>
      <c r="F114" t="s">
        <v>71</v>
      </c>
      <c r="G114" t="s">
        <v>108</v>
      </c>
      <c r="H114">
        <v>6300000</v>
      </c>
      <c r="I114">
        <v>6300000</v>
      </c>
      <c r="J114" t="s">
        <v>52</v>
      </c>
      <c r="K114">
        <v>33</v>
      </c>
      <c r="L114">
        <v>2736</v>
      </c>
      <c r="M114">
        <v>1</v>
      </c>
      <c r="N114">
        <v>1229</v>
      </c>
      <c r="O114">
        <v>2</v>
      </c>
      <c r="P114">
        <v>5</v>
      </c>
      <c r="Q114">
        <v>0</v>
      </c>
      <c r="R114">
        <v>2</v>
      </c>
      <c r="S114">
        <v>2</v>
      </c>
      <c r="T114">
        <v>7</v>
      </c>
      <c r="U114">
        <v>1</v>
      </c>
      <c r="V114">
        <v>1</v>
      </c>
      <c r="W114">
        <v>28</v>
      </c>
      <c r="X114">
        <v>0</v>
      </c>
      <c r="Y114">
        <v>0</v>
      </c>
      <c r="Z114">
        <v>0</v>
      </c>
      <c r="AA114">
        <v>1</v>
      </c>
      <c r="AB114">
        <v>0</v>
      </c>
      <c r="AC114">
        <v>0</v>
      </c>
      <c r="AD114">
        <v>9</v>
      </c>
      <c r="AE114">
        <v>119</v>
      </c>
      <c r="AF114">
        <v>15</v>
      </c>
      <c r="AG114">
        <v>55</v>
      </c>
      <c r="AH114">
        <v>18</v>
      </c>
      <c r="AI114">
        <v>3</v>
      </c>
      <c r="AJ114">
        <v>53</v>
      </c>
      <c r="AK114">
        <v>0</v>
      </c>
      <c r="AL114">
        <v>0</v>
      </c>
      <c r="AM114">
        <v>75</v>
      </c>
      <c r="AN114">
        <v>9</v>
      </c>
      <c r="AO114">
        <v>13</v>
      </c>
      <c r="AQ114" t="str">
        <f t="shared" si="1"/>
        <v>Defensive Forward</v>
      </c>
    </row>
    <row r="115" spans="1:43" x14ac:dyDescent="0.35">
      <c r="A115" t="s">
        <v>156</v>
      </c>
      <c r="B115" t="s">
        <v>39</v>
      </c>
      <c r="C115" t="s">
        <v>982</v>
      </c>
      <c r="D115">
        <v>1986</v>
      </c>
      <c r="E115">
        <v>28</v>
      </c>
      <c r="F115" t="s">
        <v>84</v>
      </c>
      <c r="G115" t="s">
        <v>51</v>
      </c>
      <c r="H115">
        <v>1100000</v>
      </c>
      <c r="I115">
        <v>2200000</v>
      </c>
      <c r="J115" t="s">
        <v>55</v>
      </c>
      <c r="K115">
        <v>38</v>
      </c>
      <c r="L115">
        <v>3420</v>
      </c>
      <c r="M115">
        <v>0</v>
      </c>
      <c r="N115">
        <v>2287</v>
      </c>
      <c r="O115">
        <v>3</v>
      </c>
      <c r="P115">
        <v>4</v>
      </c>
      <c r="Q115">
        <v>0</v>
      </c>
      <c r="R115">
        <v>0</v>
      </c>
      <c r="S115">
        <v>0</v>
      </c>
      <c r="T115">
        <v>17</v>
      </c>
      <c r="U115">
        <v>0</v>
      </c>
      <c r="V115">
        <v>0</v>
      </c>
      <c r="W115">
        <v>36</v>
      </c>
      <c r="X115">
        <v>0</v>
      </c>
      <c r="Y115">
        <v>0</v>
      </c>
      <c r="Z115">
        <v>0</v>
      </c>
      <c r="AA115">
        <v>0</v>
      </c>
      <c r="AB115">
        <v>5</v>
      </c>
      <c r="AC115">
        <v>0</v>
      </c>
      <c r="AD115">
        <v>4</v>
      </c>
      <c r="AE115">
        <v>9</v>
      </c>
      <c r="AF115">
        <v>11</v>
      </c>
      <c r="AG115">
        <v>109</v>
      </c>
      <c r="AH115">
        <v>26</v>
      </c>
      <c r="AI115">
        <v>0</v>
      </c>
      <c r="AJ115">
        <v>51</v>
      </c>
      <c r="AK115">
        <v>0</v>
      </c>
      <c r="AL115">
        <v>0</v>
      </c>
      <c r="AM115">
        <v>63</v>
      </c>
      <c r="AN115">
        <v>48</v>
      </c>
      <c r="AO115">
        <v>57</v>
      </c>
      <c r="AQ115" t="str">
        <f t="shared" si="1"/>
        <v>Midfielder</v>
      </c>
    </row>
    <row r="116" spans="1:43" x14ac:dyDescent="0.35">
      <c r="A116" t="s">
        <v>156</v>
      </c>
      <c r="B116" t="s">
        <v>47</v>
      </c>
      <c r="C116" t="s">
        <v>983</v>
      </c>
      <c r="D116">
        <v>1986</v>
      </c>
      <c r="E116">
        <v>29</v>
      </c>
      <c r="F116" t="s">
        <v>84</v>
      </c>
      <c r="G116" t="s">
        <v>51</v>
      </c>
      <c r="H116">
        <v>2200000</v>
      </c>
      <c r="I116">
        <v>2200000</v>
      </c>
      <c r="J116" t="s">
        <v>55</v>
      </c>
      <c r="K116">
        <v>22</v>
      </c>
      <c r="L116">
        <v>1792</v>
      </c>
      <c r="M116">
        <v>0</v>
      </c>
      <c r="N116">
        <v>1318</v>
      </c>
      <c r="O116">
        <v>1</v>
      </c>
      <c r="P116">
        <v>1</v>
      </c>
      <c r="Q116">
        <v>0</v>
      </c>
      <c r="R116">
        <v>0</v>
      </c>
      <c r="S116">
        <v>3</v>
      </c>
      <c r="T116">
        <v>8</v>
      </c>
      <c r="U116">
        <v>2</v>
      </c>
      <c r="V116">
        <v>0</v>
      </c>
      <c r="W116">
        <v>23</v>
      </c>
      <c r="X116">
        <v>0</v>
      </c>
      <c r="Y116">
        <v>0</v>
      </c>
      <c r="Z116">
        <v>0</v>
      </c>
      <c r="AA116">
        <v>0</v>
      </c>
      <c r="AB116">
        <v>5</v>
      </c>
      <c r="AC116">
        <v>0</v>
      </c>
      <c r="AD116">
        <v>5</v>
      </c>
      <c r="AE116">
        <v>6</v>
      </c>
      <c r="AF116">
        <v>4</v>
      </c>
      <c r="AG116">
        <v>43</v>
      </c>
      <c r="AH116">
        <v>17</v>
      </c>
      <c r="AI116">
        <v>0</v>
      </c>
      <c r="AJ116">
        <v>15</v>
      </c>
      <c r="AK116">
        <v>0</v>
      </c>
      <c r="AL116">
        <v>0</v>
      </c>
      <c r="AM116">
        <v>38</v>
      </c>
      <c r="AN116">
        <v>17</v>
      </c>
      <c r="AO116">
        <v>29</v>
      </c>
      <c r="AQ116" t="str">
        <f t="shared" si="1"/>
        <v>Midfielder</v>
      </c>
    </row>
    <row r="117" spans="1:43" x14ac:dyDescent="0.35">
      <c r="A117" t="s">
        <v>156</v>
      </c>
      <c r="B117" t="s">
        <v>46</v>
      </c>
      <c r="C117" t="s">
        <v>984</v>
      </c>
      <c r="D117">
        <v>1986</v>
      </c>
      <c r="E117">
        <v>31</v>
      </c>
      <c r="F117" t="s">
        <v>84</v>
      </c>
      <c r="G117" t="s">
        <v>51</v>
      </c>
      <c r="H117">
        <v>2750000</v>
      </c>
      <c r="I117">
        <v>2750000</v>
      </c>
      <c r="J117" t="s">
        <v>55</v>
      </c>
      <c r="K117">
        <v>18</v>
      </c>
      <c r="L117">
        <v>1439</v>
      </c>
      <c r="M117">
        <v>0</v>
      </c>
      <c r="N117">
        <v>838</v>
      </c>
      <c r="O117">
        <v>0</v>
      </c>
      <c r="P117">
        <v>2</v>
      </c>
      <c r="Q117">
        <v>0</v>
      </c>
      <c r="R117">
        <v>2</v>
      </c>
      <c r="S117">
        <v>1</v>
      </c>
      <c r="T117">
        <v>9</v>
      </c>
      <c r="U117">
        <v>0</v>
      </c>
      <c r="V117">
        <v>0</v>
      </c>
      <c r="W117">
        <v>22</v>
      </c>
      <c r="X117">
        <v>0</v>
      </c>
      <c r="Y117">
        <v>0</v>
      </c>
      <c r="Z117">
        <v>0</v>
      </c>
      <c r="AA117">
        <v>0</v>
      </c>
      <c r="AB117">
        <v>2</v>
      </c>
      <c r="AC117">
        <v>9</v>
      </c>
      <c r="AD117">
        <v>0</v>
      </c>
      <c r="AE117">
        <v>0</v>
      </c>
      <c r="AF117">
        <v>7</v>
      </c>
      <c r="AG117">
        <v>10</v>
      </c>
      <c r="AH117">
        <v>7</v>
      </c>
      <c r="AI117">
        <v>0</v>
      </c>
      <c r="AJ117">
        <v>11</v>
      </c>
      <c r="AK117">
        <v>0</v>
      </c>
      <c r="AL117">
        <v>0</v>
      </c>
      <c r="AM117">
        <v>32</v>
      </c>
      <c r="AN117">
        <v>19</v>
      </c>
      <c r="AO117">
        <v>14</v>
      </c>
      <c r="AQ117" t="str">
        <f t="shared" si="1"/>
        <v>Midfielder</v>
      </c>
    </row>
    <row r="118" spans="1:43" x14ac:dyDescent="0.35">
      <c r="A118" t="s">
        <v>156</v>
      </c>
      <c r="B118" t="s">
        <v>43</v>
      </c>
      <c r="C118" t="s">
        <v>985</v>
      </c>
      <c r="D118">
        <v>1986</v>
      </c>
      <c r="E118">
        <v>31</v>
      </c>
      <c r="F118" t="s">
        <v>84</v>
      </c>
      <c r="G118" t="s">
        <v>51</v>
      </c>
      <c r="H118">
        <v>2200000</v>
      </c>
      <c r="I118">
        <v>2750000</v>
      </c>
      <c r="J118" t="s">
        <v>55</v>
      </c>
      <c r="K118">
        <v>25</v>
      </c>
      <c r="L118">
        <v>1852</v>
      </c>
      <c r="M118">
        <v>2</v>
      </c>
      <c r="N118">
        <v>1177</v>
      </c>
      <c r="O118">
        <v>5</v>
      </c>
      <c r="P118">
        <v>2</v>
      </c>
      <c r="Q118">
        <v>0</v>
      </c>
      <c r="R118">
        <v>5</v>
      </c>
      <c r="S118">
        <v>1</v>
      </c>
      <c r="T118">
        <v>18</v>
      </c>
      <c r="U118">
        <v>6</v>
      </c>
      <c r="V118">
        <v>0</v>
      </c>
      <c r="W118">
        <v>27</v>
      </c>
      <c r="X118">
        <v>0</v>
      </c>
      <c r="Y118">
        <v>0</v>
      </c>
      <c r="Z118">
        <v>0</v>
      </c>
      <c r="AA118">
        <v>0</v>
      </c>
      <c r="AB118">
        <v>2</v>
      </c>
      <c r="AC118">
        <v>12</v>
      </c>
      <c r="AD118">
        <v>18</v>
      </c>
      <c r="AE118">
        <v>21</v>
      </c>
      <c r="AF118">
        <v>12</v>
      </c>
      <c r="AG118">
        <v>16</v>
      </c>
      <c r="AH118">
        <v>9</v>
      </c>
      <c r="AI118">
        <v>0</v>
      </c>
      <c r="AJ118">
        <v>16</v>
      </c>
      <c r="AK118">
        <v>0</v>
      </c>
      <c r="AL118">
        <v>0</v>
      </c>
      <c r="AM118">
        <v>49</v>
      </c>
      <c r="AN118">
        <v>0</v>
      </c>
      <c r="AO118">
        <v>45</v>
      </c>
      <c r="AQ118" t="str">
        <f t="shared" si="1"/>
        <v>Midfielder</v>
      </c>
    </row>
    <row r="119" spans="1:43" x14ac:dyDescent="0.35">
      <c r="A119" t="s">
        <v>157</v>
      </c>
      <c r="B119" t="s">
        <v>39</v>
      </c>
      <c r="C119" t="s">
        <v>986</v>
      </c>
      <c r="D119">
        <v>1991</v>
      </c>
      <c r="E119">
        <v>24</v>
      </c>
      <c r="F119" t="s">
        <v>117</v>
      </c>
      <c r="G119" t="s">
        <v>51</v>
      </c>
      <c r="H119">
        <v>8800000</v>
      </c>
      <c r="I119">
        <v>9900000</v>
      </c>
      <c r="J119" t="s">
        <v>42</v>
      </c>
      <c r="K119">
        <v>16</v>
      </c>
      <c r="L119">
        <v>1153</v>
      </c>
      <c r="M119">
        <v>4</v>
      </c>
      <c r="N119">
        <v>392</v>
      </c>
      <c r="O119">
        <v>2</v>
      </c>
      <c r="P119">
        <v>0</v>
      </c>
      <c r="Q119">
        <v>0</v>
      </c>
      <c r="R119">
        <v>4</v>
      </c>
      <c r="S119">
        <v>3</v>
      </c>
      <c r="T119">
        <v>29</v>
      </c>
      <c r="U119">
        <v>16</v>
      </c>
      <c r="V119">
        <v>2</v>
      </c>
      <c r="W119">
        <v>2</v>
      </c>
      <c r="X119">
        <v>0</v>
      </c>
      <c r="Y119">
        <v>0</v>
      </c>
      <c r="Z119">
        <v>1</v>
      </c>
      <c r="AA119">
        <v>0</v>
      </c>
      <c r="AB119">
        <v>0</v>
      </c>
      <c r="AC119">
        <v>0</v>
      </c>
      <c r="AD119">
        <v>29</v>
      </c>
      <c r="AE119">
        <v>87</v>
      </c>
      <c r="AF119">
        <v>0</v>
      </c>
      <c r="AG119">
        <v>11</v>
      </c>
      <c r="AH119">
        <v>7</v>
      </c>
      <c r="AI119">
        <v>0</v>
      </c>
      <c r="AJ119">
        <v>29</v>
      </c>
      <c r="AK119">
        <v>0</v>
      </c>
      <c r="AL119">
        <v>0</v>
      </c>
      <c r="AM119">
        <v>10</v>
      </c>
      <c r="AN119">
        <v>0</v>
      </c>
      <c r="AO119">
        <v>8</v>
      </c>
      <c r="AQ119" t="str">
        <f t="shared" si="1"/>
        <v>Forward</v>
      </c>
    </row>
    <row r="120" spans="1:43" x14ac:dyDescent="0.35">
      <c r="A120" t="s">
        <v>157</v>
      </c>
      <c r="B120" t="s">
        <v>47</v>
      </c>
      <c r="C120" t="s">
        <v>987</v>
      </c>
      <c r="D120">
        <v>1991</v>
      </c>
      <c r="E120">
        <v>25</v>
      </c>
      <c r="F120" t="s">
        <v>64</v>
      </c>
      <c r="G120" t="s">
        <v>51</v>
      </c>
      <c r="H120">
        <v>12100000</v>
      </c>
      <c r="I120">
        <v>13200000</v>
      </c>
      <c r="J120" t="s">
        <v>55</v>
      </c>
      <c r="K120">
        <v>36</v>
      </c>
      <c r="L120">
        <v>2526</v>
      </c>
      <c r="M120">
        <v>3</v>
      </c>
      <c r="N120">
        <v>685</v>
      </c>
      <c r="O120">
        <v>4</v>
      </c>
      <c r="P120">
        <v>4</v>
      </c>
      <c r="Q120">
        <v>0</v>
      </c>
      <c r="R120">
        <v>6</v>
      </c>
      <c r="S120">
        <v>15</v>
      </c>
      <c r="T120">
        <v>56</v>
      </c>
      <c r="U120">
        <v>13</v>
      </c>
      <c r="V120">
        <v>0</v>
      </c>
      <c r="W120">
        <v>6</v>
      </c>
      <c r="X120">
        <v>0</v>
      </c>
      <c r="Y120">
        <v>0</v>
      </c>
      <c r="Z120">
        <v>0</v>
      </c>
      <c r="AA120">
        <v>3</v>
      </c>
      <c r="AB120">
        <v>0</v>
      </c>
      <c r="AC120">
        <v>2</v>
      </c>
      <c r="AD120">
        <v>38</v>
      </c>
      <c r="AE120">
        <v>236</v>
      </c>
      <c r="AF120">
        <v>3</v>
      </c>
      <c r="AG120">
        <v>43</v>
      </c>
      <c r="AH120">
        <v>18</v>
      </c>
      <c r="AI120">
        <v>0</v>
      </c>
      <c r="AJ120">
        <v>77</v>
      </c>
      <c r="AK120">
        <v>0</v>
      </c>
      <c r="AL120">
        <v>0</v>
      </c>
      <c r="AM120">
        <v>19</v>
      </c>
      <c r="AN120">
        <v>3</v>
      </c>
      <c r="AO120">
        <v>13</v>
      </c>
      <c r="AQ120" t="str">
        <f t="shared" si="1"/>
        <v>Midfielder</v>
      </c>
    </row>
    <row r="121" spans="1:43" x14ac:dyDescent="0.35">
      <c r="A121" t="s">
        <v>157</v>
      </c>
      <c r="B121" t="s">
        <v>46</v>
      </c>
      <c r="C121" t="s">
        <v>988</v>
      </c>
      <c r="D121">
        <v>1991</v>
      </c>
      <c r="E121">
        <v>27</v>
      </c>
      <c r="F121" t="s">
        <v>64</v>
      </c>
      <c r="G121" t="s">
        <v>51</v>
      </c>
      <c r="H121">
        <v>16500000</v>
      </c>
      <c r="I121">
        <v>16500000</v>
      </c>
      <c r="J121" t="s">
        <v>55</v>
      </c>
      <c r="K121">
        <v>38</v>
      </c>
      <c r="L121">
        <v>3016</v>
      </c>
      <c r="M121">
        <v>6</v>
      </c>
      <c r="N121">
        <v>1027</v>
      </c>
      <c r="O121">
        <v>4</v>
      </c>
      <c r="P121">
        <v>0</v>
      </c>
      <c r="Q121">
        <v>0</v>
      </c>
      <c r="R121">
        <v>4</v>
      </c>
      <c r="S121">
        <v>13</v>
      </c>
      <c r="T121">
        <v>63</v>
      </c>
      <c r="U121">
        <v>19</v>
      </c>
      <c r="V121">
        <v>3</v>
      </c>
      <c r="W121">
        <v>5</v>
      </c>
      <c r="X121">
        <v>0</v>
      </c>
      <c r="Y121">
        <v>0</v>
      </c>
      <c r="Z121">
        <v>0</v>
      </c>
      <c r="AA121">
        <v>9</v>
      </c>
      <c r="AB121">
        <v>0</v>
      </c>
      <c r="AC121">
        <v>44</v>
      </c>
      <c r="AD121">
        <v>38</v>
      </c>
      <c r="AE121">
        <v>161</v>
      </c>
      <c r="AF121">
        <v>5</v>
      </c>
      <c r="AG121">
        <v>38</v>
      </c>
      <c r="AH121">
        <v>10</v>
      </c>
      <c r="AI121">
        <v>0</v>
      </c>
      <c r="AJ121">
        <v>62</v>
      </c>
      <c r="AK121">
        <v>0</v>
      </c>
      <c r="AL121">
        <v>0</v>
      </c>
      <c r="AM121">
        <v>16</v>
      </c>
      <c r="AN121">
        <v>4</v>
      </c>
      <c r="AO121">
        <v>13</v>
      </c>
      <c r="AQ121" t="str">
        <f t="shared" si="1"/>
        <v>Midfielder</v>
      </c>
    </row>
    <row r="122" spans="1:43" x14ac:dyDescent="0.35">
      <c r="A122" t="s">
        <v>157</v>
      </c>
      <c r="B122" t="s">
        <v>43</v>
      </c>
      <c r="C122" t="s">
        <v>989</v>
      </c>
      <c r="D122">
        <v>1991</v>
      </c>
      <c r="E122">
        <v>26</v>
      </c>
      <c r="F122" t="s">
        <v>64</v>
      </c>
      <c r="G122" t="s">
        <v>51</v>
      </c>
      <c r="H122">
        <v>13200000</v>
      </c>
      <c r="I122">
        <v>16500000</v>
      </c>
      <c r="J122" t="s">
        <v>55</v>
      </c>
      <c r="K122">
        <v>36</v>
      </c>
      <c r="L122">
        <v>3129</v>
      </c>
      <c r="M122">
        <v>2</v>
      </c>
      <c r="N122">
        <v>1023</v>
      </c>
      <c r="O122">
        <v>7</v>
      </c>
      <c r="P122">
        <v>3</v>
      </c>
      <c r="Q122">
        <v>0</v>
      </c>
      <c r="R122">
        <v>1</v>
      </c>
      <c r="S122">
        <v>9</v>
      </c>
      <c r="T122">
        <v>62</v>
      </c>
      <c r="U122">
        <v>14</v>
      </c>
      <c r="V122">
        <v>0</v>
      </c>
      <c r="W122">
        <v>5</v>
      </c>
      <c r="X122">
        <v>0</v>
      </c>
      <c r="Y122">
        <v>0</v>
      </c>
      <c r="Z122">
        <v>0</v>
      </c>
      <c r="AA122">
        <v>6</v>
      </c>
      <c r="AB122">
        <v>3</v>
      </c>
      <c r="AC122">
        <v>48</v>
      </c>
      <c r="AD122">
        <v>49</v>
      </c>
      <c r="AE122">
        <v>176</v>
      </c>
      <c r="AF122">
        <v>1</v>
      </c>
      <c r="AG122">
        <v>35</v>
      </c>
      <c r="AH122">
        <v>10</v>
      </c>
      <c r="AI122">
        <v>0</v>
      </c>
      <c r="AJ122">
        <v>60</v>
      </c>
      <c r="AK122">
        <v>0</v>
      </c>
      <c r="AL122">
        <v>0</v>
      </c>
      <c r="AM122">
        <v>21</v>
      </c>
      <c r="AN122">
        <v>4</v>
      </c>
      <c r="AO122">
        <v>13</v>
      </c>
      <c r="AQ122" t="str">
        <f t="shared" si="1"/>
        <v>Midfielder</v>
      </c>
    </row>
    <row r="123" spans="1:43" x14ac:dyDescent="0.35">
      <c r="A123" t="s">
        <v>158</v>
      </c>
      <c r="B123" t="s">
        <v>46</v>
      </c>
      <c r="C123" t="s">
        <v>990</v>
      </c>
      <c r="D123">
        <v>1989</v>
      </c>
      <c r="E123">
        <v>29</v>
      </c>
      <c r="F123" t="s">
        <v>50</v>
      </c>
      <c r="G123" t="s">
        <v>51</v>
      </c>
      <c r="H123">
        <v>9000000</v>
      </c>
      <c r="I123">
        <v>7200000</v>
      </c>
      <c r="J123" t="s">
        <v>42</v>
      </c>
      <c r="K123">
        <v>12</v>
      </c>
      <c r="L123">
        <v>455</v>
      </c>
      <c r="M123">
        <v>0</v>
      </c>
      <c r="N123">
        <v>136</v>
      </c>
      <c r="O123">
        <v>0</v>
      </c>
      <c r="P123">
        <v>2</v>
      </c>
      <c r="Q123">
        <v>0</v>
      </c>
      <c r="R123">
        <v>9</v>
      </c>
      <c r="S123">
        <v>2</v>
      </c>
      <c r="T123">
        <v>14</v>
      </c>
      <c r="U123">
        <v>6</v>
      </c>
      <c r="V123">
        <v>1</v>
      </c>
      <c r="W123">
        <v>7</v>
      </c>
      <c r="X123">
        <v>0</v>
      </c>
      <c r="Y123">
        <v>0</v>
      </c>
      <c r="Z123">
        <v>0</v>
      </c>
      <c r="AA123">
        <v>3</v>
      </c>
      <c r="AB123">
        <v>0</v>
      </c>
      <c r="AC123">
        <v>8</v>
      </c>
      <c r="AD123">
        <v>0</v>
      </c>
      <c r="AE123">
        <v>1</v>
      </c>
      <c r="AF123">
        <v>2</v>
      </c>
      <c r="AG123">
        <v>1</v>
      </c>
      <c r="AH123">
        <v>11</v>
      </c>
      <c r="AI123">
        <v>0</v>
      </c>
      <c r="AJ123">
        <v>4</v>
      </c>
      <c r="AK123">
        <v>0</v>
      </c>
      <c r="AL123">
        <v>0</v>
      </c>
      <c r="AM123">
        <v>8</v>
      </c>
      <c r="AN123">
        <v>46</v>
      </c>
      <c r="AO123">
        <v>43</v>
      </c>
      <c r="AQ123" t="str">
        <f t="shared" si="1"/>
        <v>Forward</v>
      </c>
    </row>
    <row r="124" spans="1:43" x14ac:dyDescent="0.35">
      <c r="A124" t="s">
        <v>158</v>
      </c>
      <c r="B124" t="s">
        <v>39</v>
      </c>
      <c r="C124" t="s">
        <v>991</v>
      </c>
      <c r="D124">
        <v>1989</v>
      </c>
      <c r="E124">
        <v>26</v>
      </c>
      <c r="F124" t="s">
        <v>50</v>
      </c>
      <c r="G124" t="s">
        <v>51</v>
      </c>
      <c r="H124">
        <v>9000000</v>
      </c>
      <c r="I124">
        <v>9000000</v>
      </c>
      <c r="J124" t="s">
        <v>42</v>
      </c>
      <c r="K124">
        <v>27</v>
      </c>
      <c r="L124">
        <v>1434</v>
      </c>
      <c r="M124">
        <v>9</v>
      </c>
      <c r="N124">
        <v>435</v>
      </c>
      <c r="O124">
        <v>0</v>
      </c>
      <c r="P124">
        <v>2</v>
      </c>
      <c r="Q124">
        <v>0</v>
      </c>
      <c r="R124">
        <v>14</v>
      </c>
      <c r="S124">
        <v>5</v>
      </c>
      <c r="T124">
        <v>56</v>
      </c>
      <c r="U124">
        <v>25</v>
      </c>
      <c r="V124">
        <v>1</v>
      </c>
      <c r="W124">
        <v>21</v>
      </c>
      <c r="X124">
        <v>5</v>
      </c>
      <c r="Y124">
        <v>1</v>
      </c>
      <c r="Z124">
        <v>0</v>
      </c>
      <c r="AA124">
        <v>7</v>
      </c>
      <c r="AB124">
        <v>2</v>
      </c>
      <c r="AC124">
        <v>5</v>
      </c>
      <c r="AD124">
        <v>0</v>
      </c>
      <c r="AE124">
        <v>8</v>
      </c>
      <c r="AF124">
        <v>7</v>
      </c>
      <c r="AG124">
        <v>7</v>
      </c>
      <c r="AH124">
        <v>38</v>
      </c>
      <c r="AI124">
        <v>0</v>
      </c>
      <c r="AJ124">
        <v>9</v>
      </c>
      <c r="AK124">
        <v>0</v>
      </c>
      <c r="AL124">
        <v>0</v>
      </c>
      <c r="AM124">
        <v>28</v>
      </c>
      <c r="AN124">
        <v>113</v>
      </c>
      <c r="AO124">
        <v>88</v>
      </c>
      <c r="AQ124" t="str">
        <f t="shared" si="1"/>
        <v>Forward</v>
      </c>
    </row>
    <row r="125" spans="1:43" x14ac:dyDescent="0.35">
      <c r="A125" t="s">
        <v>158</v>
      </c>
      <c r="B125" t="s">
        <v>47</v>
      </c>
      <c r="C125" t="s">
        <v>992</v>
      </c>
      <c r="D125">
        <v>1989</v>
      </c>
      <c r="E125">
        <v>27</v>
      </c>
      <c r="F125" t="s">
        <v>50</v>
      </c>
      <c r="G125" t="s">
        <v>51</v>
      </c>
      <c r="H125">
        <v>9000000</v>
      </c>
      <c r="I125">
        <v>9000000</v>
      </c>
      <c r="J125" t="s">
        <v>42</v>
      </c>
      <c r="K125">
        <v>18</v>
      </c>
      <c r="L125">
        <v>1313</v>
      </c>
      <c r="M125">
        <v>7</v>
      </c>
      <c r="N125">
        <v>435</v>
      </c>
      <c r="O125">
        <v>1</v>
      </c>
      <c r="P125">
        <v>3</v>
      </c>
      <c r="Q125">
        <v>0</v>
      </c>
      <c r="R125">
        <v>3</v>
      </c>
      <c r="S125">
        <v>6</v>
      </c>
      <c r="T125">
        <v>39</v>
      </c>
      <c r="U125">
        <v>14</v>
      </c>
      <c r="V125">
        <v>0</v>
      </c>
      <c r="W125">
        <v>34</v>
      </c>
      <c r="X125">
        <v>2</v>
      </c>
      <c r="Y125">
        <v>0</v>
      </c>
      <c r="Z125">
        <v>0</v>
      </c>
      <c r="AA125">
        <v>4</v>
      </c>
      <c r="AB125">
        <v>1</v>
      </c>
      <c r="AC125">
        <v>1</v>
      </c>
      <c r="AD125">
        <v>1</v>
      </c>
      <c r="AE125">
        <v>10</v>
      </c>
      <c r="AF125">
        <v>2</v>
      </c>
      <c r="AG125">
        <v>6</v>
      </c>
      <c r="AH125">
        <v>24</v>
      </c>
      <c r="AI125">
        <v>0</v>
      </c>
      <c r="AJ125">
        <v>5</v>
      </c>
      <c r="AK125">
        <v>0</v>
      </c>
      <c r="AL125">
        <v>0</v>
      </c>
      <c r="AM125">
        <v>38</v>
      </c>
      <c r="AN125">
        <v>164</v>
      </c>
      <c r="AO125">
        <v>92</v>
      </c>
      <c r="AQ125" t="str">
        <f t="shared" si="1"/>
        <v>Forward</v>
      </c>
    </row>
    <row r="126" spans="1:43" x14ac:dyDescent="0.35">
      <c r="A126" t="s">
        <v>158</v>
      </c>
      <c r="B126" t="s">
        <v>43</v>
      </c>
      <c r="C126" t="s">
        <v>993</v>
      </c>
      <c r="D126">
        <v>1989</v>
      </c>
      <c r="E126">
        <v>28</v>
      </c>
      <c r="F126" t="s">
        <v>50</v>
      </c>
      <c r="G126" t="s">
        <v>51</v>
      </c>
      <c r="H126">
        <v>9000000</v>
      </c>
      <c r="I126">
        <v>9000000</v>
      </c>
      <c r="J126" t="s">
        <v>42</v>
      </c>
      <c r="K126">
        <v>16</v>
      </c>
      <c r="L126">
        <v>746</v>
      </c>
      <c r="M126">
        <v>3</v>
      </c>
      <c r="N126">
        <v>248</v>
      </c>
      <c r="O126">
        <v>0</v>
      </c>
      <c r="P126">
        <v>5</v>
      </c>
      <c r="Q126">
        <v>1</v>
      </c>
      <c r="R126">
        <v>9</v>
      </c>
      <c r="S126">
        <v>3</v>
      </c>
      <c r="T126">
        <v>28</v>
      </c>
      <c r="U126">
        <v>8</v>
      </c>
      <c r="V126">
        <v>1</v>
      </c>
      <c r="W126">
        <v>14</v>
      </c>
      <c r="X126">
        <v>1</v>
      </c>
      <c r="Y126">
        <v>0</v>
      </c>
      <c r="Z126">
        <v>0</v>
      </c>
      <c r="AA126">
        <v>6</v>
      </c>
      <c r="AB126">
        <v>0</v>
      </c>
      <c r="AC126">
        <v>20</v>
      </c>
      <c r="AD126">
        <v>0</v>
      </c>
      <c r="AE126">
        <v>10</v>
      </c>
      <c r="AF126">
        <v>2</v>
      </c>
      <c r="AG126">
        <v>2</v>
      </c>
      <c r="AH126">
        <v>28</v>
      </c>
      <c r="AI126">
        <v>0</v>
      </c>
      <c r="AJ126">
        <v>3</v>
      </c>
      <c r="AK126">
        <v>0</v>
      </c>
      <c r="AL126">
        <v>0</v>
      </c>
      <c r="AM126">
        <v>15</v>
      </c>
      <c r="AN126">
        <v>76</v>
      </c>
      <c r="AO126">
        <v>53</v>
      </c>
      <c r="AQ126" t="str">
        <f t="shared" si="1"/>
        <v>Forward</v>
      </c>
    </row>
    <row r="127" spans="1:43" x14ac:dyDescent="0.35">
      <c r="A127" t="s">
        <v>159</v>
      </c>
      <c r="B127" t="s">
        <v>39</v>
      </c>
      <c r="C127" t="s">
        <v>994</v>
      </c>
      <c r="D127">
        <v>1988</v>
      </c>
      <c r="E127">
        <v>26</v>
      </c>
      <c r="F127" t="s">
        <v>99</v>
      </c>
      <c r="G127" t="s">
        <v>62</v>
      </c>
      <c r="H127">
        <v>3300000</v>
      </c>
      <c r="I127">
        <v>3850000</v>
      </c>
      <c r="J127" t="s">
        <v>55</v>
      </c>
      <c r="K127">
        <v>25</v>
      </c>
      <c r="L127">
        <v>1049</v>
      </c>
      <c r="M127">
        <v>2</v>
      </c>
      <c r="N127">
        <v>476</v>
      </c>
      <c r="O127">
        <v>1</v>
      </c>
      <c r="P127">
        <v>2</v>
      </c>
      <c r="Q127">
        <v>0</v>
      </c>
      <c r="R127">
        <v>16</v>
      </c>
      <c r="S127">
        <v>1</v>
      </c>
      <c r="T127">
        <v>20</v>
      </c>
      <c r="U127">
        <v>4</v>
      </c>
      <c r="V127">
        <v>0</v>
      </c>
      <c r="W127">
        <v>15</v>
      </c>
      <c r="X127">
        <v>0</v>
      </c>
      <c r="Y127">
        <v>0</v>
      </c>
      <c r="Z127">
        <v>0</v>
      </c>
      <c r="AA127">
        <v>0</v>
      </c>
      <c r="AB127">
        <v>1</v>
      </c>
      <c r="AC127">
        <v>3</v>
      </c>
      <c r="AD127">
        <v>2</v>
      </c>
      <c r="AE127">
        <v>10</v>
      </c>
      <c r="AF127">
        <v>4</v>
      </c>
      <c r="AG127">
        <v>29</v>
      </c>
      <c r="AH127">
        <v>7</v>
      </c>
      <c r="AI127">
        <v>0</v>
      </c>
      <c r="AJ127">
        <v>27</v>
      </c>
      <c r="AK127">
        <v>0</v>
      </c>
      <c r="AL127">
        <v>0</v>
      </c>
      <c r="AM127">
        <v>24</v>
      </c>
      <c r="AN127">
        <v>17</v>
      </c>
      <c r="AO127">
        <v>18</v>
      </c>
      <c r="AQ127" t="str">
        <f t="shared" si="1"/>
        <v>Midfielder</v>
      </c>
    </row>
    <row r="128" spans="1:43" x14ac:dyDescent="0.35">
      <c r="A128" t="s">
        <v>159</v>
      </c>
      <c r="B128" t="s">
        <v>47</v>
      </c>
      <c r="C128" t="s">
        <v>995</v>
      </c>
      <c r="D128">
        <v>1988</v>
      </c>
      <c r="E128">
        <v>27</v>
      </c>
      <c r="F128" t="s">
        <v>99</v>
      </c>
      <c r="G128" t="s">
        <v>62</v>
      </c>
      <c r="H128">
        <v>3850000</v>
      </c>
      <c r="I128">
        <v>3300000</v>
      </c>
      <c r="J128" t="s">
        <v>55</v>
      </c>
      <c r="K128">
        <v>23</v>
      </c>
      <c r="L128">
        <v>1445</v>
      </c>
      <c r="M128">
        <v>1</v>
      </c>
      <c r="N128">
        <v>644</v>
      </c>
      <c r="O128">
        <v>0</v>
      </c>
      <c r="P128">
        <v>4</v>
      </c>
      <c r="Q128">
        <v>0</v>
      </c>
      <c r="R128">
        <v>8</v>
      </c>
      <c r="S128">
        <v>5</v>
      </c>
      <c r="T128">
        <v>14</v>
      </c>
      <c r="U128">
        <v>7</v>
      </c>
      <c r="V128">
        <v>0</v>
      </c>
      <c r="W128">
        <v>22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0</v>
      </c>
      <c r="AD128">
        <v>0</v>
      </c>
      <c r="AE128">
        <v>14</v>
      </c>
      <c r="AF128">
        <v>12</v>
      </c>
      <c r="AG128">
        <v>27</v>
      </c>
      <c r="AH128">
        <v>18</v>
      </c>
      <c r="AI128">
        <v>0</v>
      </c>
      <c r="AJ128">
        <v>38</v>
      </c>
      <c r="AK128">
        <v>0</v>
      </c>
      <c r="AL128">
        <v>0</v>
      </c>
      <c r="AM128">
        <v>32</v>
      </c>
      <c r="AN128">
        <v>25</v>
      </c>
      <c r="AO128">
        <v>20</v>
      </c>
      <c r="AQ128" t="str">
        <f t="shared" si="1"/>
        <v>Midfielder</v>
      </c>
    </row>
    <row r="129" spans="1:43" x14ac:dyDescent="0.35">
      <c r="A129" t="s">
        <v>159</v>
      </c>
      <c r="B129" t="s">
        <v>43</v>
      </c>
      <c r="C129" t="s">
        <v>996</v>
      </c>
      <c r="D129">
        <v>1988</v>
      </c>
      <c r="E129">
        <v>29</v>
      </c>
      <c r="F129" t="s">
        <v>40</v>
      </c>
      <c r="G129" t="s">
        <v>62</v>
      </c>
      <c r="H129">
        <v>3300000</v>
      </c>
      <c r="I129">
        <v>3300000</v>
      </c>
      <c r="J129" t="s">
        <v>55</v>
      </c>
      <c r="K129">
        <v>22</v>
      </c>
      <c r="L129">
        <v>1253</v>
      </c>
      <c r="M129">
        <v>3</v>
      </c>
      <c r="N129">
        <v>560</v>
      </c>
      <c r="O129">
        <v>0</v>
      </c>
      <c r="P129">
        <v>2</v>
      </c>
      <c r="Q129">
        <v>0</v>
      </c>
      <c r="R129">
        <v>8</v>
      </c>
      <c r="S129">
        <v>7</v>
      </c>
      <c r="T129">
        <v>14</v>
      </c>
      <c r="U129">
        <v>5</v>
      </c>
      <c r="V129">
        <v>0</v>
      </c>
      <c r="W129">
        <v>11</v>
      </c>
      <c r="X129">
        <v>0</v>
      </c>
      <c r="Y129">
        <v>0</v>
      </c>
      <c r="Z129">
        <v>0</v>
      </c>
      <c r="AA129">
        <v>0</v>
      </c>
      <c r="AB129">
        <v>1</v>
      </c>
      <c r="AC129">
        <v>9</v>
      </c>
      <c r="AD129">
        <v>0</v>
      </c>
      <c r="AE129">
        <v>13</v>
      </c>
      <c r="AF129">
        <v>2</v>
      </c>
      <c r="AG129">
        <v>11</v>
      </c>
      <c r="AH129">
        <v>9</v>
      </c>
      <c r="AI129">
        <v>0</v>
      </c>
      <c r="AJ129">
        <v>26</v>
      </c>
      <c r="AK129">
        <v>1</v>
      </c>
      <c r="AL129">
        <v>0</v>
      </c>
      <c r="AM129">
        <v>26</v>
      </c>
      <c r="AN129">
        <v>15</v>
      </c>
      <c r="AO129">
        <v>14</v>
      </c>
      <c r="AQ129" t="str">
        <f t="shared" si="1"/>
        <v>Midfielder</v>
      </c>
    </row>
    <row r="130" spans="1:43" x14ac:dyDescent="0.35">
      <c r="A130" t="s">
        <v>160</v>
      </c>
      <c r="B130" t="s">
        <v>39</v>
      </c>
      <c r="C130" t="s">
        <v>997</v>
      </c>
      <c r="D130">
        <v>1982</v>
      </c>
      <c r="E130">
        <v>33</v>
      </c>
      <c r="F130" t="s">
        <v>40</v>
      </c>
      <c r="G130" t="s">
        <v>45</v>
      </c>
      <c r="H130">
        <v>1650000</v>
      </c>
      <c r="I130">
        <v>1650000</v>
      </c>
      <c r="J130" t="s">
        <v>52</v>
      </c>
      <c r="K130">
        <v>20</v>
      </c>
      <c r="L130">
        <v>1821</v>
      </c>
      <c r="M130">
        <v>0</v>
      </c>
      <c r="N130">
        <v>1278</v>
      </c>
      <c r="O130">
        <v>0</v>
      </c>
      <c r="P130">
        <v>6</v>
      </c>
      <c r="Q130">
        <v>0</v>
      </c>
      <c r="R130">
        <v>3</v>
      </c>
      <c r="S130">
        <v>4</v>
      </c>
      <c r="T130">
        <v>14</v>
      </c>
      <c r="U130">
        <v>0</v>
      </c>
      <c r="V130">
        <v>1</v>
      </c>
      <c r="W130">
        <v>38</v>
      </c>
      <c r="X130">
        <v>0</v>
      </c>
      <c r="Y130">
        <v>0</v>
      </c>
      <c r="Z130">
        <v>0</v>
      </c>
      <c r="AA130">
        <v>2</v>
      </c>
      <c r="AB130">
        <v>0</v>
      </c>
      <c r="AC130">
        <v>1</v>
      </c>
      <c r="AD130">
        <v>0</v>
      </c>
      <c r="AE130">
        <v>47</v>
      </c>
      <c r="AF130">
        <v>7</v>
      </c>
      <c r="AG130">
        <v>59</v>
      </c>
      <c r="AH130">
        <v>19</v>
      </c>
      <c r="AI130">
        <v>0</v>
      </c>
      <c r="AJ130">
        <v>43</v>
      </c>
      <c r="AK130">
        <v>0</v>
      </c>
      <c r="AL130">
        <v>0</v>
      </c>
      <c r="AM130">
        <v>72</v>
      </c>
      <c r="AN130">
        <v>36</v>
      </c>
      <c r="AO130">
        <v>25</v>
      </c>
      <c r="AQ130" t="str">
        <f t="shared" ref="AQ130:AQ193" si="2">IF(J130 = "FW", REPLACE(J130,1,2,"Forward"),IF(J130 = "DF", "Defensive Forward", "Midfielder"))</f>
        <v>Defensive Forward</v>
      </c>
    </row>
    <row r="131" spans="1:43" x14ac:dyDescent="0.35">
      <c r="A131" t="s">
        <v>160</v>
      </c>
      <c r="B131" t="s">
        <v>47</v>
      </c>
      <c r="C131" t="s">
        <v>998</v>
      </c>
      <c r="D131">
        <v>1982</v>
      </c>
      <c r="E131">
        <v>34</v>
      </c>
      <c r="F131" t="s">
        <v>40</v>
      </c>
      <c r="G131" t="s">
        <v>45</v>
      </c>
      <c r="H131">
        <v>1650000</v>
      </c>
      <c r="I131">
        <v>1100000</v>
      </c>
      <c r="J131" t="s">
        <v>52</v>
      </c>
      <c r="K131">
        <v>18</v>
      </c>
      <c r="L131">
        <v>823</v>
      </c>
      <c r="M131">
        <v>1</v>
      </c>
      <c r="N131">
        <v>545</v>
      </c>
      <c r="O131">
        <v>0</v>
      </c>
      <c r="P131">
        <v>1</v>
      </c>
      <c r="Q131">
        <v>0</v>
      </c>
      <c r="R131">
        <v>10</v>
      </c>
      <c r="S131">
        <v>1</v>
      </c>
      <c r="T131">
        <v>5</v>
      </c>
      <c r="U131">
        <v>3</v>
      </c>
      <c r="V131">
        <v>0</v>
      </c>
      <c r="W131">
        <v>20</v>
      </c>
      <c r="X131">
        <v>0</v>
      </c>
      <c r="Y131">
        <v>0</v>
      </c>
      <c r="Z131">
        <v>0</v>
      </c>
      <c r="AA131">
        <v>1</v>
      </c>
      <c r="AB131">
        <v>0</v>
      </c>
      <c r="AC131">
        <v>0</v>
      </c>
      <c r="AD131">
        <v>0</v>
      </c>
      <c r="AE131">
        <v>11</v>
      </c>
      <c r="AF131">
        <v>3</v>
      </c>
      <c r="AG131">
        <v>26</v>
      </c>
      <c r="AH131">
        <v>10</v>
      </c>
      <c r="AI131">
        <v>0</v>
      </c>
      <c r="AJ131">
        <v>32</v>
      </c>
      <c r="AK131">
        <v>0</v>
      </c>
      <c r="AL131">
        <v>0</v>
      </c>
      <c r="AM131">
        <v>31</v>
      </c>
      <c r="AN131">
        <v>13</v>
      </c>
      <c r="AO131">
        <v>13</v>
      </c>
      <c r="AQ131" t="str">
        <f t="shared" si="2"/>
        <v>Defensive Forward</v>
      </c>
    </row>
    <row r="132" spans="1:43" x14ac:dyDescent="0.35">
      <c r="A132" t="s">
        <v>161</v>
      </c>
      <c r="B132" t="s">
        <v>47</v>
      </c>
      <c r="C132" t="s">
        <v>999</v>
      </c>
      <c r="D132">
        <v>1988</v>
      </c>
      <c r="E132">
        <v>28</v>
      </c>
      <c r="F132" t="s">
        <v>50</v>
      </c>
      <c r="G132" t="s">
        <v>82</v>
      </c>
      <c r="H132">
        <v>8100000</v>
      </c>
      <c r="I132">
        <v>8100000</v>
      </c>
      <c r="J132" t="s">
        <v>52</v>
      </c>
      <c r="K132">
        <v>20</v>
      </c>
      <c r="L132">
        <v>1755</v>
      </c>
      <c r="M132">
        <v>0</v>
      </c>
      <c r="N132">
        <v>805</v>
      </c>
      <c r="O132">
        <v>0</v>
      </c>
      <c r="P132">
        <v>2</v>
      </c>
      <c r="Q132">
        <v>0</v>
      </c>
      <c r="R132">
        <v>0</v>
      </c>
      <c r="S132">
        <v>1</v>
      </c>
      <c r="T132">
        <v>3</v>
      </c>
      <c r="U132">
        <v>1</v>
      </c>
      <c r="V132">
        <v>0</v>
      </c>
      <c r="W132">
        <v>58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4</v>
      </c>
      <c r="AF132">
        <v>14</v>
      </c>
      <c r="AG132">
        <v>37</v>
      </c>
      <c r="AH132">
        <v>13</v>
      </c>
      <c r="AI132">
        <v>0</v>
      </c>
      <c r="AJ132">
        <v>27</v>
      </c>
      <c r="AK132">
        <v>1</v>
      </c>
      <c r="AL132">
        <v>0</v>
      </c>
      <c r="AM132">
        <v>96</v>
      </c>
      <c r="AN132">
        <v>44</v>
      </c>
      <c r="AO132">
        <v>18</v>
      </c>
      <c r="AQ132" t="str">
        <f t="shared" si="2"/>
        <v>Defensive Forward</v>
      </c>
    </row>
    <row r="133" spans="1:43" x14ac:dyDescent="0.35">
      <c r="A133" t="s">
        <v>161</v>
      </c>
      <c r="B133" t="s">
        <v>46</v>
      </c>
      <c r="C133" t="s">
        <v>1000</v>
      </c>
      <c r="D133">
        <v>1988</v>
      </c>
      <c r="E133">
        <v>30</v>
      </c>
      <c r="F133" t="s">
        <v>50</v>
      </c>
      <c r="G133" t="s">
        <v>82</v>
      </c>
      <c r="H133">
        <v>8100000</v>
      </c>
      <c r="I133">
        <v>7200000</v>
      </c>
      <c r="J133" t="s">
        <v>52</v>
      </c>
      <c r="K133">
        <v>24</v>
      </c>
      <c r="L133">
        <v>1871</v>
      </c>
      <c r="M133">
        <v>1</v>
      </c>
      <c r="N133">
        <v>795</v>
      </c>
      <c r="O133">
        <v>1</v>
      </c>
      <c r="P133">
        <v>2</v>
      </c>
      <c r="Q133">
        <v>0</v>
      </c>
      <c r="R133">
        <v>4</v>
      </c>
      <c r="S133">
        <v>0</v>
      </c>
      <c r="T133">
        <v>14</v>
      </c>
      <c r="U133">
        <v>5</v>
      </c>
      <c r="V133">
        <v>0</v>
      </c>
      <c r="W133">
        <v>45</v>
      </c>
      <c r="X133">
        <v>0</v>
      </c>
      <c r="Y133">
        <v>0</v>
      </c>
      <c r="Z133">
        <v>0</v>
      </c>
      <c r="AA133">
        <v>0</v>
      </c>
      <c r="AB133">
        <v>1</v>
      </c>
      <c r="AC133">
        <v>9</v>
      </c>
      <c r="AD133">
        <v>0</v>
      </c>
      <c r="AE133">
        <v>0</v>
      </c>
      <c r="AF133">
        <v>19</v>
      </c>
      <c r="AG133">
        <v>35</v>
      </c>
      <c r="AH133">
        <v>15</v>
      </c>
      <c r="AI133">
        <v>0</v>
      </c>
      <c r="AJ133">
        <v>31</v>
      </c>
      <c r="AK133">
        <v>0</v>
      </c>
      <c r="AL133">
        <v>0</v>
      </c>
      <c r="AM133">
        <v>99</v>
      </c>
      <c r="AN133">
        <v>79</v>
      </c>
      <c r="AO133">
        <v>37</v>
      </c>
      <c r="AQ133" t="str">
        <f t="shared" si="2"/>
        <v>Defensive Forward</v>
      </c>
    </row>
    <row r="134" spans="1:43" x14ac:dyDescent="0.35">
      <c r="A134" t="s">
        <v>161</v>
      </c>
      <c r="B134" t="s">
        <v>39</v>
      </c>
      <c r="C134" t="s">
        <v>1001</v>
      </c>
      <c r="D134">
        <v>1988</v>
      </c>
      <c r="E134">
        <v>27</v>
      </c>
      <c r="F134" t="s">
        <v>50</v>
      </c>
      <c r="G134" t="s">
        <v>82</v>
      </c>
      <c r="H134">
        <v>8100000</v>
      </c>
      <c r="I134">
        <v>8100000</v>
      </c>
      <c r="J134" t="s">
        <v>52</v>
      </c>
      <c r="K134">
        <v>28</v>
      </c>
      <c r="L134">
        <v>2328</v>
      </c>
      <c r="M134">
        <v>0</v>
      </c>
      <c r="N134">
        <v>945</v>
      </c>
      <c r="O134">
        <v>0</v>
      </c>
      <c r="P134">
        <v>5</v>
      </c>
      <c r="Q134">
        <v>0</v>
      </c>
      <c r="R134">
        <v>1</v>
      </c>
      <c r="S134">
        <v>2</v>
      </c>
      <c r="T134">
        <v>6</v>
      </c>
      <c r="U134">
        <v>0</v>
      </c>
      <c r="V134">
        <v>0</v>
      </c>
      <c r="W134">
        <v>98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1</v>
      </c>
      <c r="AF134">
        <v>19</v>
      </c>
      <c r="AG134">
        <v>50</v>
      </c>
      <c r="AH134">
        <v>21</v>
      </c>
      <c r="AI134">
        <v>0</v>
      </c>
      <c r="AJ134">
        <v>43</v>
      </c>
      <c r="AK134">
        <v>1</v>
      </c>
      <c r="AL134">
        <v>0</v>
      </c>
      <c r="AM134">
        <v>161</v>
      </c>
      <c r="AN134">
        <v>62</v>
      </c>
      <c r="AO134">
        <v>31</v>
      </c>
      <c r="AQ134" t="str">
        <f t="shared" si="2"/>
        <v>Defensive Forward</v>
      </c>
    </row>
    <row r="135" spans="1:43" x14ac:dyDescent="0.35">
      <c r="A135" t="s">
        <v>161</v>
      </c>
      <c r="B135" t="s">
        <v>43</v>
      </c>
      <c r="C135" t="s">
        <v>1002</v>
      </c>
      <c r="D135">
        <v>1988</v>
      </c>
      <c r="E135">
        <v>29</v>
      </c>
      <c r="F135" t="s">
        <v>50</v>
      </c>
      <c r="G135" t="s">
        <v>82</v>
      </c>
      <c r="H135">
        <v>8100000</v>
      </c>
      <c r="I135">
        <v>8100000</v>
      </c>
      <c r="J135" t="s">
        <v>52</v>
      </c>
      <c r="K135">
        <v>32</v>
      </c>
      <c r="L135">
        <v>2880</v>
      </c>
      <c r="M135">
        <v>1</v>
      </c>
      <c r="N135">
        <v>1013</v>
      </c>
      <c r="O135">
        <v>0</v>
      </c>
      <c r="P135">
        <v>3</v>
      </c>
      <c r="Q135">
        <v>0</v>
      </c>
      <c r="R135">
        <v>0</v>
      </c>
      <c r="S135">
        <v>0</v>
      </c>
      <c r="T135">
        <v>2</v>
      </c>
      <c r="U135">
        <v>2</v>
      </c>
      <c r="V135">
        <v>0</v>
      </c>
      <c r="W135">
        <v>103</v>
      </c>
      <c r="X135">
        <v>1</v>
      </c>
      <c r="Y135">
        <v>0</v>
      </c>
      <c r="Z135">
        <v>0</v>
      </c>
      <c r="AA135">
        <v>0</v>
      </c>
      <c r="AB135">
        <v>1</v>
      </c>
      <c r="AC135">
        <v>0</v>
      </c>
      <c r="AD135">
        <v>0</v>
      </c>
      <c r="AE135">
        <v>2</v>
      </c>
      <c r="AF135">
        <v>27</v>
      </c>
      <c r="AG135">
        <v>58</v>
      </c>
      <c r="AH135">
        <v>15</v>
      </c>
      <c r="AI135">
        <v>0</v>
      </c>
      <c r="AJ135">
        <v>30</v>
      </c>
      <c r="AK135">
        <v>0</v>
      </c>
      <c r="AL135">
        <v>0</v>
      </c>
      <c r="AM135">
        <v>191</v>
      </c>
      <c r="AN135">
        <v>80</v>
      </c>
      <c r="AO135">
        <v>73</v>
      </c>
      <c r="AQ135" t="str">
        <f t="shared" si="2"/>
        <v>Defensive Forward</v>
      </c>
    </row>
    <row r="136" spans="1:43" x14ac:dyDescent="0.35">
      <c r="A136" t="s">
        <v>162</v>
      </c>
      <c r="B136" t="s">
        <v>46</v>
      </c>
      <c r="C136" t="s">
        <v>1003</v>
      </c>
      <c r="D136">
        <v>1991</v>
      </c>
      <c r="E136">
        <v>26</v>
      </c>
      <c r="F136" t="s">
        <v>134</v>
      </c>
      <c r="G136" t="s">
        <v>67</v>
      </c>
      <c r="H136">
        <v>7200000</v>
      </c>
      <c r="I136">
        <v>7200000</v>
      </c>
      <c r="J136" t="s">
        <v>42</v>
      </c>
      <c r="K136">
        <v>30</v>
      </c>
      <c r="L136">
        <v>1833</v>
      </c>
      <c r="M136">
        <v>2</v>
      </c>
      <c r="N136">
        <v>616</v>
      </c>
      <c r="O136">
        <v>6</v>
      </c>
      <c r="P136">
        <v>4</v>
      </c>
      <c r="Q136">
        <v>1</v>
      </c>
      <c r="R136">
        <v>12</v>
      </c>
      <c r="S136">
        <v>7</v>
      </c>
      <c r="T136">
        <v>27</v>
      </c>
      <c r="U136">
        <v>9</v>
      </c>
      <c r="V136">
        <v>0</v>
      </c>
      <c r="W136">
        <v>2</v>
      </c>
      <c r="X136">
        <v>0</v>
      </c>
      <c r="Y136">
        <v>0</v>
      </c>
      <c r="Z136">
        <v>0</v>
      </c>
      <c r="AA136">
        <v>3</v>
      </c>
      <c r="AB136">
        <v>1</v>
      </c>
      <c r="AC136">
        <v>18</v>
      </c>
      <c r="AD136">
        <v>46</v>
      </c>
      <c r="AE136">
        <v>107</v>
      </c>
      <c r="AF136">
        <v>0</v>
      </c>
      <c r="AG136">
        <v>29</v>
      </c>
      <c r="AH136">
        <v>22</v>
      </c>
      <c r="AI136">
        <v>0</v>
      </c>
      <c r="AJ136">
        <v>33</v>
      </c>
      <c r="AK136">
        <v>0</v>
      </c>
      <c r="AL136">
        <v>0</v>
      </c>
      <c r="AM136">
        <v>6</v>
      </c>
      <c r="AN136">
        <v>16</v>
      </c>
      <c r="AO136">
        <v>8</v>
      </c>
      <c r="AQ136" t="str">
        <f t="shared" si="2"/>
        <v>Forward</v>
      </c>
    </row>
    <row r="137" spans="1:43" x14ac:dyDescent="0.35">
      <c r="A137" t="s">
        <v>162</v>
      </c>
      <c r="B137" t="s">
        <v>43</v>
      </c>
      <c r="C137" t="s">
        <v>1004</v>
      </c>
      <c r="D137">
        <v>1991</v>
      </c>
      <c r="E137">
        <v>26</v>
      </c>
      <c r="F137" t="s">
        <v>134</v>
      </c>
      <c r="G137" t="s">
        <v>67</v>
      </c>
      <c r="H137">
        <v>7200000</v>
      </c>
      <c r="I137">
        <v>7200000</v>
      </c>
      <c r="J137" t="s">
        <v>55</v>
      </c>
      <c r="K137">
        <v>33</v>
      </c>
      <c r="L137">
        <v>2426</v>
      </c>
      <c r="M137">
        <v>3</v>
      </c>
      <c r="N137">
        <v>984</v>
      </c>
      <c r="O137">
        <v>1</v>
      </c>
      <c r="P137">
        <v>4</v>
      </c>
      <c r="Q137">
        <v>1</v>
      </c>
      <c r="R137">
        <v>6</v>
      </c>
      <c r="S137">
        <v>10</v>
      </c>
      <c r="T137">
        <v>46</v>
      </c>
      <c r="U137">
        <v>12</v>
      </c>
      <c r="V137">
        <v>2</v>
      </c>
      <c r="W137">
        <v>6</v>
      </c>
      <c r="X137">
        <v>0</v>
      </c>
      <c r="Y137">
        <v>0</v>
      </c>
      <c r="Z137">
        <v>0</v>
      </c>
      <c r="AA137">
        <v>8</v>
      </c>
      <c r="AB137">
        <v>4</v>
      </c>
      <c r="AC137">
        <v>34</v>
      </c>
      <c r="AD137">
        <v>27</v>
      </c>
      <c r="AE137">
        <v>98</v>
      </c>
      <c r="AF137">
        <v>3</v>
      </c>
      <c r="AG137">
        <v>23</v>
      </c>
      <c r="AH137">
        <v>22</v>
      </c>
      <c r="AI137">
        <v>0</v>
      </c>
      <c r="AJ137">
        <v>39</v>
      </c>
      <c r="AK137">
        <v>0</v>
      </c>
      <c r="AL137">
        <v>0</v>
      </c>
      <c r="AM137">
        <v>13</v>
      </c>
      <c r="AN137">
        <v>16</v>
      </c>
      <c r="AO137">
        <v>19</v>
      </c>
      <c r="AQ137" t="str">
        <f t="shared" si="2"/>
        <v>Midfielder</v>
      </c>
    </row>
    <row r="138" spans="1:43" x14ac:dyDescent="0.35">
      <c r="A138" t="s">
        <v>163</v>
      </c>
      <c r="B138" t="s">
        <v>39</v>
      </c>
      <c r="C138" t="s">
        <v>1005</v>
      </c>
      <c r="D138">
        <v>1995</v>
      </c>
      <c r="E138">
        <v>19</v>
      </c>
      <c r="F138" t="s">
        <v>129</v>
      </c>
      <c r="G138" t="s">
        <v>67</v>
      </c>
      <c r="H138">
        <v>8800000</v>
      </c>
      <c r="I138">
        <v>28500000</v>
      </c>
      <c r="J138" t="s">
        <v>42</v>
      </c>
      <c r="K138">
        <v>29</v>
      </c>
      <c r="L138">
        <v>2632</v>
      </c>
      <c r="M138">
        <v>11</v>
      </c>
      <c r="N138">
        <v>923</v>
      </c>
      <c r="O138">
        <v>4</v>
      </c>
      <c r="P138">
        <v>2</v>
      </c>
      <c r="Q138">
        <v>0</v>
      </c>
      <c r="R138">
        <v>2</v>
      </c>
      <c r="S138">
        <v>2</v>
      </c>
      <c r="T138">
        <v>57</v>
      </c>
      <c r="U138">
        <v>25</v>
      </c>
      <c r="V138">
        <v>1</v>
      </c>
      <c r="W138">
        <v>11</v>
      </c>
      <c r="X138">
        <v>1</v>
      </c>
      <c r="Y138">
        <v>0</v>
      </c>
      <c r="Z138">
        <v>0</v>
      </c>
      <c r="AA138">
        <v>17</v>
      </c>
      <c r="AB138">
        <v>6</v>
      </c>
      <c r="AC138">
        <v>3</v>
      </c>
      <c r="AD138">
        <v>1</v>
      </c>
      <c r="AE138">
        <v>49</v>
      </c>
      <c r="AF138">
        <v>4</v>
      </c>
      <c r="AG138">
        <v>9</v>
      </c>
      <c r="AH138">
        <v>40</v>
      </c>
      <c r="AI138">
        <v>0</v>
      </c>
      <c r="AJ138">
        <v>21</v>
      </c>
      <c r="AK138">
        <v>0</v>
      </c>
      <c r="AL138">
        <v>0</v>
      </c>
      <c r="AM138">
        <v>18</v>
      </c>
      <c r="AN138">
        <v>56</v>
      </c>
      <c r="AO138">
        <v>91</v>
      </c>
      <c r="AQ138" t="str">
        <f t="shared" si="2"/>
        <v>Forward</v>
      </c>
    </row>
    <row r="139" spans="1:43" x14ac:dyDescent="0.35">
      <c r="A139" t="s">
        <v>163</v>
      </c>
      <c r="B139" t="s">
        <v>47</v>
      </c>
      <c r="C139" t="s">
        <v>1006</v>
      </c>
      <c r="D139">
        <v>1995</v>
      </c>
      <c r="E139">
        <v>20</v>
      </c>
      <c r="F139" t="s">
        <v>129</v>
      </c>
      <c r="G139" t="s">
        <v>67</v>
      </c>
      <c r="H139">
        <v>28500000</v>
      </c>
      <c r="I139">
        <v>27000000</v>
      </c>
      <c r="J139" t="s">
        <v>42</v>
      </c>
      <c r="K139">
        <v>25</v>
      </c>
      <c r="L139">
        <v>1559</v>
      </c>
      <c r="M139">
        <v>4</v>
      </c>
      <c r="N139">
        <v>608</v>
      </c>
      <c r="O139">
        <v>6</v>
      </c>
      <c r="P139">
        <v>2</v>
      </c>
      <c r="Q139">
        <v>0</v>
      </c>
      <c r="R139">
        <v>7</v>
      </c>
      <c r="S139">
        <v>11</v>
      </c>
      <c r="T139">
        <v>42</v>
      </c>
      <c r="U139">
        <v>18</v>
      </c>
      <c r="V139">
        <v>2</v>
      </c>
      <c r="W139">
        <v>5</v>
      </c>
      <c r="X139">
        <v>0</v>
      </c>
      <c r="Y139">
        <v>0</v>
      </c>
      <c r="Z139">
        <v>0</v>
      </c>
      <c r="AA139">
        <v>6</v>
      </c>
      <c r="AB139">
        <v>6</v>
      </c>
      <c r="AC139">
        <v>1</v>
      </c>
      <c r="AD139">
        <v>6</v>
      </c>
      <c r="AE139">
        <v>56</v>
      </c>
      <c r="AF139">
        <v>1</v>
      </c>
      <c r="AG139">
        <v>9</v>
      </c>
      <c r="AH139">
        <v>26</v>
      </c>
      <c r="AI139">
        <v>0</v>
      </c>
      <c r="AJ139">
        <v>17</v>
      </c>
      <c r="AK139">
        <v>0</v>
      </c>
      <c r="AL139">
        <v>0</v>
      </c>
      <c r="AM139">
        <v>9</v>
      </c>
      <c r="AN139">
        <v>21</v>
      </c>
      <c r="AO139">
        <v>37</v>
      </c>
      <c r="AQ139" t="str">
        <f t="shared" si="2"/>
        <v>Forward</v>
      </c>
    </row>
    <row r="140" spans="1:43" x14ac:dyDescent="0.35">
      <c r="A140" t="s">
        <v>163</v>
      </c>
      <c r="B140" t="s">
        <v>43</v>
      </c>
      <c r="C140" t="s">
        <v>1007</v>
      </c>
      <c r="D140">
        <v>1995</v>
      </c>
      <c r="E140">
        <v>22</v>
      </c>
      <c r="F140" t="s">
        <v>129</v>
      </c>
      <c r="G140" t="s">
        <v>67</v>
      </c>
      <c r="H140">
        <v>27000000</v>
      </c>
      <c r="I140">
        <v>58500000</v>
      </c>
      <c r="J140" t="s">
        <v>42</v>
      </c>
      <c r="K140">
        <v>30</v>
      </c>
      <c r="L140">
        <v>1581</v>
      </c>
      <c r="M140">
        <v>9</v>
      </c>
      <c r="N140">
        <v>731</v>
      </c>
      <c r="O140">
        <v>5</v>
      </c>
      <c r="P140">
        <v>1</v>
      </c>
      <c r="Q140">
        <v>0</v>
      </c>
      <c r="R140">
        <v>12</v>
      </c>
      <c r="S140">
        <v>13</v>
      </c>
      <c r="T140">
        <v>49</v>
      </c>
      <c r="U140">
        <v>16</v>
      </c>
      <c r="V140">
        <v>0</v>
      </c>
      <c r="W140">
        <v>4</v>
      </c>
      <c r="X140">
        <v>1</v>
      </c>
      <c r="Y140">
        <v>1</v>
      </c>
      <c r="Z140">
        <v>0</v>
      </c>
      <c r="AA140">
        <v>8</v>
      </c>
      <c r="AB140">
        <v>4</v>
      </c>
      <c r="AC140">
        <v>33</v>
      </c>
      <c r="AD140">
        <v>6</v>
      </c>
      <c r="AE140">
        <v>48</v>
      </c>
      <c r="AF140">
        <v>1</v>
      </c>
      <c r="AG140">
        <v>3</v>
      </c>
      <c r="AH140">
        <v>17</v>
      </c>
      <c r="AI140">
        <v>0</v>
      </c>
      <c r="AJ140">
        <v>15</v>
      </c>
      <c r="AK140">
        <v>0</v>
      </c>
      <c r="AL140">
        <v>0</v>
      </c>
      <c r="AM140">
        <v>6</v>
      </c>
      <c r="AN140">
        <v>14</v>
      </c>
      <c r="AO140">
        <v>25</v>
      </c>
      <c r="AQ140" t="str">
        <f t="shared" si="2"/>
        <v>Forward</v>
      </c>
    </row>
    <row r="141" spans="1:43" x14ac:dyDescent="0.35">
      <c r="A141" t="s">
        <v>163</v>
      </c>
      <c r="B141" t="s">
        <v>46</v>
      </c>
      <c r="C141" t="s">
        <v>1008</v>
      </c>
      <c r="D141">
        <v>1995</v>
      </c>
      <c r="E141">
        <v>22</v>
      </c>
      <c r="F141" t="s">
        <v>129</v>
      </c>
      <c r="G141" t="s">
        <v>67</v>
      </c>
      <c r="H141">
        <v>58500000</v>
      </c>
      <c r="I141">
        <v>54000000</v>
      </c>
      <c r="J141" t="s">
        <v>42</v>
      </c>
      <c r="K141">
        <v>27</v>
      </c>
      <c r="L141">
        <v>1624</v>
      </c>
      <c r="M141">
        <v>10</v>
      </c>
      <c r="N141">
        <v>707</v>
      </c>
      <c r="O141">
        <v>2</v>
      </c>
      <c r="P141">
        <v>2</v>
      </c>
      <c r="Q141">
        <v>0</v>
      </c>
      <c r="R141">
        <v>9</v>
      </c>
      <c r="S141">
        <v>11</v>
      </c>
      <c r="T141">
        <v>39</v>
      </c>
      <c r="U141">
        <v>23</v>
      </c>
      <c r="V141">
        <v>0</v>
      </c>
      <c r="W141">
        <v>3</v>
      </c>
      <c r="X141">
        <v>0</v>
      </c>
      <c r="Y141">
        <v>0</v>
      </c>
      <c r="Z141">
        <v>0</v>
      </c>
      <c r="AA141">
        <v>6</v>
      </c>
      <c r="AB141">
        <v>7</v>
      </c>
      <c r="AC141">
        <v>16</v>
      </c>
      <c r="AD141">
        <v>1</v>
      </c>
      <c r="AE141">
        <v>34</v>
      </c>
      <c r="AF141">
        <v>0</v>
      </c>
      <c r="AG141">
        <v>3</v>
      </c>
      <c r="AH141">
        <v>14</v>
      </c>
      <c r="AI141">
        <v>0</v>
      </c>
      <c r="AJ141">
        <v>9</v>
      </c>
      <c r="AK141">
        <v>0</v>
      </c>
      <c r="AL141">
        <v>0</v>
      </c>
      <c r="AM141">
        <v>8</v>
      </c>
      <c r="AN141">
        <v>18</v>
      </c>
      <c r="AO141">
        <v>18</v>
      </c>
      <c r="AQ141" t="str">
        <f t="shared" si="2"/>
        <v>Forward</v>
      </c>
    </row>
    <row r="142" spans="1:43" x14ac:dyDescent="0.35">
      <c r="A142" t="s">
        <v>164</v>
      </c>
      <c r="B142" t="s">
        <v>47</v>
      </c>
      <c r="C142" t="s">
        <v>1009</v>
      </c>
      <c r="D142">
        <v>1987</v>
      </c>
      <c r="E142">
        <v>29</v>
      </c>
      <c r="F142" t="s">
        <v>48</v>
      </c>
      <c r="G142" t="s">
        <v>45</v>
      </c>
      <c r="H142">
        <v>3850000</v>
      </c>
      <c r="I142">
        <v>3300000</v>
      </c>
      <c r="J142" t="s">
        <v>52</v>
      </c>
      <c r="K142">
        <v>26</v>
      </c>
      <c r="L142">
        <v>2196</v>
      </c>
      <c r="M142">
        <v>0</v>
      </c>
      <c r="N142">
        <v>1027</v>
      </c>
      <c r="O142">
        <v>0</v>
      </c>
      <c r="P142">
        <v>5</v>
      </c>
      <c r="Q142">
        <v>0</v>
      </c>
      <c r="R142">
        <v>0</v>
      </c>
      <c r="S142">
        <v>3</v>
      </c>
      <c r="T142">
        <v>3</v>
      </c>
      <c r="U142">
        <v>0</v>
      </c>
      <c r="V142">
        <v>0</v>
      </c>
      <c r="W142">
        <v>35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0</v>
      </c>
      <c r="AD142">
        <v>0</v>
      </c>
      <c r="AE142">
        <v>71</v>
      </c>
      <c r="AF142">
        <v>13</v>
      </c>
      <c r="AG142">
        <v>59</v>
      </c>
      <c r="AH142">
        <v>27</v>
      </c>
      <c r="AI142">
        <v>0</v>
      </c>
      <c r="AJ142">
        <v>72</v>
      </c>
      <c r="AK142">
        <v>0</v>
      </c>
      <c r="AL142">
        <v>0</v>
      </c>
      <c r="AM142">
        <v>70</v>
      </c>
      <c r="AN142">
        <v>21</v>
      </c>
      <c r="AO142">
        <v>22</v>
      </c>
      <c r="AQ142" t="str">
        <f t="shared" si="2"/>
        <v>Defensive Forward</v>
      </c>
    </row>
    <row r="143" spans="1:43" x14ac:dyDescent="0.35">
      <c r="A143" t="s">
        <v>165</v>
      </c>
      <c r="B143" t="s">
        <v>43</v>
      </c>
      <c r="C143" t="s">
        <v>1010</v>
      </c>
      <c r="D143">
        <v>1993</v>
      </c>
      <c r="E143">
        <v>24</v>
      </c>
      <c r="F143" t="s">
        <v>44</v>
      </c>
      <c r="G143" t="s">
        <v>146</v>
      </c>
      <c r="H143">
        <v>22500000</v>
      </c>
      <c r="I143">
        <v>36000000</v>
      </c>
      <c r="J143" t="s">
        <v>52</v>
      </c>
      <c r="K143">
        <v>27</v>
      </c>
      <c r="L143">
        <v>2336</v>
      </c>
      <c r="M143">
        <v>2</v>
      </c>
      <c r="N143">
        <v>1709</v>
      </c>
      <c r="O143">
        <v>1</v>
      </c>
      <c r="P143">
        <v>4</v>
      </c>
      <c r="Q143">
        <v>0</v>
      </c>
      <c r="R143">
        <v>2</v>
      </c>
      <c r="S143">
        <v>0</v>
      </c>
      <c r="T143">
        <v>15</v>
      </c>
      <c r="U143">
        <v>4</v>
      </c>
      <c r="V143">
        <v>0</v>
      </c>
      <c r="W143">
        <v>52</v>
      </c>
      <c r="X143">
        <v>2</v>
      </c>
      <c r="Y143">
        <v>0</v>
      </c>
      <c r="Z143">
        <v>0</v>
      </c>
      <c r="AA143">
        <v>2</v>
      </c>
      <c r="AB143">
        <v>3</v>
      </c>
      <c r="AC143">
        <v>11</v>
      </c>
      <c r="AD143">
        <v>0</v>
      </c>
      <c r="AE143">
        <v>10</v>
      </c>
      <c r="AF143">
        <v>15</v>
      </c>
      <c r="AG143">
        <v>24</v>
      </c>
      <c r="AH143">
        <v>26</v>
      </c>
      <c r="AI143">
        <v>0</v>
      </c>
      <c r="AJ143">
        <v>31</v>
      </c>
      <c r="AK143">
        <v>0</v>
      </c>
      <c r="AL143">
        <v>0</v>
      </c>
      <c r="AM143">
        <v>101</v>
      </c>
      <c r="AN143">
        <v>59</v>
      </c>
      <c r="AO143">
        <v>39</v>
      </c>
      <c r="AQ143" t="str">
        <f t="shared" si="2"/>
        <v>Defensive Forward</v>
      </c>
    </row>
    <row r="144" spans="1:43" x14ac:dyDescent="0.35">
      <c r="A144" t="s">
        <v>165</v>
      </c>
      <c r="B144" t="s">
        <v>46</v>
      </c>
      <c r="C144" t="s">
        <v>1011</v>
      </c>
      <c r="D144">
        <v>1993</v>
      </c>
      <c r="E144">
        <v>25</v>
      </c>
      <c r="F144" t="s">
        <v>44</v>
      </c>
      <c r="G144" t="s">
        <v>146</v>
      </c>
      <c r="H144">
        <v>36000000</v>
      </c>
      <c r="I144">
        <v>45000000</v>
      </c>
      <c r="J144" t="s">
        <v>52</v>
      </c>
      <c r="K144">
        <v>33</v>
      </c>
      <c r="L144">
        <v>2874</v>
      </c>
      <c r="M144">
        <v>1</v>
      </c>
      <c r="N144">
        <v>2537</v>
      </c>
      <c r="O144">
        <v>0</v>
      </c>
      <c r="P144">
        <v>0</v>
      </c>
      <c r="Q144">
        <v>0</v>
      </c>
      <c r="R144">
        <v>0</v>
      </c>
      <c r="S144">
        <v>3</v>
      </c>
      <c r="T144">
        <v>26</v>
      </c>
      <c r="U144">
        <v>6</v>
      </c>
      <c r="V144">
        <v>1</v>
      </c>
      <c r="W144">
        <v>58</v>
      </c>
      <c r="X144">
        <v>0</v>
      </c>
      <c r="Y144">
        <v>0</v>
      </c>
      <c r="Z144">
        <v>0</v>
      </c>
      <c r="AA144">
        <v>1</v>
      </c>
      <c r="AB144">
        <v>8</v>
      </c>
      <c r="AC144">
        <v>20</v>
      </c>
      <c r="AD144">
        <v>0</v>
      </c>
      <c r="AE144">
        <v>0</v>
      </c>
      <c r="AF144">
        <v>8</v>
      </c>
      <c r="AG144">
        <v>32</v>
      </c>
      <c r="AH144">
        <v>28</v>
      </c>
      <c r="AI144">
        <v>0</v>
      </c>
      <c r="AJ144">
        <v>34</v>
      </c>
      <c r="AK144">
        <v>0</v>
      </c>
      <c r="AL144">
        <v>0</v>
      </c>
      <c r="AM144">
        <v>95</v>
      </c>
      <c r="AN144">
        <v>83</v>
      </c>
      <c r="AO144">
        <v>75</v>
      </c>
      <c r="AQ144" t="str">
        <f t="shared" si="2"/>
        <v>Defensive Forward</v>
      </c>
    </row>
    <row r="145" spans="1:43" x14ac:dyDescent="0.35">
      <c r="A145" t="s">
        <v>166</v>
      </c>
      <c r="B145" t="s">
        <v>39</v>
      </c>
      <c r="C145" t="s">
        <v>1012</v>
      </c>
      <c r="D145">
        <v>1985</v>
      </c>
      <c r="E145">
        <v>29</v>
      </c>
      <c r="F145" t="s">
        <v>129</v>
      </c>
      <c r="G145" t="s">
        <v>167</v>
      </c>
      <c r="H145">
        <v>9000000</v>
      </c>
      <c r="I145">
        <v>7200000</v>
      </c>
      <c r="J145" t="s">
        <v>52</v>
      </c>
      <c r="K145">
        <v>14</v>
      </c>
      <c r="L145">
        <v>855</v>
      </c>
      <c r="M145">
        <v>0</v>
      </c>
      <c r="N145">
        <v>584</v>
      </c>
      <c r="O145">
        <v>3</v>
      </c>
      <c r="P145">
        <v>1</v>
      </c>
      <c r="Q145">
        <v>0</v>
      </c>
      <c r="R145">
        <v>6</v>
      </c>
      <c r="S145">
        <v>2</v>
      </c>
      <c r="T145">
        <v>6</v>
      </c>
      <c r="U145">
        <v>1</v>
      </c>
      <c r="V145">
        <v>0</v>
      </c>
      <c r="W145">
        <v>8</v>
      </c>
      <c r="X145">
        <v>0</v>
      </c>
      <c r="Y145">
        <v>0</v>
      </c>
      <c r="Z145">
        <v>0</v>
      </c>
      <c r="AA145">
        <v>2</v>
      </c>
      <c r="AB145">
        <v>1</v>
      </c>
      <c r="AC145">
        <v>0</v>
      </c>
      <c r="AD145">
        <v>0</v>
      </c>
      <c r="AE145">
        <v>35</v>
      </c>
      <c r="AF145">
        <v>6</v>
      </c>
      <c r="AG145">
        <v>15</v>
      </c>
      <c r="AH145">
        <v>16</v>
      </c>
      <c r="AI145">
        <v>0</v>
      </c>
      <c r="AJ145">
        <v>27</v>
      </c>
      <c r="AK145">
        <v>0</v>
      </c>
      <c r="AL145">
        <v>0</v>
      </c>
      <c r="AM145">
        <v>18</v>
      </c>
      <c r="AN145">
        <v>18</v>
      </c>
      <c r="AO145">
        <v>8</v>
      </c>
      <c r="AQ145" t="str">
        <f t="shared" si="2"/>
        <v>Defensive Forward</v>
      </c>
    </row>
    <row r="146" spans="1:43" x14ac:dyDescent="0.35">
      <c r="A146" t="s">
        <v>166</v>
      </c>
      <c r="B146" t="s">
        <v>47</v>
      </c>
      <c r="C146" t="s">
        <v>1013</v>
      </c>
      <c r="D146">
        <v>1985</v>
      </c>
      <c r="E146">
        <v>30</v>
      </c>
      <c r="F146" t="s">
        <v>129</v>
      </c>
      <c r="G146" t="s">
        <v>167</v>
      </c>
      <c r="H146">
        <v>7200000</v>
      </c>
      <c r="I146">
        <v>9000000</v>
      </c>
      <c r="J146" t="s">
        <v>52</v>
      </c>
      <c r="K146">
        <v>28</v>
      </c>
      <c r="L146">
        <v>2483</v>
      </c>
      <c r="M146">
        <v>1</v>
      </c>
      <c r="N146">
        <v>1370</v>
      </c>
      <c r="O146">
        <v>3</v>
      </c>
      <c r="P146">
        <v>5</v>
      </c>
      <c r="Q146">
        <v>0</v>
      </c>
      <c r="R146">
        <v>0</v>
      </c>
      <c r="S146">
        <v>0</v>
      </c>
      <c r="T146">
        <v>9</v>
      </c>
      <c r="U146">
        <v>4</v>
      </c>
      <c r="V146">
        <v>0</v>
      </c>
      <c r="W146">
        <v>27</v>
      </c>
      <c r="X146">
        <v>0</v>
      </c>
      <c r="Y146">
        <v>0</v>
      </c>
      <c r="Z146">
        <v>0</v>
      </c>
      <c r="AA146">
        <v>7</v>
      </c>
      <c r="AB146">
        <v>0</v>
      </c>
      <c r="AC146">
        <v>1</v>
      </c>
      <c r="AD146">
        <v>3</v>
      </c>
      <c r="AE146">
        <v>142</v>
      </c>
      <c r="AF146">
        <v>7</v>
      </c>
      <c r="AG146">
        <v>43</v>
      </c>
      <c r="AH146">
        <v>33</v>
      </c>
      <c r="AI146">
        <v>0</v>
      </c>
      <c r="AJ146">
        <v>67</v>
      </c>
      <c r="AK146">
        <v>0</v>
      </c>
      <c r="AL146">
        <v>0</v>
      </c>
      <c r="AM146">
        <v>58</v>
      </c>
      <c r="AN146">
        <v>22</v>
      </c>
      <c r="AO146">
        <v>25</v>
      </c>
      <c r="AQ146" t="str">
        <f t="shared" si="2"/>
        <v>Defensive Forward</v>
      </c>
    </row>
    <row r="147" spans="1:43" x14ac:dyDescent="0.35">
      <c r="A147" t="s">
        <v>166</v>
      </c>
      <c r="B147" t="s">
        <v>43</v>
      </c>
      <c r="C147" t="s">
        <v>1014</v>
      </c>
      <c r="D147">
        <v>1985</v>
      </c>
      <c r="E147">
        <v>32</v>
      </c>
      <c r="F147" t="s">
        <v>129</v>
      </c>
      <c r="G147" t="s">
        <v>167</v>
      </c>
      <c r="H147">
        <v>9000000</v>
      </c>
      <c r="I147">
        <v>4500000</v>
      </c>
      <c r="J147" t="s">
        <v>52</v>
      </c>
      <c r="K147">
        <v>31</v>
      </c>
      <c r="L147">
        <v>2742</v>
      </c>
      <c r="M147">
        <v>3</v>
      </c>
      <c r="N147">
        <v>1602</v>
      </c>
      <c r="O147">
        <v>1</v>
      </c>
      <c r="P147">
        <v>7</v>
      </c>
      <c r="Q147">
        <v>0</v>
      </c>
      <c r="R147">
        <v>0</v>
      </c>
      <c r="S147">
        <v>3</v>
      </c>
      <c r="T147">
        <v>16</v>
      </c>
      <c r="U147">
        <v>3</v>
      </c>
      <c r="V147">
        <v>0</v>
      </c>
      <c r="W147">
        <v>25</v>
      </c>
      <c r="X147">
        <v>0</v>
      </c>
      <c r="Y147">
        <v>0</v>
      </c>
      <c r="Z147">
        <v>0</v>
      </c>
      <c r="AA147">
        <v>4</v>
      </c>
      <c r="AB147">
        <v>3</v>
      </c>
      <c r="AC147">
        <v>13</v>
      </c>
      <c r="AD147">
        <v>0</v>
      </c>
      <c r="AE147">
        <v>79</v>
      </c>
      <c r="AF147">
        <v>6</v>
      </c>
      <c r="AG147">
        <v>48</v>
      </c>
      <c r="AH147">
        <v>38</v>
      </c>
      <c r="AI147">
        <v>0</v>
      </c>
      <c r="AJ147">
        <v>57</v>
      </c>
      <c r="AK147">
        <v>0</v>
      </c>
      <c r="AL147">
        <v>0</v>
      </c>
      <c r="AM147">
        <v>60</v>
      </c>
      <c r="AN147">
        <v>22</v>
      </c>
      <c r="AO147">
        <v>25</v>
      </c>
      <c r="AQ147" t="str">
        <f t="shared" si="2"/>
        <v>Defensive Forward</v>
      </c>
    </row>
    <row r="148" spans="1:43" x14ac:dyDescent="0.35">
      <c r="A148" t="s">
        <v>168</v>
      </c>
      <c r="B148" t="s">
        <v>46</v>
      </c>
      <c r="C148" t="s">
        <v>1015</v>
      </c>
      <c r="D148">
        <v>1989</v>
      </c>
      <c r="E148">
        <v>29</v>
      </c>
      <c r="F148" t="s">
        <v>169</v>
      </c>
      <c r="G148" t="s">
        <v>170</v>
      </c>
      <c r="H148">
        <v>2250000</v>
      </c>
      <c r="I148">
        <v>1900000</v>
      </c>
      <c r="J148" t="s">
        <v>52</v>
      </c>
      <c r="K148">
        <v>28</v>
      </c>
      <c r="L148">
        <v>2275</v>
      </c>
      <c r="M148">
        <v>1</v>
      </c>
      <c r="N148">
        <v>749</v>
      </c>
      <c r="O148">
        <v>1</v>
      </c>
      <c r="P148">
        <v>5</v>
      </c>
      <c r="Q148">
        <v>0</v>
      </c>
      <c r="R148">
        <v>1</v>
      </c>
      <c r="S148">
        <v>9</v>
      </c>
      <c r="T148">
        <v>20</v>
      </c>
      <c r="U148">
        <v>4</v>
      </c>
      <c r="V148">
        <v>0</v>
      </c>
      <c r="W148">
        <v>22</v>
      </c>
      <c r="X148">
        <v>0</v>
      </c>
      <c r="Y148">
        <v>0</v>
      </c>
      <c r="Z148">
        <v>0</v>
      </c>
      <c r="AA148">
        <v>0</v>
      </c>
      <c r="AB148">
        <v>4</v>
      </c>
      <c r="AC148">
        <v>16</v>
      </c>
      <c r="AD148">
        <v>0</v>
      </c>
      <c r="AE148">
        <v>12</v>
      </c>
      <c r="AF148">
        <v>12</v>
      </c>
      <c r="AG148">
        <v>38</v>
      </c>
      <c r="AH148">
        <v>26</v>
      </c>
      <c r="AI148">
        <v>0</v>
      </c>
      <c r="AJ148">
        <v>51</v>
      </c>
      <c r="AK148">
        <v>0</v>
      </c>
      <c r="AL148">
        <v>0</v>
      </c>
      <c r="AM148">
        <v>54</v>
      </c>
      <c r="AN148">
        <v>47</v>
      </c>
      <c r="AO148">
        <v>33</v>
      </c>
      <c r="AQ148" t="str">
        <f t="shared" si="2"/>
        <v>Defensive Forward</v>
      </c>
    </row>
    <row r="149" spans="1:43" x14ac:dyDescent="0.35">
      <c r="A149" t="s">
        <v>171</v>
      </c>
      <c r="B149" t="s">
        <v>39</v>
      </c>
      <c r="C149" t="s">
        <v>1016</v>
      </c>
      <c r="D149">
        <v>1983</v>
      </c>
      <c r="E149">
        <v>31</v>
      </c>
      <c r="F149" t="s">
        <v>54</v>
      </c>
      <c r="G149" t="s">
        <v>172</v>
      </c>
      <c r="H149">
        <v>1350000</v>
      </c>
      <c r="I149">
        <v>2250000</v>
      </c>
      <c r="J149" t="s">
        <v>42</v>
      </c>
      <c r="K149">
        <v>25</v>
      </c>
      <c r="L149">
        <v>1458</v>
      </c>
      <c r="M149">
        <v>5</v>
      </c>
      <c r="N149">
        <v>580</v>
      </c>
      <c r="O149">
        <v>4</v>
      </c>
      <c r="P149">
        <v>1</v>
      </c>
      <c r="Q149">
        <v>0</v>
      </c>
      <c r="R149">
        <v>9</v>
      </c>
      <c r="S149">
        <v>10</v>
      </c>
      <c r="T149">
        <v>36</v>
      </c>
      <c r="U149">
        <v>14</v>
      </c>
      <c r="V149">
        <v>0</v>
      </c>
      <c r="W149">
        <v>4</v>
      </c>
      <c r="X149">
        <v>1</v>
      </c>
      <c r="Y149">
        <v>0</v>
      </c>
      <c r="Z149">
        <v>0</v>
      </c>
      <c r="AA149">
        <v>4</v>
      </c>
      <c r="AB149">
        <v>2</v>
      </c>
      <c r="AC149">
        <v>6</v>
      </c>
      <c r="AD149">
        <v>0</v>
      </c>
      <c r="AE149">
        <v>9</v>
      </c>
      <c r="AF149">
        <v>1</v>
      </c>
      <c r="AG149">
        <v>9</v>
      </c>
      <c r="AH149">
        <v>15</v>
      </c>
      <c r="AI149">
        <v>0</v>
      </c>
      <c r="AJ149">
        <v>25</v>
      </c>
      <c r="AK149">
        <v>0</v>
      </c>
      <c r="AL149">
        <v>0</v>
      </c>
      <c r="AM149">
        <v>7</v>
      </c>
      <c r="AN149">
        <v>15</v>
      </c>
      <c r="AO149">
        <v>46</v>
      </c>
      <c r="AQ149" t="str">
        <f t="shared" si="2"/>
        <v>Forward</v>
      </c>
    </row>
    <row r="150" spans="1:43" x14ac:dyDescent="0.35">
      <c r="A150" t="s">
        <v>173</v>
      </c>
      <c r="B150" t="s">
        <v>43</v>
      </c>
      <c r="C150" t="s">
        <v>1017</v>
      </c>
      <c r="D150">
        <v>1993</v>
      </c>
      <c r="E150">
        <v>24</v>
      </c>
      <c r="F150" t="s">
        <v>50</v>
      </c>
      <c r="G150" t="s">
        <v>174</v>
      </c>
      <c r="H150">
        <v>6300000</v>
      </c>
      <c r="I150">
        <v>6300000</v>
      </c>
      <c r="J150" t="s">
        <v>52</v>
      </c>
      <c r="K150">
        <v>27</v>
      </c>
      <c r="L150">
        <v>1871</v>
      </c>
      <c r="M150">
        <v>0</v>
      </c>
      <c r="N150">
        <v>683</v>
      </c>
      <c r="O150">
        <v>3</v>
      </c>
      <c r="P150">
        <v>5</v>
      </c>
      <c r="Q150">
        <v>0</v>
      </c>
      <c r="R150">
        <v>6</v>
      </c>
      <c r="S150">
        <v>8</v>
      </c>
      <c r="T150">
        <v>3</v>
      </c>
      <c r="U150">
        <v>3</v>
      </c>
      <c r="V150">
        <v>0</v>
      </c>
      <c r="W150">
        <v>11</v>
      </c>
      <c r="X150">
        <v>0</v>
      </c>
      <c r="Y150">
        <v>0</v>
      </c>
      <c r="Z150">
        <v>0</v>
      </c>
      <c r="AA150">
        <v>2</v>
      </c>
      <c r="AB150">
        <v>1</v>
      </c>
      <c r="AC150">
        <v>0</v>
      </c>
      <c r="AD150">
        <v>0</v>
      </c>
      <c r="AE150">
        <v>100</v>
      </c>
      <c r="AF150">
        <v>2</v>
      </c>
      <c r="AG150">
        <v>26</v>
      </c>
      <c r="AH150">
        <v>30</v>
      </c>
      <c r="AI150">
        <v>0</v>
      </c>
      <c r="AJ150">
        <v>58</v>
      </c>
      <c r="AK150">
        <v>0</v>
      </c>
      <c r="AL150">
        <v>0</v>
      </c>
      <c r="AM150">
        <v>33</v>
      </c>
      <c r="AN150">
        <v>23</v>
      </c>
      <c r="AO150">
        <v>20</v>
      </c>
      <c r="AQ150" t="str">
        <f t="shared" si="2"/>
        <v>Defensive Forward</v>
      </c>
    </row>
    <row r="151" spans="1:43" x14ac:dyDescent="0.35">
      <c r="A151" t="s">
        <v>173</v>
      </c>
      <c r="B151" t="s">
        <v>47</v>
      </c>
      <c r="C151" t="s">
        <v>1018</v>
      </c>
      <c r="D151">
        <v>1993</v>
      </c>
      <c r="E151">
        <v>22</v>
      </c>
      <c r="F151" t="s">
        <v>50</v>
      </c>
      <c r="G151" t="s">
        <v>174</v>
      </c>
      <c r="H151">
        <v>6300000</v>
      </c>
      <c r="I151">
        <v>6300000</v>
      </c>
      <c r="J151" t="s">
        <v>52</v>
      </c>
      <c r="K151">
        <v>13</v>
      </c>
      <c r="L151">
        <v>971</v>
      </c>
      <c r="M151">
        <v>0</v>
      </c>
      <c r="N151">
        <v>468</v>
      </c>
      <c r="O151">
        <v>1</v>
      </c>
      <c r="P151">
        <v>1</v>
      </c>
      <c r="Q151">
        <v>0</v>
      </c>
      <c r="R151">
        <v>2</v>
      </c>
      <c r="S151">
        <v>2</v>
      </c>
      <c r="T151">
        <v>4</v>
      </c>
      <c r="U151">
        <v>0</v>
      </c>
      <c r="V151">
        <v>0</v>
      </c>
      <c r="W151">
        <v>15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30</v>
      </c>
      <c r="AF151">
        <v>1</v>
      </c>
      <c r="AG151">
        <v>26</v>
      </c>
      <c r="AH151">
        <v>16</v>
      </c>
      <c r="AI151">
        <v>0</v>
      </c>
      <c r="AJ151">
        <v>40</v>
      </c>
      <c r="AK151">
        <v>0</v>
      </c>
      <c r="AL151">
        <v>0</v>
      </c>
      <c r="AM151">
        <v>27</v>
      </c>
      <c r="AN151">
        <v>16</v>
      </c>
      <c r="AO151">
        <v>15</v>
      </c>
      <c r="AQ151" t="str">
        <f t="shared" si="2"/>
        <v>Defensive Forward</v>
      </c>
    </row>
    <row r="152" spans="1:43" x14ac:dyDescent="0.35">
      <c r="A152" t="s">
        <v>173</v>
      </c>
      <c r="B152" t="s">
        <v>46</v>
      </c>
      <c r="C152" t="s">
        <v>1019</v>
      </c>
      <c r="D152">
        <v>1993</v>
      </c>
      <c r="E152">
        <v>24</v>
      </c>
      <c r="F152" t="s">
        <v>50</v>
      </c>
      <c r="G152" t="s">
        <v>174</v>
      </c>
      <c r="H152">
        <v>6300000</v>
      </c>
      <c r="I152">
        <v>6300000</v>
      </c>
      <c r="J152" t="s">
        <v>52</v>
      </c>
      <c r="K152">
        <v>23</v>
      </c>
      <c r="L152">
        <v>1757</v>
      </c>
      <c r="M152">
        <v>0</v>
      </c>
      <c r="N152">
        <v>880</v>
      </c>
      <c r="O152">
        <v>1</v>
      </c>
      <c r="P152">
        <v>2</v>
      </c>
      <c r="Q152">
        <v>0</v>
      </c>
      <c r="R152">
        <v>4</v>
      </c>
      <c r="S152">
        <v>1</v>
      </c>
      <c r="T152">
        <v>4</v>
      </c>
      <c r="U152">
        <v>1</v>
      </c>
      <c r="V152">
        <v>0</v>
      </c>
      <c r="W152">
        <v>33</v>
      </c>
      <c r="X152">
        <v>0</v>
      </c>
      <c r="Y152">
        <v>0</v>
      </c>
      <c r="Z152">
        <v>0</v>
      </c>
      <c r="AA152">
        <v>0</v>
      </c>
      <c r="AB152">
        <v>1</v>
      </c>
      <c r="AC152">
        <v>3</v>
      </c>
      <c r="AD152">
        <v>1</v>
      </c>
      <c r="AE152">
        <v>37</v>
      </c>
      <c r="AF152">
        <v>6</v>
      </c>
      <c r="AG152">
        <v>36</v>
      </c>
      <c r="AH152">
        <v>16</v>
      </c>
      <c r="AI152">
        <v>0</v>
      </c>
      <c r="AJ152">
        <v>57</v>
      </c>
      <c r="AK152">
        <v>0</v>
      </c>
      <c r="AL152">
        <v>0</v>
      </c>
      <c r="AM152">
        <v>56</v>
      </c>
      <c r="AN152">
        <v>21</v>
      </c>
      <c r="AO152">
        <v>21</v>
      </c>
      <c r="AQ152" t="str">
        <f t="shared" si="2"/>
        <v>Defensive Forward</v>
      </c>
    </row>
    <row r="153" spans="1:43" x14ac:dyDescent="0.35">
      <c r="A153" t="s">
        <v>175</v>
      </c>
      <c r="B153" t="s">
        <v>47</v>
      </c>
      <c r="C153" t="s">
        <v>1020</v>
      </c>
      <c r="D153">
        <v>1989</v>
      </c>
      <c r="E153">
        <v>26</v>
      </c>
      <c r="F153" t="s">
        <v>56</v>
      </c>
      <c r="G153" t="s">
        <v>112</v>
      </c>
      <c r="H153">
        <v>2200000</v>
      </c>
      <c r="I153">
        <v>2250000</v>
      </c>
      <c r="J153" t="s">
        <v>42</v>
      </c>
      <c r="K153">
        <v>28</v>
      </c>
      <c r="L153">
        <v>1775</v>
      </c>
      <c r="M153">
        <v>6</v>
      </c>
      <c r="N153">
        <v>448</v>
      </c>
      <c r="O153">
        <v>2</v>
      </c>
      <c r="P153">
        <v>6</v>
      </c>
      <c r="Q153">
        <v>1</v>
      </c>
      <c r="R153">
        <v>8</v>
      </c>
      <c r="S153">
        <v>12</v>
      </c>
      <c r="T153">
        <v>45</v>
      </c>
      <c r="U153">
        <v>19</v>
      </c>
      <c r="V153">
        <v>0</v>
      </c>
      <c r="W153">
        <v>15</v>
      </c>
      <c r="X153">
        <v>0</v>
      </c>
      <c r="Y153">
        <v>2</v>
      </c>
      <c r="Z153">
        <v>0</v>
      </c>
      <c r="AA153">
        <v>21</v>
      </c>
      <c r="AB153">
        <v>3</v>
      </c>
      <c r="AC153">
        <v>2</v>
      </c>
      <c r="AD153">
        <v>0</v>
      </c>
      <c r="AE153">
        <v>7</v>
      </c>
      <c r="AF153">
        <v>8</v>
      </c>
      <c r="AG153">
        <v>4</v>
      </c>
      <c r="AH153">
        <v>53</v>
      </c>
      <c r="AI153">
        <v>0</v>
      </c>
      <c r="AJ153">
        <v>21</v>
      </c>
      <c r="AK153">
        <v>0</v>
      </c>
      <c r="AL153">
        <v>0</v>
      </c>
      <c r="AM153">
        <v>25</v>
      </c>
      <c r="AN153">
        <v>101</v>
      </c>
      <c r="AO153">
        <v>175</v>
      </c>
      <c r="AQ153" t="str">
        <f t="shared" si="2"/>
        <v>Forward</v>
      </c>
    </row>
    <row r="154" spans="1:43" x14ac:dyDescent="0.35">
      <c r="A154" t="s">
        <v>175</v>
      </c>
      <c r="B154" t="s">
        <v>43</v>
      </c>
      <c r="C154" t="s">
        <v>1021</v>
      </c>
      <c r="D154">
        <v>1989</v>
      </c>
      <c r="E154">
        <v>28</v>
      </c>
      <c r="F154" t="s">
        <v>56</v>
      </c>
      <c r="G154" t="s">
        <v>112</v>
      </c>
      <c r="H154">
        <v>2250000</v>
      </c>
      <c r="I154">
        <v>7200000</v>
      </c>
      <c r="J154" t="s">
        <v>42</v>
      </c>
      <c r="K154">
        <v>36</v>
      </c>
      <c r="L154">
        <v>2157</v>
      </c>
      <c r="M154">
        <v>9</v>
      </c>
      <c r="N154">
        <v>510</v>
      </c>
      <c r="O154">
        <v>0</v>
      </c>
      <c r="P154">
        <v>10</v>
      </c>
      <c r="Q154">
        <v>0</v>
      </c>
      <c r="R154">
        <v>15</v>
      </c>
      <c r="S154">
        <v>7</v>
      </c>
      <c r="T154">
        <v>60</v>
      </c>
      <c r="U154">
        <v>22</v>
      </c>
      <c r="V154">
        <v>0</v>
      </c>
      <c r="W154">
        <v>12</v>
      </c>
      <c r="X154">
        <v>1</v>
      </c>
      <c r="Y154">
        <v>0</v>
      </c>
      <c r="Z154">
        <v>0</v>
      </c>
      <c r="AA154">
        <v>26</v>
      </c>
      <c r="AB154">
        <v>3</v>
      </c>
      <c r="AC154">
        <v>38</v>
      </c>
      <c r="AD154">
        <v>0</v>
      </c>
      <c r="AE154">
        <v>16</v>
      </c>
      <c r="AF154">
        <v>5</v>
      </c>
      <c r="AG154">
        <v>2</v>
      </c>
      <c r="AH154">
        <v>53</v>
      </c>
      <c r="AI154">
        <v>0</v>
      </c>
      <c r="AJ154">
        <v>21</v>
      </c>
      <c r="AK154">
        <v>0</v>
      </c>
      <c r="AL154">
        <v>0</v>
      </c>
      <c r="AM154">
        <v>18</v>
      </c>
      <c r="AN154">
        <v>89</v>
      </c>
      <c r="AO154">
        <v>227</v>
      </c>
      <c r="AQ154" t="str">
        <f t="shared" si="2"/>
        <v>Forward</v>
      </c>
    </row>
    <row r="155" spans="1:43" x14ac:dyDescent="0.35">
      <c r="A155" t="s">
        <v>175</v>
      </c>
      <c r="B155" t="s">
        <v>46</v>
      </c>
      <c r="C155" t="s">
        <v>1022</v>
      </c>
      <c r="D155">
        <v>1989</v>
      </c>
      <c r="E155">
        <v>28</v>
      </c>
      <c r="F155" t="s">
        <v>56</v>
      </c>
      <c r="G155" t="s">
        <v>112</v>
      </c>
      <c r="H155">
        <v>7200000</v>
      </c>
      <c r="I155">
        <v>9000000</v>
      </c>
      <c r="J155" t="s">
        <v>42</v>
      </c>
      <c r="K155">
        <v>37</v>
      </c>
      <c r="L155">
        <v>2386</v>
      </c>
      <c r="M155">
        <v>12</v>
      </c>
      <c r="N155">
        <v>518</v>
      </c>
      <c r="O155">
        <v>2</v>
      </c>
      <c r="P155">
        <v>8</v>
      </c>
      <c r="Q155">
        <v>0</v>
      </c>
      <c r="R155">
        <v>11</v>
      </c>
      <c r="S155">
        <v>10</v>
      </c>
      <c r="T155">
        <v>65</v>
      </c>
      <c r="U155">
        <v>30</v>
      </c>
      <c r="V155">
        <v>2</v>
      </c>
      <c r="W155">
        <v>16</v>
      </c>
      <c r="X155">
        <v>2</v>
      </c>
      <c r="Y155">
        <v>2</v>
      </c>
      <c r="Z155">
        <v>0</v>
      </c>
      <c r="AA155">
        <v>22</v>
      </c>
      <c r="AB155">
        <v>5</v>
      </c>
      <c r="AC155">
        <v>35</v>
      </c>
      <c r="AD155">
        <v>1</v>
      </c>
      <c r="AE155">
        <v>6</v>
      </c>
      <c r="AF155">
        <v>8</v>
      </c>
      <c r="AG155">
        <v>2</v>
      </c>
      <c r="AH155">
        <v>54</v>
      </c>
      <c r="AI155">
        <v>0</v>
      </c>
      <c r="AJ155">
        <v>28</v>
      </c>
      <c r="AK155">
        <v>0</v>
      </c>
      <c r="AL155">
        <v>1</v>
      </c>
      <c r="AM155">
        <v>24</v>
      </c>
      <c r="AN155">
        <v>132</v>
      </c>
      <c r="AO155">
        <v>228</v>
      </c>
      <c r="AQ155" t="str">
        <f t="shared" si="2"/>
        <v>Forward</v>
      </c>
    </row>
    <row r="156" spans="1:43" x14ac:dyDescent="0.35">
      <c r="A156" t="s">
        <v>176</v>
      </c>
      <c r="B156" t="s">
        <v>47</v>
      </c>
      <c r="C156" t="s">
        <v>1023</v>
      </c>
      <c r="D156">
        <v>1995</v>
      </c>
      <c r="E156">
        <v>20</v>
      </c>
      <c r="F156" t="s">
        <v>50</v>
      </c>
      <c r="G156" t="s">
        <v>51</v>
      </c>
      <c r="H156">
        <v>550000</v>
      </c>
      <c r="I156">
        <v>3150000</v>
      </c>
      <c r="J156" t="s">
        <v>42</v>
      </c>
      <c r="K156">
        <v>16</v>
      </c>
      <c r="L156">
        <v>354</v>
      </c>
      <c r="M156">
        <v>0</v>
      </c>
      <c r="N156">
        <v>91</v>
      </c>
      <c r="O156">
        <v>0</v>
      </c>
      <c r="P156">
        <v>2</v>
      </c>
      <c r="Q156">
        <v>0</v>
      </c>
      <c r="R156">
        <v>14</v>
      </c>
      <c r="S156">
        <v>0</v>
      </c>
      <c r="T156">
        <v>9</v>
      </c>
      <c r="U156">
        <v>5</v>
      </c>
      <c r="V156">
        <v>0</v>
      </c>
      <c r="W156">
        <v>3</v>
      </c>
      <c r="X156">
        <v>0</v>
      </c>
      <c r="Y156">
        <v>0</v>
      </c>
      <c r="Z156">
        <v>0</v>
      </c>
      <c r="AA156">
        <v>1</v>
      </c>
      <c r="AB156">
        <v>0</v>
      </c>
      <c r="AC156">
        <v>1</v>
      </c>
      <c r="AD156">
        <v>0</v>
      </c>
      <c r="AE156">
        <v>6</v>
      </c>
      <c r="AF156">
        <v>0</v>
      </c>
      <c r="AG156">
        <v>0</v>
      </c>
      <c r="AH156">
        <v>9</v>
      </c>
      <c r="AI156">
        <v>0</v>
      </c>
      <c r="AJ156">
        <v>3</v>
      </c>
      <c r="AK156">
        <v>0</v>
      </c>
      <c r="AL156">
        <v>0</v>
      </c>
      <c r="AM156">
        <v>3</v>
      </c>
      <c r="AN156">
        <v>12</v>
      </c>
      <c r="AO156">
        <v>27</v>
      </c>
      <c r="AQ156" t="str">
        <f t="shared" si="2"/>
        <v>Forward</v>
      </c>
    </row>
    <row r="157" spans="1:43" x14ac:dyDescent="0.35">
      <c r="A157" t="s">
        <v>177</v>
      </c>
      <c r="B157" t="s">
        <v>39</v>
      </c>
      <c r="C157" t="s">
        <v>1024</v>
      </c>
      <c r="D157">
        <v>1990</v>
      </c>
      <c r="E157">
        <v>25</v>
      </c>
      <c r="F157" t="s">
        <v>89</v>
      </c>
      <c r="G157" t="s">
        <v>51</v>
      </c>
      <c r="H157">
        <v>4400000</v>
      </c>
      <c r="I157">
        <v>4400000</v>
      </c>
      <c r="J157" t="s">
        <v>55</v>
      </c>
      <c r="K157">
        <v>30</v>
      </c>
      <c r="L157">
        <v>2719</v>
      </c>
      <c r="M157">
        <v>2</v>
      </c>
      <c r="N157">
        <v>1512</v>
      </c>
      <c r="O157">
        <v>2</v>
      </c>
      <c r="P157">
        <v>6</v>
      </c>
      <c r="Q157">
        <v>0</v>
      </c>
      <c r="R157">
        <v>0</v>
      </c>
      <c r="S157">
        <v>3</v>
      </c>
      <c r="T157">
        <v>38</v>
      </c>
      <c r="U157">
        <v>9</v>
      </c>
      <c r="V157">
        <v>0</v>
      </c>
      <c r="W157">
        <v>8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53</v>
      </c>
      <c r="AE157">
        <v>94</v>
      </c>
      <c r="AF157">
        <v>12</v>
      </c>
      <c r="AG157">
        <v>58</v>
      </c>
      <c r="AH157">
        <v>30</v>
      </c>
      <c r="AI157">
        <v>0</v>
      </c>
      <c r="AJ157">
        <v>62</v>
      </c>
      <c r="AK157">
        <v>0</v>
      </c>
      <c r="AL157">
        <v>0</v>
      </c>
      <c r="AM157">
        <v>23</v>
      </c>
      <c r="AN157">
        <v>6</v>
      </c>
      <c r="AO157">
        <v>20</v>
      </c>
      <c r="AQ157" t="str">
        <f t="shared" si="2"/>
        <v>Midfielder</v>
      </c>
    </row>
    <row r="158" spans="1:43" x14ac:dyDescent="0.35">
      <c r="A158" t="s">
        <v>177</v>
      </c>
      <c r="B158" t="s">
        <v>46</v>
      </c>
      <c r="C158" t="s">
        <v>1025</v>
      </c>
      <c r="D158">
        <v>1990</v>
      </c>
      <c r="E158">
        <v>28</v>
      </c>
      <c r="F158" t="s">
        <v>56</v>
      </c>
      <c r="G158" t="s">
        <v>51</v>
      </c>
      <c r="H158">
        <v>4400000</v>
      </c>
      <c r="I158">
        <v>7700000</v>
      </c>
      <c r="J158" t="s">
        <v>55</v>
      </c>
      <c r="K158">
        <v>34</v>
      </c>
      <c r="L158">
        <v>2822</v>
      </c>
      <c r="M158">
        <v>2</v>
      </c>
      <c r="N158">
        <v>1419</v>
      </c>
      <c r="O158">
        <v>7</v>
      </c>
      <c r="P158">
        <v>5</v>
      </c>
      <c r="Q158">
        <v>0</v>
      </c>
      <c r="R158">
        <v>3</v>
      </c>
      <c r="S158">
        <v>0</v>
      </c>
      <c r="T158">
        <v>22</v>
      </c>
      <c r="U158">
        <v>7</v>
      </c>
      <c r="V158">
        <v>0</v>
      </c>
      <c r="W158">
        <v>10</v>
      </c>
      <c r="X158">
        <v>0</v>
      </c>
      <c r="Y158">
        <v>0</v>
      </c>
      <c r="Z158">
        <v>0</v>
      </c>
      <c r="AA158">
        <v>1</v>
      </c>
      <c r="AB158">
        <v>5</v>
      </c>
      <c r="AC158">
        <v>15</v>
      </c>
      <c r="AD158">
        <v>43</v>
      </c>
      <c r="AE158">
        <v>87</v>
      </c>
      <c r="AF158">
        <v>9</v>
      </c>
      <c r="AG158">
        <v>46</v>
      </c>
      <c r="AH158">
        <v>30</v>
      </c>
      <c r="AI158">
        <v>0</v>
      </c>
      <c r="AJ158">
        <v>59</v>
      </c>
      <c r="AK158">
        <v>0</v>
      </c>
      <c r="AL158">
        <v>0</v>
      </c>
      <c r="AM158">
        <v>40</v>
      </c>
      <c r="AN158">
        <v>20</v>
      </c>
      <c r="AO158">
        <v>18</v>
      </c>
      <c r="AQ158" t="str">
        <f t="shared" si="2"/>
        <v>Midfielder</v>
      </c>
    </row>
    <row r="159" spans="1:43" x14ac:dyDescent="0.35">
      <c r="A159" t="s">
        <v>177</v>
      </c>
      <c r="B159" t="s">
        <v>43</v>
      </c>
      <c r="C159" t="s">
        <v>1026</v>
      </c>
      <c r="D159">
        <v>1990</v>
      </c>
      <c r="E159">
        <v>27</v>
      </c>
      <c r="F159" t="s">
        <v>56</v>
      </c>
      <c r="G159" t="s">
        <v>51</v>
      </c>
      <c r="H159">
        <v>4400000</v>
      </c>
      <c r="I159">
        <v>4400000</v>
      </c>
      <c r="J159" t="s">
        <v>55</v>
      </c>
      <c r="K159">
        <v>19</v>
      </c>
      <c r="L159">
        <v>1107</v>
      </c>
      <c r="M159">
        <v>0</v>
      </c>
      <c r="N159">
        <v>599</v>
      </c>
      <c r="O159">
        <v>1</v>
      </c>
      <c r="P159">
        <v>2</v>
      </c>
      <c r="Q159">
        <v>0</v>
      </c>
      <c r="R159">
        <v>7</v>
      </c>
      <c r="S159">
        <v>2</v>
      </c>
      <c r="T159">
        <v>1</v>
      </c>
      <c r="U159">
        <v>1</v>
      </c>
      <c r="V159">
        <v>0</v>
      </c>
      <c r="W159">
        <v>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2</v>
      </c>
      <c r="AE159">
        <v>13</v>
      </c>
      <c r="AF159">
        <v>9</v>
      </c>
      <c r="AG159">
        <v>19</v>
      </c>
      <c r="AH159">
        <v>13</v>
      </c>
      <c r="AI159">
        <v>0</v>
      </c>
      <c r="AJ159">
        <v>13</v>
      </c>
      <c r="AK159">
        <v>0</v>
      </c>
      <c r="AL159">
        <v>0</v>
      </c>
      <c r="AM159">
        <v>16</v>
      </c>
      <c r="AN159">
        <v>10</v>
      </c>
      <c r="AO159">
        <v>5</v>
      </c>
      <c r="AQ159" t="str">
        <f t="shared" si="2"/>
        <v>Midfielder</v>
      </c>
    </row>
    <row r="160" spans="1:43" x14ac:dyDescent="0.35">
      <c r="A160" t="s">
        <v>178</v>
      </c>
      <c r="B160" t="s">
        <v>39</v>
      </c>
      <c r="C160" t="s">
        <v>1027</v>
      </c>
      <c r="D160">
        <v>1984</v>
      </c>
      <c r="E160">
        <v>30</v>
      </c>
      <c r="F160" t="s">
        <v>40</v>
      </c>
      <c r="G160" t="s">
        <v>62</v>
      </c>
      <c r="H160">
        <v>5850000</v>
      </c>
      <c r="I160">
        <v>5850000</v>
      </c>
      <c r="J160" t="s">
        <v>52</v>
      </c>
      <c r="K160">
        <v>36</v>
      </c>
      <c r="L160">
        <v>3240</v>
      </c>
      <c r="M160">
        <v>2</v>
      </c>
      <c r="N160">
        <v>1883</v>
      </c>
      <c r="O160">
        <v>0</v>
      </c>
      <c r="P160">
        <v>8</v>
      </c>
      <c r="Q160">
        <v>0</v>
      </c>
      <c r="R160">
        <v>0</v>
      </c>
      <c r="S160">
        <v>0</v>
      </c>
      <c r="T160">
        <v>16</v>
      </c>
      <c r="U160">
        <v>0</v>
      </c>
      <c r="V160">
        <v>0</v>
      </c>
      <c r="W160">
        <v>172</v>
      </c>
      <c r="X160">
        <v>0</v>
      </c>
      <c r="Y160">
        <v>0</v>
      </c>
      <c r="Z160">
        <v>0</v>
      </c>
      <c r="AA160">
        <v>2</v>
      </c>
      <c r="AB160">
        <v>2</v>
      </c>
      <c r="AC160">
        <v>0</v>
      </c>
      <c r="AD160">
        <v>0</v>
      </c>
      <c r="AE160">
        <v>3</v>
      </c>
      <c r="AF160">
        <v>43</v>
      </c>
      <c r="AG160">
        <v>99</v>
      </c>
      <c r="AH160">
        <v>30</v>
      </c>
      <c r="AI160">
        <v>2</v>
      </c>
      <c r="AJ160">
        <v>68</v>
      </c>
      <c r="AK160">
        <v>0</v>
      </c>
      <c r="AL160">
        <v>0</v>
      </c>
      <c r="AM160">
        <v>314</v>
      </c>
      <c r="AN160">
        <v>73</v>
      </c>
      <c r="AO160">
        <v>53</v>
      </c>
      <c r="AQ160" t="str">
        <f t="shared" si="2"/>
        <v>Defensive Forward</v>
      </c>
    </row>
    <row r="161" spans="1:43" x14ac:dyDescent="0.35">
      <c r="A161" t="s">
        <v>178</v>
      </c>
      <c r="B161" t="s">
        <v>47</v>
      </c>
      <c r="C161" t="s">
        <v>1028</v>
      </c>
      <c r="D161">
        <v>1984</v>
      </c>
      <c r="E161">
        <v>31</v>
      </c>
      <c r="F161" t="s">
        <v>54</v>
      </c>
      <c r="G161" t="s">
        <v>62</v>
      </c>
      <c r="H161">
        <v>5850000</v>
      </c>
      <c r="I161">
        <v>7200000</v>
      </c>
      <c r="J161" t="s">
        <v>52</v>
      </c>
      <c r="K161">
        <v>36</v>
      </c>
      <c r="L161">
        <v>3158</v>
      </c>
      <c r="M161">
        <v>1</v>
      </c>
      <c r="N161">
        <v>1720</v>
      </c>
      <c r="O161">
        <v>3</v>
      </c>
      <c r="P161">
        <v>7</v>
      </c>
      <c r="Q161">
        <v>0</v>
      </c>
      <c r="R161">
        <v>0</v>
      </c>
      <c r="S161">
        <v>0</v>
      </c>
      <c r="T161">
        <v>15</v>
      </c>
      <c r="U161">
        <v>6</v>
      </c>
      <c r="V161">
        <v>0</v>
      </c>
      <c r="W161">
        <v>152</v>
      </c>
      <c r="X161">
        <v>0</v>
      </c>
      <c r="Y161">
        <v>0</v>
      </c>
      <c r="Z161">
        <v>0</v>
      </c>
      <c r="AA161">
        <v>3</v>
      </c>
      <c r="AB161">
        <v>0</v>
      </c>
      <c r="AC161">
        <v>0</v>
      </c>
      <c r="AD161">
        <v>0</v>
      </c>
      <c r="AE161">
        <v>0</v>
      </c>
      <c r="AF161">
        <v>27</v>
      </c>
      <c r="AG161">
        <v>57</v>
      </c>
      <c r="AH161">
        <v>38</v>
      </c>
      <c r="AI161">
        <v>0</v>
      </c>
      <c r="AJ161">
        <v>53</v>
      </c>
      <c r="AK161">
        <v>0</v>
      </c>
      <c r="AL161">
        <v>0</v>
      </c>
      <c r="AM161">
        <v>287</v>
      </c>
      <c r="AN161">
        <v>82</v>
      </c>
      <c r="AO161">
        <v>62</v>
      </c>
      <c r="AQ161" t="str">
        <f t="shared" si="2"/>
        <v>Defensive Forward</v>
      </c>
    </row>
    <row r="162" spans="1:43" x14ac:dyDescent="0.35">
      <c r="A162" t="s">
        <v>178</v>
      </c>
      <c r="B162" t="s">
        <v>43</v>
      </c>
      <c r="C162" t="s">
        <v>1029</v>
      </c>
      <c r="D162">
        <v>1984</v>
      </c>
      <c r="E162">
        <v>32</v>
      </c>
      <c r="F162" t="s">
        <v>54</v>
      </c>
      <c r="G162" t="s">
        <v>62</v>
      </c>
      <c r="H162">
        <v>7200000</v>
      </c>
      <c r="I162">
        <v>4500000</v>
      </c>
      <c r="J162" t="s">
        <v>52</v>
      </c>
      <c r="K162">
        <v>24</v>
      </c>
      <c r="L162">
        <v>1832</v>
      </c>
      <c r="M162">
        <v>1</v>
      </c>
      <c r="N162">
        <v>732</v>
      </c>
      <c r="O162">
        <v>0</v>
      </c>
      <c r="P162">
        <v>3</v>
      </c>
      <c r="Q162">
        <v>1</v>
      </c>
      <c r="R162">
        <v>4</v>
      </c>
      <c r="S162">
        <v>3</v>
      </c>
      <c r="T162">
        <v>13</v>
      </c>
      <c r="U162">
        <v>3</v>
      </c>
      <c r="V162">
        <v>0</v>
      </c>
      <c r="W162">
        <v>95</v>
      </c>
      <c r="X162">
        <v>1</v>
      </c>
      <c r="Y162">
        <v>0</v>
      </c>
      <c r="Z162">
        <v>0</v>
      </c>
      <c r="AA162">
        <v>3</v>
      </c>
      <c r="AB162">
        <v>0</v>
      </c>
      <c r="AC162">
        <v>10</v>
      </c>
      <c r="AD162">
        <v>0</v>
      </c>
      <c r="AE162">
        <v>1</v>
      </c>
      <c r="AF162">
        <v>23</v>
      </c>
      <c r="AG162">
        <v>36</v>
      </c>
      <c r="AH162">
        <v>25</v>
      </c>
      <c r="AI162">
        <v>0</v>
      </c>
      <c r="AJ162">
        <v>23</v>
      </c>
      <c r="AK162">
        <v>1</v>
      </c>
      <c r="AL162">
        <v>0</v>
      </c>
      <c r="AM162">
        <v>170</v>
      </c>
      <c r="AN162">
        <v>52</v>
      </c>
      <c r="AO162">
        <v>42</v>
      </c>
      <c r="AQ162" t="str">
        <f t="shared" si="2"/>
        <v>Defensive Forward</v>
      </c>
    </row>
    <row r="163" spans="1:43" x14ac:dyDescent="0.35">
      <c r="A163" t="s">
        <v>179</v>
      </c>
      <c r="B163" t="s">
        <v>39</v>
      </c>
      <c r="C163" t="s">
        <v>1030</v>
      </c>
      <c r="D163">
        <v>1985</v>
      </c>
      <c r="E163">
        <v>30</v>
      </c>
      <c r="F163" t="s">
        <v>129</v>
      </c>
      <c r="G163" t="s">
        <v>51</v>
      </c>
      <c r="H163">
        <v>9000000</v>
      </c>
      <c r="I163">
        <v>9000000</v>
      </c>
      <c r="J163" t="s">
        <v>52</v>
      </c>
      <c r="K163">
        <v>18</v>
      </c>
      <c r="L163">
        <v>1063</v>
      </c>
      <c r="M163">
        <v>0</v>
      </c>
      <c r="N163">
        <v>566</v>
      </c>
      <c r="O163">
        <v>2</v>
      </c>
      <c r="P163">
        <v>5</v>
      </c>
      <c r="Q163">
        <v>0</v>
      </c>
      <c r="R163">
        <v>7</v>
      </c>
      <c r="S163">
        <v>3</v>
      </c>
      <c r="T163">
        <v>7</v>
      </c>
      <c r="U163">
        <v>3</v>
      </c>
      <c r="V163">
        <v>0</v>
      </c>
      <c r="W163">
        <v>5</v>
      </c>
      <c r="X163">
        <v>0</v>
      </c>
      <c r="Y163">
        <v>0</v>
      </c>
      <c r="Z163">
        <v>0</v>
      </c>
      <c r="AA163">
        <v>2</v>
      </c>
      <c r="AB163">
        <v>0</v>
      </c>
      <c r="AC163">
        <v>0</v>
      </c>
      <c r="AD163">
        <v>6</v>
      </c>
      <c r="AE163">
        <v>77</v>
      </c>
      <c r="AF163">
        <v>0</v>
      </c>
      <c r="AG163">
        <v>26</v>
      </c>
      <c r="AH163">
        <v>15</v>
      </c>
      <c r="AI163">
        <v>0</v>
      </c>
      <c r="AJ163">
        <v>20</v>
      </c>
      <c r="AK163">
        <v>0</v>
      </c>
      <c r="AL163">
        <v>0</v>
      </c>
      <c r="AM163">
        <v>18</v>
      </c>
      <c r="AN163">
        <v>12</v>
      </c>
      <c r="AO163">
        <v>6</v>
      </c>
      <c r="AQ163" t="str">
        <f t="shared" si="2"/>
        <v>Defensive Forward</v>
      </c>
    </row>
    <row r="164" spans="1:43" x14ac:dyDescent="0.35">
      <c r="A164" t="s">
        <v>179</v>
      </c>
      <c r="B164" t="s">
        <v>46</v>
      </c>
      <c r="C164" t="s">
        <v>1031</v>
      </c>
      <c r="D164">
        <v>1985</v>
      </c>
      <c r="E164">
        <v>33</v>
      </c>
      <c r="F164" t="s">
        <v>129</v>
      </c>
      <c r="G164" t="s">
        <v>51</v>
      </c>
      <c r="H164">
        <v>6300000</v>
      </c>
      <c r="I164">
        <v>4500000</v>
      </c>
      <c r="J164" t="s">
        <v>52</v>
      </c>
      <c r="K164">
        <v>30</v>
      </c>
      <c r="L164">
        <v>2569</v>
      </c>
      <c r="M164">
        <v>2</v>
      </c>
      <c r="N164">
        <v>1376</v>
      </c>
      <c r="O164">
        <v>2</v>
      </c>
      <c r="P164">
        <v>8</v>
      </c>
      <c r="Q164">
        <v>0</v>
      </c>
      <c r="R164">
        <v>2</v>
      </c>
      <c r="S164">
        <v>0</v>
      </c>
      <c r="T164">
        <v>12</v>
      </c>
      <c r="U164">
        <v>3</v>
      </c>
      <c r="V164">
        <v>0</v>
      </c>
      <c r="W164">
        <v>19</v>
      </c>
      <c r="X164">
        <v>0</v>
      </c>
      <c r="Y164">
        <v>0</v>
      </c>
      <c r="Z164">
        <v>0</v>
      </c>
      <c r="AA164">
        <v>4</v>
      </c>
      <c r="AB164">
        <v>2</v>
      </c>
      <c r="AC164">
        <v>9</v>
      </c>
      <c r="AD164">
        <v>102</v>
      </c>
      <c r="AE164">
        <v>197</v>
      </c>
      <c r="AF164">
        <v>10</v>
      </c>
      <c r="AG164">
        <v>55</v>
      </c>
      <c r="AH164">
        <v>37</v>
      </c>
      <c r="AI164">
        <v>0</v>
      </c>
      <c r="AJ164">
        <v>52</v>
      </c>
      <c r="AK164">
        <v>0</v>
      </c>
      <c r="AL164">
        <v>0</v>
      </c>
      <c r="AM164">
        <v>58</v>
      </c>
      <c r="AN164">
        <v>23</v>
      </c>
      <c r="AO164">
        <v>12</v>
      </c>
      <c r="AQ164" t="str">
        <f t="shared" si="2"/>
        <v>Defensive Forward</v>
      </c>
    </row>
    <row r="165" spans="1:43" x14ac:dyDescent="0.35">
      <c r="A165" t="s">
        <v>179</v>
      </c>
      <c r="B165" t="s">
        <v>43</v>
      </c>
      <c r="C165" t="s">
        <v>1032</v>
      </c>
      <c r="D165">
        <v>1985</v>
      </c>
      <c r="E165">
        <v>32</v>
      </c>
      <c r="F165" t="s">
        <v>129</v>
      </c>
      <c r="G165" t="s">
        <v>51</v>
      </c>
      <c r="H165">
        <v>4500000</v>
      </c>
      <c r="I165">
        <v>6300000</v>
      </c>
      <c r="J165" t="s">
        <v>52</v>
      </c>
      <c r="K165">
        <v>30</v>
      </c>
      <c r="L165">
        <v>2445</v>
      </c>
      <c r="M165">
        <v>2</v>
      </c>
      <c r="N165">
        <v>1285</v>
      </c>
      <c r="O165">
        <v>4</v>
      </c>
      <c r="P165">
        <v>7</v>
      </c>
      <c r="Q165">
        <v>0</v>
      </c>
      <c r="R165">
        <v>2</v>
      </c>
      <c r="S165">
        <v>7</v>
      </c>
      <c r="T165">
        <v>18</v>
      </c>
      <c r="U165">
        <v>4</v>
      </c>
      <c r="V165">
        <v>1</v>
      </c>
      <c r="W165">
        <v>36</v>
      </c>
      <c r="X165">
        <v>0</v>
      </c>
      <c r="Y165">
        <v>0</v>
      </c>
      <c r="Z165">
        <v>1</v>
      </c>
      <c r="AA165">
        <v>0</v>
      </c>
      <c r="AB165">
        <v>2</v>
      </c>
      <c r="AC165">
        <v>14</v>
      </c>
      <c r="AD165">
        <v>24</v>
      </c>
      <c r="AE165">
        <v>121</v>
      </c>
      <c r="AF165">
        <v>5</v>
      </c>
      <c r="AG165">
        <v>57</v>
      </c>
      <c r="AH165">
        <v>29</v>
      </c>
      <c r="AI165">
        <v>0</v>
      </c>
      <c r="AJ165">
        <v>53</v>
      </c>
      <c r="AK165">
        <v>0</v>
      </c>
      <c r="AL165">
        <v>0</v>
      </c>
      <c r="AM165">
        <v>72</v>
      </c>
      <c r="AN165">
        <v>19</v>
      </c>
      <c r="AO165">
        <v>21</v>
      </c>
      <c r="AQ165" t="str">
        <f t="shared" si="2"/>
        <v>Defensive Forward</v>
      </c>
    </row>
    <row r="166" spans="1:43" x14ac:dyDescent="0.35">
      <c r="A166" t="s">
        <v>179</v>
      </c>
      <c r="B166" t="s">
        <v>47</v>
      </c>
      <c r="C166" t="s">
        <v>1033</v>
      </c>
      <c r="D166">
        <v>1985</v>
      </c>
      <c r="E166">
        <v>31</v>
      </c>
      <c r="F166" t="s">
        <v>129</v>
      </c>
      <c r="G166" t="s">
        <v>51</v>
      </c>
      <c r="H166">
        <v>9000000</v>
      </c>
      <c r="I166">
        <v>4500000</v>
      </c>
      <c r="J166" t="s">
        <v>52</v>
      </c>
      <c r="K166">
        <v>12</v>
      </c>
      <c r="L166">
        <v>756</v>
      </c>
      <c r="M166">
        <v>0</v>
      </c>
      <c r="N166">
        <v>429</v>
      </c>
      <c r="O166">
        <v>1</v>
      </c>
      <c r="P166">
        <v>2</v>
      </c>
      <c r="Q166">
        <v>0</v>
      </c>
      <c r="R166">
        <v>4</v>
      </c>
      <c r="S166">
        <v>3</v>
      </c>
      <c r="T166">
        <v>5</v>
      </c>
      <c r="U166">
        <v>0</v>
      </c>
      <c r="V166">
        <v>0</v>
      </c>
      <c r="W166">
        <v>6</v>
      </c>
      <c r="X166">
        <v>0</v>
      </c>
      <c r="Y166">
        <v>0</v>
      </c>
      <c r="Z166">
        <v>0</v>
      </c>
      <c r="AA166">
        <v>0</v>
      </c>
      <c r="AB166">
        <v>1</v>
      </c>
      <c r="AC166">
        <v>0</v>
      </c>
      <c r="AD166">
        <v>8</v>
      </c>
      <c r="AE166">
        <v>38</v>
      </c>
      <c r="AF166">
        <v>2</v>
      </c>
      <c r="AG166">
        <v>16</v>
      </c>
      <c r="AH166">
        <v>9</v>
      </c>
      <c r="AI166">
        <v>0</v>
      </c>
      <c r="AJ166">
        <v>18</v>
      </c>
      <c r="AK166">
        <v>0</v>
      </c>
      <c r="AL166">
        <v>0</v>
      </c>
      <c r="AM166">
        <v>25</v>
      </c>
      <c r="AN166">
        <v>3</v>
      </c>
      <c r="AO166">
        <v>5</v>
      </c>
      <c r="AQ166" t="str">
        <f t="shared" si="2"/>
        <v>Defensive Forward</v>
      </c>
    </row>
    <row r="167" spans="1:43" x14ac:dyDescent="0.35">
      <c r="A167" t="s">
        <v>180</v>
      </c>
      <c r="B167" t="s">
        <v>46</v>
      </c>
      <c r="C167" t="s">
        <v>1034</v>
      </c>
      <c r="D167">
        <v>1994</v>
      </c>
      <c r="E167">
        <v>24</v>
      </c>
      <c r="F167" t="s">
        <v>114</v>
      </c>
      <c r="G167" t="s">
        <v>67</v>
      </c>
      <c r="H167">
        <v>45000000</v>
      </c>
      <c r="I167">
        <v>67500000</v>
      </c>
      <c r="J167" t="s">
        <v>52</v>
      </c>
      <c r="K167">
        <v>35</v>
      </c>
      <c r="L167">
        <v>3057</v>
      </c>
      <c r="M167">
        <v>3</v>
      </c>
      <c r="N167">
        <v>2998</v>
      </c>
      <c r="O167">
        <v>3</v>
      </c>
      <c r="P167">
        <v>3</v>
      </c>
      <c r="Q167">
        <v>0</v>
      </c>
      <c r="R167">
        <v>1</v>
      </c>
      <c r="S167">
        <v>1</v>
      </c>
      <c r="T167">
        <v>26</v>
      </c>
      <c r="U167">
        <v>7</v>
      </c>
      <c r="V167">
        <v>0</v>
      </c>
      <c r="W167">
        <v>62</v>
      </c>
      <c r="X167">
        <v>3</v>
      </c>
      <c r="Y167">
        <v>0</v>
      </c>
      <c r="Z167">
        <v>0</v>
      </c>
      <c r="AA167">
        <v>2</v>
      </c>
      <c r="AB167">
        <v>0</v>
      </c>
      <c r="AC167">
        <v>19</v>
      </c>
      <c r="AD167">
        <v>0</v>
      </c>
      <c r="AE167">
        <v>6</v>
      </c>
      <c r="AF167">
        <v>9</v>
      </c>
      <c r="AG167">
        <v>39</v>
      </c>
      <c r="AH167">
        <v>21</v>
      </c>
      <c r="AI167">
        <v>0</v>
      </c>
      <c r="AJ167">
        <v>42</v>
      </c>
      <c r="AK167">
        <v>0</v>
      </c>
      <c r="AL167">
        <v>0</v>
      </c>
      <c r="AM167">
        <v>95</v>
      </c>
      <c r="AN167">
        <v>78</v>
      </c>
      <c r="AO167">
        <v>57</v>
      </c>
      <c r="AQ167" t="str">
        <f t="shared" si="2"/>
        <v>Defensive Forward</v>
      </c>
    </row>
    <row r="168" spans="1:43" x14ac:dyDescent="0.35">
      <c r="A168" t="s">
        <v>181</v>
      </c>
      <c r="B168" t="s">
        <v>39</v>
      </c>
      <c r="C168" t="s">
        <v>1035</v>
      </c>
      <c r="D168">
        <v>1993</v>
      </c>
      <c r="E168">
        <v>22</v>
      </c>
      <c r="F168" t="s">
        <v>117</v>
      </c>
      <c r="G168" t="s">
        <v>45</v>
      </c>
      <c r="H168">
        <v>7200000</v>
      </c>
      <c r="I168">
        <v>8800000</v>
      </c>
      <c r="J168" t="s">
        <v>42</v>
      </c>
      <c r="K168">
        <v>34</v>
      </c>
      <c r="L168">
        <v>2045</v>
      </c>
      <c r="M168">
        <v>6</v>
      </c>
      <c r="N168">
        <v>588</v>
      </c>
      <c r="O168">
        <v>2</v>
      </c>
      <c r="P168">
        <v>4</v>
      </c>
      <c r="Q168">
        <v>0</v>
      </c>
      <c r="R168">
        <v>12</v>
      </c>
      <c r="S168">
        <v>12</v>
      </c>
      <c r="T168">
        <v>50</v>
      </c>
      <c r="U168">
        <v>16</v>
      </c>
      <c r="V168">
        <v>0</v>
      </c>
      <c r="W168">
        <v>6</v>
      </c>
      <c r="X168">
        <v>0</v>
      </c>
      <c r="Y168">
        <v>0</v>
      </c>
      <c r="Z168">
        <v>0</v>
      </c>
      <c r="AA168">
        <v>5</v>
      </c>
      <c r="AB168">
        <v>5</v>
      </c>
      <c r="AC168">
        <v>3</v>
      </c>
      <c r="AD168">
        <v>33</v>
      </c>
      <c r="AE168">
        <v>73</v>
      </c>
      <c r="AF168">
        <v>3</v>
      </c>
      <c r="AG168">
        <v>28</v>
      </c>
      <c r="AH168">
        <v>35</v>
      </c>
      <c r="AI168">
        <v>0</v>
      </c>
      <c r="AJ168">
        <v>56</v>
      </c>
      <c r="AK168">
        <v>0</v>
      </c>
      <c r="AL168">
        <v>0</v>
      </c>
      <c r="AM168">
        <v>13</v>
      </c>
      <c r="AN168">
        <v>7</v>
      </c>
      <c r="AO168">
        <v>29</v>
      </c>
      <c r="AQ168" t="str">
        <f t="shared" si="2"/>
        <v>Forward</v>
      </c>
    </row>
    <row r="169" spans="1:43" x14ac:dyDescent="0.35">
      <c r="A169" t="s">
        <v>181</v>
      </c>
      <c r="B169" t="s">
        <v>43</v>
      </c>
      <c r="C169" t="s">
        <v>1036</v>
      </c>
      <c r="D169">
        <v>1993</v>
      </c>
      <c r="E169">
        <v>24</v>
      </c>
      <c r="F169" t="s">
        <v>117</v>
      </c>
      <c r="G169" t="s">
        <v>45</v>
      </c>
      <c r="H169">
        <v>7200000</v>
      </c>
      <c r="I169">
        <v>9000000</v>
      </c>
      <c r="J169" t="s">
        <v>42</v>
      </c>
      <c r="K169">
        <v>36</v>
      </c>
      <c r="L169">
        <v>2494</v>
      </c>
      <c r="M169">
        <v>8</v>
      </c>
      <c r="N169">
        <v>718</v>
      </c>
      <c r="O169">
        <v>5</v>
      </c>
      <c r="P169">
        <v>3</v>
      </c>
      <c r="Q169">
        <v>0</v>
      </c>
      <c r="R169">
        <v>8</v>
      </c>
      <c r="S169">
        <v>13</v>
      </c>
      <c r="T169">
        <v>60</v>
      </c>
      <c r="U169">
        <v>23</v>
      </c>
      <c r="V169">
        <v>1</v>
      </c>
      <c r="W169">
        <v>10</v>
      </c>
      <c r="X169">
        <v>0</v>
      </c>
      <c r="Y169">
        <v>0</v>
      </c>
      <c r="Z169">
        <v>0</v>
      </c>
      <c r="AA169">
        <v>14</v>
      </c>
      <c r="AB169">
        <v>14</v>
      </c>
      <c r="AC169">
        <v>37</v>
      </c>
      <c r="AD169">
        <v>0</v>
      </c>
      <c r="AE169">
        <v>22</v>
      </c>
      <c r="AF169">
        <v>1</v>
      </c>
      <c r="AG169">
        <v>24</v>
      </c>
      <c r="AH169">
        <v>36</v>
      </c>
      <c r="AI169">
        <v>1</v>
      </c>
      <c r="AJ169">
        <v>39</v>
      </c>
      <c r="AK169">
        <v>0</v>
      </c>
      <c r="AL169">
        <v>1</v>
      </c>
      <c r="AM169">
        <v>24</v>
      </c>
      <c r="AN169">
        <v>44</v>
      </c>
      <c r="AO169">
        <v>89</v>
      </c>
      <c r="AQ169" t="str">
        <f t="shared" si="2"/>
        <v>Forward</v>
      </c>
    </row>
    <row r="170" spans="1:43" x14ac:dyDescent="0.35">
      <c r="A170" t="s">
        <v>181</v>
      </c>
      <c r="B170" t="s">
        <v>46</v>
      </c>
      <c r="C170" t="s">
        <v>1037</v>
      </c>
      <c r="D170">
        <v>1993</v>
      </c>
      <c r="E170">
        <v>25</v>
      </c>
      <c r="F170" t="s">
        <v>117</v>
      </c>
      <c r="G170" t="s">
        <v>45</v>
      </c>
      <c r="H170">
        <v>9000000</v>
      </c>
      <c r="I170">
        <v>18000000</v>
      </c>
      <c r="J170" t="s">
        <v>42</v>
      </c>
      <c r="K170">
        <v>37</v>
      </c>
      <c r="L170">
        <v>2927</v>
      </c>
      <c r="M170">
        <v>12</v>
      </c>
      <c r="N170">
        <v>779</v>
      </c>
      <c r="O170">
        <v>2</v>
      </c>
      <c r="P170">
        <v>0</v>
      </c>
      <c r="Q170">
        <v>0</v>
      </c>
      <c r="R170">
        <v>3</v>
      </c>
      <c r="S170">
        <v>15</v>
      </c>
      <c r="T170">
        <v>55</v>
      </c>
      <c r="U170">
        <v>28</v>
      </c>
      <c r="V170">
        <v>1</v>
      </c>
      <c r="W170">
        <v>14</v>
      </c>
      <c r="X170">
        <v>4</v>
      </c>
      <c r="Y170">
        <v>0</v>
      </c>
      <c r="Z170">
        <v>0</v>
      </c>
      <c r="AA170">
        <v>9</v>
      </c>
      <c r="AB170">
        <v>6</v>
      </c>
      <c r="AC170">
        <v>27</v>
      </c>
      <c r="AD170">
        <v>0</v>
      </c>
      <c r="AE170">
        <v>22</v>
      </c>
      <c r="AF170">
        <v>4</v>
      </c>
      <c r="AG170">
        <v>42</v>
      </c>
      <c r="AH170">
        <v>46</v>
      </c>
      <c r="AI170">
        <v>0</v>
      </c>
      <c r="AJ170">
        <v>60</v>
      </c>
      <c r="AK170">
        <v>0</v>
      </c>
      <c r="AL170">
        <v>0</v>
      </c>
      <c r="AM170">
        <v>28</v>
      </c>
      <c r="AN170">
        <v>26</v>
      </c>
      <c r="AO170">
        <v>78</v>
      </c>
      <c r="AQ170" t="str">
        <f t="shared" si="2"/>
        <v>Forward</v>
      </c>
    </row>
    <row r="171" spans="1:43" x14ac:dyDescent="0.35">
      <c r="A171" t="s">
        <v>182</v>
      </c>
      <c r="B171" t="s">
        <v>39</v>
      </c>
      <c r="C171" t="s">
        <v>1038</v>
      </c>
      <c r="D171">
        <v>1983</v>
      </c>
      <c r="E171">
        <v>32</v>
      </c>
      <c r="F171" t="s">
        <v>114</v>
      </c>
      <c r="G171" t="s">
        <v>67</v>
      </c>
      <c r="H171">
        <v>5400000</v>
      </c>
      <c r="I171">
        <v>6300000</v>
      </c>
      <c r="J171" t="s">
        <v>52</v>
      </c>
      <c r="K171">
        <v>28</v>
      </c>
      <c r="L171">
        <v>2448</v>
      </c>
      <c r="M171">
        <v>0</v>
      </c>
      <c r="N171">
        <v>1587</v>
      </c>
      <c r="O171">
        <v>3</v>
      </c>
      <c r="P171">
        <v>4</v>
      </c>
      <c r="Q171">
        <v>0</v>
      </c>
      <c r="R171">
        <v>1</v>
      </c>
      <c r="S171">
        <v>1</v>
      </c>
      <c r="T171">
        <v>5</v>
      </c>
      <c r="U171">
        <v>2</v>
      </c>
      <c r="V171">
        <v>0</v>
      </c>
      <c r="W171">
        <v>61</v>
      </c>
      <c r="X171">
        <v>0</v>
      </c>
      <c r="Y171">
        <v>0</v>
      </c>
      <c r="Z171">
        <v>0</v>
      </c>
      <c r="AA171">
        <v>0</v>
      </c>
      <c r="AB171">
        <v>2</v>
      </c>
      <c r="AC171">
        <v>0</v>
      </c>
      <c r="AD171">
        <v>0</v>
      </c>
      <c r="AE171">
        <v>74</v>
      </c>
      <c r="AF171">
        <v>7</v>
      </c>
      <c r="AG171">
        <v>50</v>
      </c>
      <c r="AH171">
        <v>17</v>
      </c>
      <c r="AI171">
        <v>0</v>
      </c>
      <c r="AJ171">
        <v>50</v>
      </c>
      <c r="AK171">
        <v>0</v>
      </c>
      <c r="AL171">
        <v>0</v>
      </c>
      <c r="AM171">
        <v>99</v>
      </c>
      <c r="AN171">
        <v>86</v>
      </c>
      <c r="AO171">
        <v>57</v>
      </c>
      <c r="AQ171" t="str">
        <f t="shared" si="2"/>
        <v>Defensive Forward</v>
      </c>
    </row>
    <row r="172" spans="1:43" x14ac:dyDescent="0.35">
      <c r="A172" t="s">
        <v>182</v>
      </c>
      <c r="B172" t="s">
        <v>47</v>
      </c>
      <c r="C172" t="s">
        <v>1039</v>
      </c>
      <c r="D172">
        <v>1983</v>
      </c>
      <c r="E172">
        <v>33</v>
      </c>
      <c r="F172" t="s">
        <v>114</v>
      </c>
      <c r="G172" t="s">
        <v>67</v>
      </c>
      <c r="H172">
        <v>6300000</v>
      </c>
      <c r="I172">
        <v>3600000</v>
      </c>
      <c r="J172" t="s">
        <v>52</v>
      </c>
      <c r="K172">
        <v>17</v>
      </c>
      <c r="L172">
        <v>1345</v>
      </c>
      <c r="M172">
        <v>0</v>
      </c>
      <c r="N172">
        <v>832</v>
      </c>
      <c r="O172">
        <v>1</v>
      </c>
      <c r="P172">
        <v>2</v>
      </c>
      <c r="Q172">
        <v>0</v>
      </c>
      <c r="R172">
        <v>3</v>
      </c>
      <c r="S172">
        <v>1</v>
      </c>
      <c r="T172">
        <v>4</v>
      </c>
      <c r="U172">
        <v>1</v>
      </c>
      <c r="V172">
        <v>0</v>
      </c>
      <c r="W172">
        <v>28</v>
      </c>
      <c r="X172">
        <v>0</v>
      </c>
      <c r="Y172">
        <v>0</v>
      </c>
      <c r="Z172">
        <v>0</v>
      </c>
      <c r="AA172">
        <v>1</v>
      </c>
      <c r="AB172">
        <v>0</v>
      </c>
      <c r="AC172">
        <v>0</v>
      </c>
      <c r="AD172">
        <v>0</v>
      </c>
      <c r="AE172">
        <v>26</v>
      </c>
      <c r="AF172">
        <v>3</v>
      </c>
      <c r="AG172">
        <v>20</v>
      </c>
      <c r="AH172">
        <v>3</v>
      </c>
      <c r="AI172">
        <v>0</v>
      </c>
      <c r="AJ172">
        <v>23</v>
      </c>
      <c r="AK172">
        <v>0</v>
      </c>
      <c r="AL172">
        <v>0</v>
      </c>
      <c r="AM172">
        <v>48</v>
      </c>
      <c r="AN172">
        <v>39</v>
      </c>
      <c r="AO172">
        <v>29</v>
      </c>
      <c r="AQ172" t="str">
        <f t="shared" si="2"/>
        <v>Defensive Forward</v>
      </c>
    </row>
    <row r="173" spans="1:43" x14ac:dyDescent="0.35">
      <c r="A173" t="s">
        <v>183</v>
      </c>
      <c r="B173" t="s">
        <v>43</v>
      </c>
      <c r="C173" t="s">
        <v>1040</v>
      </c>
      <c r="D173">
        <v>1990</v>
      </c>
      <c r="E173">
        <v>27</v>
      </c>
      <c r="F173" t="s">
        <v>184</v>
      </c>
      <c r="G173" t="s">
        <v>132</v>
      </c>
      <c r="H173">
        <v>5500000</v>
      </c>
      <c r="I173">
        <v>16500000</v>
      </c>
      <c r="J173" t="s">
        <v>55</v>
      </c>
      <c r="K173">
        <v>13</v>
      </c>
      <c r="L173">
        <v>1140</v>
      </c>
      <c r="M173">
        <v>2</v>
      </c>
      <c r="N173">
        <v>337</v>
      </c>
      <c r="O173">
        <v>1</v>
      </c>
      <c r="P173">
        <v>5</v>
      </c>
      <c r="Q173">
        <v>0</v>
      </c>
      <c r="R173">
        <v>0</v>
      </c>
      <c r="S173">
        <v>2</v>
      </c>
      <c r="T173">
        <v>19</v>
      </c>
      <c r="U173">
        <v>6</v>
      </c>
      <c r="V173">
        <v>0</v>
      </c>
      <c r="W173">
        <v>7</v>
      </c>
      <c r="X173">
        <v>0</v>
      </c>
      <c r="Y173">
        <v>0</v>
      </c>
      <c r="Z173">
        <v>0</v>
      </c>
      <c r="AA173">
        <v>2</v>
      </c>
      <c r="AB173">
        <v>1</v>
      </c>
      <c r="AC173">
        <v>13</v>
      </c>
      <c r="AD173">
        <v>0</v>
      </c>
      <c r="AE173">
        <v>4</v>
      </c>
      <c r="AF173">
        <v>9</v>
      </c>
      <c r="AG173">
        <v>13</v>
      </c>
      <c r="AH173">
        <v>24</v>
      </c>
      <c r="AI173">
        <v>1</v>
      </c>
      <c r="AJ173">
        <v>53</v>
      </c>
      <c r="AK173">
        <v>0</v>
      </c>
      <c r="AL173">
        <v>0</v>
      </c>
      <c r="AM173">
        <v>17</v>
      </c>
      <c r="AN173">
        <v>10</v>
      </c>
      <c r="AO173">
        <v>10</v>
      </c>
      <c r="AQ173" t="str">
        <f t="shared" si="2"/>
        <v>Midfielder</v>
      </c>
    </row>
    <row r="174" spans="1:43" x14ac:dyDescent="0.35">
      <c r="A174" t="s">
        <v>185</v>
      </c>
      <c r="B174" t="s">
        <v>39</v>
      </c>
      <c r="C174" t="s">
        <v>1041</v>
      </c>
      <c r="D174">
        <v>1985</v>
      </c>
      <c r="E174">
        <v>29</v>
      </c>
      <c r="F174" t="s">
        <v>40</v>
      </c>
      <c r="G174" t="s">
        <v>67</v>
      </c>
      <c r="H174">
        <v>7300000</v>
      </c>
      <c r="I174">
        <v>6300000</v>
      </c>
      <c r="J174" t="s">
        <v>42</v>
      </c>
      <c r="K174">
        <v>33</v>
      </c>
      <c r="L174">
        <v>1694</v>
      </c>
      <c r="M174">
        <v>6</v>
      </c>
      <c r="N174">
        <v>509</v>
      </c>
      <c r="O174">
        <v>0</v>
      </c>
      <c r="P174">
        <v>0</v>
      </c>
      <c r="Q174">
        <v>0</v>
      </c>
      <c r="R174">
        <v>15</v>
      </c>
      <c r="S174">
        <v>8</v>
      </c>
      <c r="T174">
        <v>59</v>
      </c>
      <c r="U174">
        <v>17</v>
      </c>
      <c r="V174">
        <v>2</v>
      </c>
      <c r="W174">
        <v>13</v>
      </c>
      <c r="X174">
        <v>0</v>
      </c>
      <c r="Y174">
        <v>1</v>
      </c>
      <c r="Z174">
        <v>0</v>
      </c>
      <c r="AA174">
        <v>38</v>
      </c>
      <c r="AB174">
        <v>0</v>
      </c>
      <c r="AC174">
        <v>6</v>
      </c>
      <c r="AD174">
        <v>0</v>
      </c>
      <c r="AE174">
        <v>3</v>
      </c>
      <c r="AF174">
        <v>0</v>
      </c>
      <c r="AG174">
        <v>6</v>
      </c>
      <c r="AH174">
        <v>17</v>
      </c>
      <c r="AI174">
        <v>0</v>
      </c>
      <c r="AJ174">
        <v>7</v>
      </c>
      <c r="AK174">
        <v>0</v>
      </c>
      <c r="AL174">
        <v>0</v>
      </c>
      <c r="AM174">
        <v>19</v>
      </c>
      <c r="AN174">
        <v>31</v>
      </c>
      <c r="AO174">
        <v>45</v>
      </c>
      <c r="AQ174" t="str">
        <f t="shared" si="2"/>
        <v>Forward</v>
      </c>
    </row>
    <row r="175" spans="1:43" x14ac:dyDescent="0.35">
      <c r="A175" t="s">
        <v>186</v>
      </c>
      <c r="B175" t="s">
        <v>39</v>
      </c>
      <c r="C175" t="s">
        <v>1042</v>
      </c>
      <c r="D175">
        <v>1988</v>
      </c>
      <c r="E175">
        <v>27</v>
      </c>
      <c r="F175" t="s">
        <v>64</v>
      </c>
      <c r="G175" t="s">
        <v>187</v>
      </c>
      <c r="H175">
        <v>4500000</v>
      </c>
      <c r="I175">
        <v>7200000</v>
      </c>
      <c r="J175" t="s">
        <v>55</v>
      </c>
      <c r="K175">
        <v>20</v>
      </c>
      <c r="L175">
        <v>1074</v>
      </c>
      <c r="M175">
        <v>2</v>
      </c>
      <c r="N175">
        <v>336</v>
      </c>
      <c r="O175">
        <v>1</v>
      </c>
      <c r="P175">
        <v>1</v>
      </c>
      <c r="Q175">
        <v>0</v>
      </c>
      <c r="R175">
        <v>9</v>
      </c>
      <c r="S175">
        <v>8</v>
      </c>
      <c r="T175">
        <v>34</v>
      </c>
      <c r="U175">
        <v>15</v>
      </c>
      <c r="V175">
        <v>0</v>
      </c>
      <c r="W175">
        <v>3</v>
      </c>
      <c r="X175">
        <v>0</v>
      </c>
      <c r="Y175">
        <v>0</v>
      </c>
      <c r="Z175">
        <v>0</v>
      </c>
      <c r="AA175">
        <v>8</v>
      </c>
      <c r="AB175">
        <v>0</v>
      </c>
      <c r="AC175">
        <v>3</v>
      </c>
      <c r="AD175">
        <v>20</v>
      </c>
      <c r="AE175">
        <v>77</v>
      </c>
      <c r="AF175">
        <v>4</v>
      </c>
      <c r="AG175">
        <v>14</v>
      </c>
      <c r="AH175">
        <v>13</v>
      </c>
      <c r="AI175">
        <v>0</v>
      </c>
      <c r="AJ175">
        <v>18</v>
      </c>
      <c r="AK175">
        <v>0</v>
      </c>
      <c r="AL175">
        <v>0</v>
      </c>
      <c r="AM175">
        <v>7</v>
      </c>
      <c r="AN175">
        <v>8</v>
      </c>
      <c r="AO175">
        <v>18</v>
      </c>
      <c r="AQ175" t="str">
        <f t="shared" si="2"/>
        <v>Midfielder</v>
      </c>
    </row>
    <row r="176" spans="1:43" x14ac:dyDescent="0.35">
      <c r="A176" t="s">
        <v>186</v>
      </c>
      <c r="B176" t="s">
        <v>43</v>
      </c>
      <c r="C176" t="s">
        <v>1043</v>
      </c>
      <c r="D176">
        <v>1988</v>
      </c>
      <c r="E176">
        <v>29</v>
      </c>
      <c r="F176" t="s">
        <v>64</v>
      </c>
      <c r="G176" t="s">
        <v>187</v>
      </c>
      <c r="H176">
        <v>5400000</v>
      </c>
      <c r="I176">
        <v>4500000</v>
      </c>
      <c r="J176" t="s">
        <v>55</v>
      </c>
      <c r="K176">
        <v>16</v>
      </c>
      <c r="L176">
        <v>468</v>
      </c>
      <c r="M176">
        <v>3</v>
      </c>
      <c r="N176">
        <v>131</v>
      </c>
      <c r="O176">
        <v>0</v>
      </c>
      <c r="P176">
        <v>0</v>
      </c>
      <c r="Q176">
        <v>0</v>
      </c>
      <c r="R176">
        <v>12</v>
      </c>
      <c r="S176">
        <v>2</v>
      </c>
      <c r="T176">
        <v>17</v>
      </c>
      <c r="U176">
        <v>6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4</v>
      </c>
      <c r="AB176">
        <v>0</v>
      </c>
      <c r="AC176">
        <v>11</v>
      </c>
      <c r="AD176">
        <v>4</v>
      </c>
      <c r="AE176">
        <v>27</v>
      </c>
      <c r="AF176">
        <v>0</v>
      </c>
      <c r="AG176">
        <v>1</v>
      </c>
      <c r="AH176">
        <v>8</v>
      </c>
      <c r="AI176">
        <v>0</v>
      </c>
      <c r="AJ176">
        <v>7</v>
      </c>
      <c r="AK176">
        <v>0</v>
      </c>
      <c r="AL176">
        <v>0</v>
      </c>
      <c r="AM176">
        <v>0</v>
      </c>
      <c r="AN176">
        <v>11</v>
      </c>
      <c r="AO176">
        <v>16</v>
      </c>
      <c r="AQ176" t="str">
        <f t="shared" si="2"/>
        <v>Midfielder</v>
      </c>
    </row>
    <row r="177" spans="1:43" x14ac:dyDescent="0.35">
      <c r="A177" t="s">
        <v>188</v>
      </c>
      <c r="B177" t="s">
        <v>39</v>
      </c>
      <c r="C177" t="s">
        <v>1044</v>
      </c>
      <c r="D177">
        <v>1984</v>
      </c>
      <c r="E177">
        <v>30</v>
      </c>
      <c r="F177" t="s">
        <v>129</v>
      </c>
      <c r="G177" t="s">
        <v>146</v>
      </c>
      <c r="H177">
        <v>19800000</v>
      </c>
      <c r="I177">
        <v>10800000</v>
      </c>
      <c r="J177" t="s">
        <v>55</v>
      </c>
      <c r="K177">
        <v>18</v>
      </c>
      <c r="L177">
        <v>1202</v>
      </c>
      <c r="M177">
        <v>1</v>
      </c>
      <c r="N177">
        <v>1067</v>
      </c>
      <c r="O177">
        <v>0</v>
      </c>
      <c r="P177">
        <v>3</v>
      </c>
      <c r="Q177">
        <v>0</v>
      </c>
      <c r="R177">
        <v>5</v>
      </c>
      <c r="S177">
        <v>5</v>
      </c>
      <c r="T177">
        <v>12</v>
      </c>
      <c r="U177">
        <v>3</v>
      </c>
      <c r="V177">
        <v>0</v>
      </c>
      <c r="W177">
        <v>10</v>
      </c>
      <c r="X177">
        <v>0</v>
      </c>
      <c r="Y177">
        <v>0</v>
      </c>
      <c r="Z177">
        <v>0</v>
      </c>
      <c r="AA177">
        <v>0</v>
      </c>
      <c r="AB177">
        <v>2</v>
      </c>
      <c r="AC177">
        <v>0</v>
      </c>
      <c r="AD177">
        <v>1</v>
      </c>
      <c r="AE177">
        <v>7</v>
      </c>
      <c r="AF177">
        <v>3</v>
      </c>
      <c r="AG177">
        <v>23</v>
      </c>
      <c r="AH177">
        <v>19</v>
      </c>
      <c r="AI177">
        <v>0</v>
      </c>
      <c r="AJ177">
        <v>36</v>
      </c>
      <c r="AK177">
        <v>0</v>
      </c>
      <c r="AL177">
        <v>0</v>
      </c>
      <c r="AM177">
        <v>16</v>
      </c>
      <c r="AN177">
        <v>16</v>
      </c>
      <c r="AO177">
        <v>22</v>
      </c>
      <c r="AQ177" t="str">
        <f t="shared" si="2"/>
        <v>Midfielder</v>
      </c>
    </row>
    <row r="178" spans="1:43" x14ac:dyDescent="0.35">
      <c r="A178" t="s">
        <v>189</v>
      </c>
      <c r="B178" t="s">
        <v>46</v>
      </c>
      <c r="C178" t="s">
        <v>1045</v>
      </c>
      <c r="D178">
        <v>1996</v>
      </c>
      <c r="E178">
        <v>21</v>
      </c>
      <c r="F178" t="s">
        <v>99</v>
      </c>
      <c r="G178" t="s">
        <v>51</v>
      </c>
      <c r="H178">
        <v>7200000</v>
      </c>
      <c r="I178">
        <v>31500000</v>
      </c>
      <c r="J178" t="s">
        <v>52</v>
      </c>
      <c r="K178">
        <v>36</v>
      </c>
      <c r="L178">
        <v>3240</v>
      </c>
      <c r="M178">
        <v>0</v>
      </c>
      <c r="N178">
        <v>1684</v>
      </c>
      <c r="O178">
        <v>4</v>
      </c>
      <c r="P178">
        <v>4</v>
      </c>
      <c r="Q178">
        <v>0</v>
      </c>
      <c r="R178">
        <v>0</v>
      </c>
      <c r="S178">
        <v>0</v>
      </c>
      <c r="T178">
        <v>22</v>
      </c>
      <c r="U178">
        <v>10</v>
      </c>
      <c r="V178">
        <v>0</v>
      </c>
      <c r="W178">
        <v>81</v>
      </c>
      <c r="X178">
        <v>0</v>
      </c>
      <c r="Y178">
        <v>0</v>
      </c>
      <c r="Z178">
        <v>0</v>
      </c>
      <c r="AA178">
        <v>2</v>
      </c>
      <c r="AB178">
        <v>3</v>
      </c>
      <c r="AC178">
        <v>12</v>
      </c>
      <c r="AD178">
        <v>4</v>
      </c>
      <c r="AE178">
        <v>132</v>
      </c>
      <c r="AF178">
        <v>7</v>
      </c>
      <c r="AG178">
        <v>38</v>
      </c>
      <c r="AH178">
        <v>32</v>
      </c>
      <c r="AI178">
        <v>1</v>
      </c>
      <c r="AJ178">
        <v>55</v>
      </c>
      <c r="AK178">
        <v>0</v>
      </c>
      <c r="AL178">
        <v>0</v>
      </c>
      <c r="AM178">
        <v>129</v>
      </c>
      <c r="AN178">
        <v>111</v>
      </c>
      <c r="AO178">
        <v>72</v>
      </c>
      <c r="AQ178" t="str">
        <f t="shared" si="2"/>
        <v>Defensive Forward</v>
      </c>
    </row>
    <row r="179" spans="1:43" x14ac:dyDescent="0.35">
      <c r="A179" t="s">
        <v>189</v>
      </c>
      <c r="B179" t="s">
        <v>47</v>
      </c>
      <c r="C179" t="s">
        <v>1046</v>
      </c>
      <c r="D179">
        <v>1996</v>
      </c>
      <c r="E179">
        <v>19</v>
      </c>
      <c r="F179" t="s">
        <v>99</v>
      </c>
      <c r="G179" t="s">
        <v>51</v>
      </c>
      <c r="H179">
        <v>2250000</v>
      </c>
      <c r="I179">
        <v>2250000</v>
      </c>
      <c r="J179" t="s">
        <v>52</v>
      </c>
      <c r="K179">
        <v>12</v>
      </c>
      <c r="L179">
        <v>696</v>
      </c>
      <c r="M179">
        <v>1</v>
      </c>
      <c r="N179">
        <v>301</v>
      </c>
      <c r="O179">
        <v>0</v>
      </c>
      <c r="P179">
        <v>2</v>
      </c>
      <c r="Q179">
        <v>0</v>
      </c>
      <c r="R179">
        <v>5</v>
      </c>
      <c r="S179">
        <v>0</v>
      </c>
      <c r="T179">
        <v>7</v>
      </c>
      <c r="U179">
        <v>2</v>
      </c>
      <c r="V179">
        <v>0</v>
      </c>
      <c r="W179">
        <v>8</v>
      </c>
      <c r="X179">
        <v>0</v>
      </c>
      <c r="Y179">
        <v>0</v>
      </c>
      <c r="Z179">
        <v>0</v>
      </c>
      <c r="AA179">
        <v>1</v>
      </c>
      <c r="AB179">
        <v>2</v>
      </c>
      <c r="AC179">
        <v>0</v>
      </c>
      <c r="AD179">
        <v>0</v>
      </c>
      <c r="AE179">
        <v>18</v>
      </c>
      <c r="AF179">
        <v>3</v>
      </c>
      <c r="AG179">
        <v>23</v>
      </c>
      <c r="AH179">
        <v>7</v>
      </c>
      <c r="AI179">
        <v>0</v>
      </c>
      <c r="AJ179">
        <v>23</v>
      </c>
      <c r="AK179">
        <v>0</v>
      </c>
      <c r="AL179">
        <v>0</v>
      </c>
      <c r="AM179">
        <v>16</v>
      </c>
      <c r="AN179">
        <v>27</v>
      </c>
      <c r="AO179">
        <v>18</v>
      </c>
      <c r="AQ179" t="str">
        <f t="shared" si="2"/>
        <v>Defensive Forward</v>
      </c>
    </row>
    <row r="180" spans="1:43" x14ac:dyDescent="0.35">
      <c r="A180" t="s">
        <v>189</v>
      </c>
      <c r="B180" t="s">
        <v>43</v>
      </c>
      <c r="C180" t="s">
        <v>1047</v>
      </c>
      <c r="D180">
        <v>1996</v>
      </c>
      <c r="E180">
        <v>20</v>
      </c>
      <c r="F180" t="s">
        <v>99</v>
      </c>
      <c r="G180" t="s">
        <v>51</v>
      </c>
      <c r="H180">
        <v>2250000</v>
      </c>
      <c r="I180">
        <v>7200000</v>
      </c>
      <c r="J180" t="s">
        <v>52</v>
      </c>
      <c r="K180">
        <v>24</v>
      </c>
      <c r="L180">
        <v>1852</v>
      </c>
      <c r="M180">
        <v>0</v>
      </c>
      <c r="N180">
        <v>901</v>
      </c>
      <c r="O180">
        <v>2</v>
      </c>
      <c r="P180">
        <v>1</v>
      </c>
      <c r="Q180">
        <v>1</v>
      </c>
      <c r="R180">
        <v>4</v>
      </c>
      <c r="S180">
        <v>3</v>
      </c>
      <c r="T180">
        <v>1</v>
      </c>
      <c r="U180">
        <v>1</v>
      </c>
      <c r="V180">
        <v>0</v>
      </c>
      <c r="W180">
        <v>33</v>
      </c>
      <c r="X180">
        <v>0</v>
      </c>
      <c r="Y180">
        <v>0</v>
      </c>
      <c r="Z180">
        <v>0</v>
      </c>
      <c r="AA180">
        <v>4</v>
      </c>
      <c r="AB180">
        <v>0</v>
      </c>
      <c r="AC180">
        <v>0</v>
      </c>
      <c r="AD180">
        <v>1</v>
      </c>
      <c r="AE180">
        <v>84</v>
      </c>
      <c r="AF180">
        <v>4</v>
      </c>
      <c r="AG180">
        <v>28</v>
      </c>
      <c r="AH180">
        <v>13</v>
      </c>
      <c r="AI180">
        <v>0</v>
      </c>
      <c r="AJ180">
        <v>36</v>
      </c>
      <c r="AK180">
        <v>1</v>
      </c>
      <c r="AL180">
        <v>0</v>
      </c>
      <c r="AM180">
        <v>62</v>
      </c>
      <c r="AN180">
        <v>67</v>
      </c>
      <c r="AO180">
        <v>61</v>
      </c>
      <c r="AQ180" t="str">
        <f t="shared" si="2"/>
        <v>Defensive Forward</v>
      </c>
    </row>
    <row r="181" spans="1:43" x14ac:dyDescent="0.35">
      <c r="A181" t="s">
        <v>190</v>
      </c>
      <c r="B181" t="s">
        <v>46</v>
      </c>
      <c r="C181" t="s">
        <v>1048</v>
      </c>
      <c r="D181">
        <v>1993</v>
      </c>
      <c r="E181">
        <v>25</v>
      </c>
      <c r="F181" t="s">
        <v>191</v>
      </c>
      <c r="G181" t="s">
        <v>62</v>
      </c>
      <c r="H181">
        <v>22500000</v>
      </c>
      <c r="I181">
        <v>22500000</v>
      </c>
      <c r="J181" t="s">
        <v>52</v>
      </c>
      <c r="K181">
        <v>27</v>
      </c>
      <c r="L181">
        <v>1839</v>
      </c>
      <c r="M181">
        <v>0</v>
      </c>
      <c r="N181">
        <v>1085</v>
      </c>
      <c r="O181">
        <v>0</v>
      </c>
      <c r="P181">
        <v>2</v>
      </c>
      <c r="Q181">
        <v>0</v>
      </c>
      <c r="R181">
        <v>7</v>
      </c>
      <c r="S181">
        <v>2</v>
      </c>
      <c r="T181">
        <v>14</v>
      </c>
      <c r="U181">
        <v>1</v>
      </c>
      <c r="V181">
        <v>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13</v>
      </c>
      <c r="AD181">
        <v>7</v>
      </c>
      <c r="AE181">
        <v>43</v>
      </c>
      <c r="AF181">
        <v>10</v>
      </c>
      <c r="AG181">
        <v>23</v>
      </c>
      <c r="AH181">
        <v>18</v>
      </c>
      <c r="AI181">
        <v>0</v>
      </c>
      <c r="AJ181">
        <v>56</v>
      </c>
      <c r="AK181">
        <v>0</v>
      </c>
      <c r="AL181">
        <v>0</v>
      </c>
      <c r="AM181">
        <v>62</v>
      </c>
      <c r="AN181">
        <v>45</v>
      </c>
      <c r="AO181">
        <v>37</v>
      </c>
      <c r="AQ181" t="str">
        <f t="shared" si="2"/>
        <v>Defensive Forward</v>
      </c>
    </row>
    <row r="182" spans="1:43" x14ac:dyDescent="0.35">
      <c r="A182" t="s">
        <v>190</v>
      </c>
      <c r="B182" t="s">
        <v>47</v>
      </c>
      <c r="C182" t="s">
        <v>1049</v>
      </c>
      <c r="D182">
        <v>1993</v>
      </c>
      <c r="E182">
        <v>23</v>
      </c>
      <c r="F182" t="s">
        <v>191</v>
      </c>
      <c r="G182" t="s">
        <v>62</v>
      </c>
      <c r="H182">
        <v>7200000</v>
      </c>
      <c r="I182">
        <v>10800000</v>
      </c>
      <c r="J182" t="s">
        <v>52</v>
      </c>
      <c r="K182">
        <v>23</v>
      </c>
      <c r="L182">
        <v>1735</v>
      </c>
      <c r="M182">
        <v>1</v>
      </c>
      <c r="N182">
        <v>1052</v>
      </c>
      <c r="O182">
        <v>3</v>
      </c>
      <c r="P182">
        <v>1</v>
      </c>
      <c r="Q182">
        <v>0</v>
      </c>
      <c r="R182">
        <v>5</v>
      </c>
      <c r="S182">
        <v>1</v>
      </c>
      <c r="T182">
        <v>13</v>
      </c>
      <c r="U182">
        <v>4</v>
      </c>
      <c r="V182">
        <v>0</v>
      </c>
      <c r="W182">
        <v>41</v>
      </c>
      <c r="X182">
        <v>0</v>
      </c>
      <c r="Y182">
        <v>0</v>
      </c>
      <c r="Z182">
        <v>0</v>
      </c>
      <c r="AA182">
        <v>2</v>
      </c>
      <c r="AB182">
        <v>1</v>
      </c>
      <c r="AC182">
        <v>0</v>
      </c>
      <c r="AD182">
        <v>14</v>
      </c>
      <c r="AE182">
        <v>75</v>
      </c>
      <c r="AF182">
        <v>7</v>
      </c>
      <c r="AG182">
        <v>12</v>
      </c>
      <c r="AH182">
        <v>13</v>
      </c>
      <c r="AI182">
        <v>0</v>
      </c>
      <c r="AJ182">
        <v>39</v>
      </c>
      <c r="AK182">
        <v>0</v>
      </c>
      <c r="AL182">
        <v>0</v>
      </c>
      <c r="AM182">
        <v>78</v>
      </c>
      <c r="AN182">
        <v>48</v>
      </c>
      <c r="AO182">
        <v>43</v>
      </c>
      <c r="AQ182" t="str">
        <f t="shared" si="2"/>
        <v>Defensive Forward</v>
      </c>
    </row>
    <row r="183" spans="1:43" x14ac:dyDescent="0.35">
      <c r="A183" t="s">
        <v>190</v>
      </c>
      <c r="B183" t="s">
        <v>39</v>
      </c>
      <c r="C183" t="s">
        <v>1050</v>
      </c>
      <c r="D183">
        <v>1993</v>
      </c>
      <c r="E183">
        <v>22</v>
      </c>
      <c r="F183" t="s">
        <v>191</v>
      </c>
      <c r="G183" t="s">
        <v>62</v>
      </c>
      <c r="H183">
        <v>7200000</v>
      </c>
      <c r="I183">
        <v>7200000</v>
      </c>
      <c r="J183" t="s">
        <v>52</v>
      </c>
      <c r="K183">
        <v>17</v>
      </c>
      <c r="L183">
        <v>1288</v>
      </c>
      <c r="M183">
        <v>0</v>
      </c>
      <c r="N183">
        <v>623</v>
      </c>
      <c r="O183">
        <v>0</v>
      </c>
      <c r="P183">
        <v>3</v>
      </c>
      <c r="Q183">
        <v>0</v>
      </c>
      <c r="R183">
        <v>3</v>
      </c>
      <c r="S183">
        <v>0</v>
      </c>
      <c r="T183">
        <v>9</v>
      </c>
      <c r="U183">
        <v>0</v>
      </c>
      <c r="V183">
        <v>1</v>
      </c>
      <c r="W183">
        <v>36</v>
      </c>
      <c r="X183">
        <v>0</v>
      </c>
      <c r="Y183">
        <v>0</v>
      </c>
      <c r="Z183">
        <v>0</v>
      </c>
      <c r="AA183">
        <v>0</v>
      </c>
      <c r="AB183">
        <v>2</v>
      </c>
      <c r="AC183">
        <v>0</v>
      </c>
      <c r="AD183">
        <v>1</v>
      </c>
      <c r="AE183">
        <v>42</v>
      </c>
      <c r="AF183">
        <v>6</v>
      </c>
      <c r="AG183">
        <v>28</v>
      </c>
      <c r="AH183">
        <v>16</v>
      </c>
      <c r="AI183">
        <v>0</v>
      </c>
      <c r="AJ183">
        <v>32</v>
      </c>
      <c r="AK183">
        <v>0</v>
      </c>
      <c r="AL183">
        <v>0</v>
      </c>
      <c r="AM183">
        <v>61</v>
      </c>
      <c r="AN183">
        <v>25</v>
      </c>
      <c r="AO183">
        <v>24</v>
      </c>
      <c r="AQ183" t="str">
        <f t="shared" si="2"/>
        <v>Defensive Forward</v>
      </c>
    </row>
    <row r="184" spans="1:43" x14ac:dyDescent="0.35">
      <c r="A184" t="s">
        <v>190</v>
      </c>
      <c r="B184" t="s">
        <v>43</v>
      </c>
      <c r="C184" t="s">
        <v>1051</v>
      </c>
      <c r="D184">
        <v>1993</v>
      </c>
      <c r="E184">
        <v>24</v>
      </c>
      <c r="F184" t="s">
        <v>191</v>
      </c>
      <c r="G184" t="s">
        <v>62</v>
      </c>
      <c r="H184">
        <v>10800000</v>
      </c>
      <c r="I184">
        <v>22500000</v>
      </c>
      <c r="J184" t="s">
        <v>52</v>
      </c>
      <c r="K184">
        <v>29</v>
      </c>
      <c r="L184">
        <v>2325</v>
      </c>
      <c r="M184">
        <v>2</v>
      </c>
      <c r="N184">
        <v>1304</v>
      </c>
      <c r="O184">
        <v>6</v>
      </c>
      <c r="P184">
        <v>3</v>
      </c>
      <c r="Q184">
        <v>0</v>
      </c>
      <c r="R184">
        <v>3</v>
      </c>
      <c r="S184">
        <v>2</v>
      </c>
      <c r="T184">
        <v>18</v>
      </c>
      <c r="U184">
        <v>6</v>
      </c>
      <c r="V184">
        <v>0</v>
      </c>
      <c r="W184">
        <v>33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12</v>
      </c>
      <c r="AD184">
        <v>49</v>
      </c>
      <c r="AE184">
        <v>149</v>
      </c>
      <c r="AF184">
        <v>5</v>
      </c>
      <c r="AG184">
        <v>28</v>
      </c>
      <c r="AH184">
        <v>24</v>
      </c>
      <c r="AI184">
        <v>0</v>
      </c>
      <c r="AJ184">
        <v>47</v>
      </c>
      <c r="AK184">
        <v>0</v>
      </c>
      <c r="AL184">
        <v>0</v>
      </c>
      <c r="AM184">
        <v>62</v>
      </c>
      <c r="AN184">
        <v>45</v>
      </c>
      <c r="AO184">
        <v>50</v>
      </c>
      <c r="AQ184" t="str">
        <f t="shared" si="2"/>
        <v>Defensive Forward</v>
      </c>
    </row>
    <row r="185" spans="1:43" x14ac:dyDescent="0.35">
      <c r="A185" t="s">
        <v>192</v>
      </c>
      <c r="B185" t="s">
        <v>47</v>
      </c>
      <c r="C185" t="s">
        <v>1052</v>
      </c>
      <c r="D185">
        <v>1993</v>
      </c>
      <c r="E185">
        <v>23</v>
      </c>
      <c r="F185" t="s">
        <v>48</v>
      </c>
      <c r="G185" t="s">
        <v>51</v>
      </c>
      <c r="H185">
        <v>2200000</v>
      </c>
      <c r="I185">
        <v>8800000</v>
      </c>
      <c r="J185" t="s">
        <v>52</v>
      </c>
      <c r="K185">
        <v>38</v>
      </c>
      <c r="L185">
        <v>3420</v>
      </c>
      <c r="M185">
        <v>1</v>
      </c>
      <c r="N185">
        <v>1682</v>
      </c>
      <c r="O185">
        <v>1</v>
      </c>
      <c r="P185">
        <v>4</v>
      </c>
      <c r="Q185">
        <v>0</v>
      </c>
      <c r="R185">
        <v>0</v>
      </c>
      <c r="S185">
        <v>0</v>
      </c>
      <c r="T185">
        <v>15</v>
      </c>
      <c r="U185">
        <v>6</v>
      </c>
      <c r="V185">
        <v>0</v>
      </c>
      <c r="W185">
        <v>119</v>
      </c>
      <c r="X185">
        <v>1</v>
      </c>
      <c r="Y185">
        <v>0</v>
      </c>
      <c r="Z185">
        <v>0</v>
      </c>
      <c r="AA185">
        <v>1</v>
      </c>
      <c r="AB185">
        <v>0</v>
      </c>
      <c r="AC185">
        <v>0</v>
      </c>
      <c r="AD185">
        <v>0</v>
      </c>
      <c r="AE185">
        <v>0</v>
      </c>
      <c r="AF185">
        <v>31</v>
      </c>
      <c r="AG185">
        <v>57</v>
      </c>
      <c r="AH185">
        <v>19</v>
      </c>
      <c r="AI185">
        <v>2</v>
      </c>
      <c r="AJ185">
        <v>31</v>
      </c>
      <c r="AK185">
        <v>0</v>
      </c>
      <c r="AL185">
        <v>0</v>
      </c>
      <c r="AM185">
        <v>234</v>
      </c>
      <c r="AN185">
        <v>61</v>
      </c>
      <c r="AO185">
        <v>67</v>
      </c>
      <c r="AQ185" t="str">
        <f t="shared" si="2"/>
        <v>Defensive Forward</v>
      </c>
    </row>
    <row r="186" spans="1:43" x14ac:dyDescent="0.35">
      <c r="A186" t="s">
        <v>193</v>
      </c>
      <c r="B186" t="s">
        <v>47</v>
      </c>
      <c r="C186" t="s">
        <v>1053</v>
      </c>
      <c r="D186">
        <v>1989</v>
      </c>
      <c r="E186">
        <v>26</v>
      </c>
      <c r="F186" t="s">
        <v>56</v>
      </c>
      <c r="G186" t="s">
        <v>51</v>
      </c>
      <c r="H186">
        <v>3150000</v>
      </c>
      <c r="I186">
        <v>5400000</v>
      </c>
      <c r="J186" t="s">
        <v>52</v>
      </c>
      <c r="K186">
        <v>34</v>
      </c>
      <c r="L186">
        <v>3015</v>
      </c>
      <c r="M186">
        <v>0</v>
      </c>
      <c r="N186">
        <v>1146</v>
      </c>
      <c r="O186">
        <v>0</v>
      </c>
      <c r="P186">
        <v>5</v>
      </c>
      <c r="Q186">
        <v>0</v>
      </c>
      <c r="R186">
        <v>0</v>
      </c>
      <c r="S186">
        <v>1</v>
      </c>
      <c r="T186">
        <v>16</v>
      </c>
      <c r="U186">
        <v>6</v>
      </c>
      <c r="V186">
        <v>0</v>
      </c>
      <c r="W186">
        <v>176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4</v>
      </c>
      <c r="AF186">
        <v>46</v>
      </c>
      <c r="AG186">
        <v>72</v>
      </c>
      <c r="AH186">
        <v>23</v>
      </c>
      <c r="AI186">
        <v>2</v>
      </c>
      <c r="AJ186">
        <v>47</v>
      </c>
      <c r="AK186">
        <v>1</v>
      </c>
      <c r="AL186">
        <v>2</v>
      </c>
      <c r="AM186">
        <v>300</v>
      </c>
      <c r="AN186">
        <v>126</v>
      </c>
      <c r="AO186">
        <v>77</v>
      </c>
      <c r="AQ186" t="str">
        <f t="shared" si="2"/>
        <v>Defensive Forward</v>
      </c>
    </row>
    <row r="187" spans="1:43" x14ac:dyDescent="0.35">
      <c r="A187" t="s">
        <v>193</v>
      </c>
      <c r="B187" t="s">
        <v>43</v>
      </c>
      <c r="C187" t="s">
        <v>1054</v>
      </c>
      <c r="D187">
        <v>1989</v>
      </c>
      <c r="E187">
        <v>28</v>
      </c>
      <c r="F187" t="s">
        <v>56</v>
      </c>
      <c r="G187" t="s">
        <v>51</v>
      </c>
      <c r="H187">
        <v>5400000</v>
      </c>
      <c r="I187">
        <v>9000000</v>
      </c>
      <c r="J187" t="s">
        <v>52</v>
      </c>
      <c r="K187">
        <v>29</v>
      </c>
      <c r="L187">
        <v>2610</v>
      </c>
      <c r="M187">
        <v>0</v>
      </c>
      <c r="N187">
        <v>1071</v>
      </c>
      <c r="O187">
        <v>0</v>
      </c>
      <c r="P187">
        <v>5</v>
      </c>
      <c r="Q187">
        <v>0</v>
      </c>
      <c r="R187">
        <v>0</v>
      </c>
      <c r="S187">
        <v>0</v>
      </c>
      <c r="T187">
        <v>25</v>
      </c>
      <c r="U187">
        <v>8</v>
      </c>
      <c r="V187">
        <v>0</v>
      </c>
      <c r="W187">
        <v>138</v>
      </c>
      <c r="X187">
        <v>0</v>
      </c>
      <c r="Y187">
        <v>0</v>
      </c>
      <c r="Z187">
        <v>0</v>
      </c>
      <c r="AA187">
        <v>3</v>
      </c>
      <c r="AB187">
        <v>0</v>
      </c>
      <c r="AC187">
        <v>17</v>
      </c>
      <c r="AD187">
        <v>0</v>
      </c>
      <c r="AE187">
        <v>3</v>
      </c>
      <c r="AF187">
        <v>42</v>
      </c>
      <c r="AG187">
        <v>33</v>
      </c>
      <c r="AH187">
        <v>14</v>
      </c>
      <c r="AI187">
        <v>2</v>
      </c>
      <c r="AJ187">
        <v>33</v>
      </c>
      <c r="AK187">
        <v>1</v>
      </c>
      <c r="AL187">
        <v>0</v>
      </c>
      <c r="AM187">
        <v>208</v>
      </c>
      <c r="AN187">
        <v>117</v>
      </c>
      <c r="AO187">
        <v>78</v>
      </c>
      <c r="AQ187" t="str">
        <f t="shared" si="2"/>
        <v>Defensive Forward</v>
      </c>
    </row>
    <row r="188" spans="1:43" x14ac:dyDescent="0.35">
      <c r="A188" t="s">
        <v>193</v>
      </c>
      <c r="B188" t="s">
        <v>46</v>
      </c>
      <c r="C188" t="s">
        <v>1055</v>
      </c>
      <c r="D188">
        <v>1989</v>
      </c>
      <c r="E188">
        <v>28</v>
      </c>
      <c r="F188" t="s">
        <v>56</v>
      </c>
      <c r="G188" t="s">
        <v>51</v>
      </c>
      <c r="H188">
        <v>9000000</v>
      </c>
      <c r="I188">
        <v>9000000</v>
      </c>
      <c r="J188" t="s">
        <v>52</v>
      </c>
      <c r="K188">
        <v>38</v>
      </c>
      <c r="L188">
        <v>3420</v>
      </c>
      <c r="M188">
        <v>0</v>
      </c>
      <c r="N188">
        <v>1502</v>
      </c>
      <c r="O188">
        <v>2</v>
      </c>
      <c r="P188">
        <v>9</v>
      </c>
      <c r="Q188">
        <v>0</v>
      </c>
      <c r="R188">
        <v>0</v>
      </c>
      <c r="S188">
        <v>0</v>
      </c>
      <c r="T188">
        <v>21</v>
      </c>
      <c r="U188">
        <v>4</v>
      </c>
      <c r="V188">
        <v>1</v>
      </c>
      <c r="W188">
        <v>127</v>
      </c>
      <c r="X188">
        <v>0</v>
      </c>
      <c r="Y188">
        <v>0</v>
      </c>
      <c r="Z188">
        <v>0</v>
      </c>
      <c r="AA188">
        <v>0</v>
      </c>
      <c r="AB188">
        <v>1</v>
      </c>
      <c r="AC188">
        <v>17</v>
      </c>
      <c r="AD188">
        <v>0</v>
      </c>
      <c r="AE188">
        <v>4</v>
      </c>
      <c r="AF188">
        <v>50</v>
      </c>
      <c r="AG188">
        <v>48</v>
      </c>
      <c r="AH188">
        <v>27</v>
      </c>
      <c r="AI188">
        <v>1</v>
      </c>
      <c r="AJ188">
        <v>54</v>
      </c>
      <c r="AK188">
        <v>1</v>
      </c>
      <c r="AL188">
        <v>2</v>
      </c>
      <c r="AM188">
        <v>232</v>
      </c>
      <c r="AN188">
        <v>149</v>
      </c>
      <c r="AO188">
        <v>105</v>
      </c>
      <c r="AQ188" t="str">
        <f t="shared" si="2"/>
        <v>Defensive Forward</v>
      </c>
    </row>
    <row r="189" spans="1:43" x14ac:dyDescent="0.35">
      <c r="A189" t="s">
        <v>194</v>
      </c>
      <c r="B189" t="s">
        <v>39</v>
      </c>
      <c r="C189" t="s">
        <v>1056</v>
      </c>
      <c r="D189">
        <v>1985</v>
      </c>
      <c r="E189">
        <v>30</v>
      </c>
      <c r="F189" t="s">
        <v>66</v>
      </c>
      <c r="G189" t="s">
        <v>51</v>
      </c>
      <c r="H189">
        <v>1350000</v>
      </c>
      <c r="I189">
        <v>1350000</v>
      </c>
      <c r="J189" t="s">
        <v>55</v>
      </c>
      <c r="K189">
        <v>35</v>
      </c>
      <c r="L189">
        <v>2815</v>
      </c>
      <c r="M189">
        <v>2</v>
      </c>
      <c r="N189">
        <v>1436</v>
      </c>
      <c r="O189">
        <v>0</v>
      </c>
      <c r="P189">
        <v>4</v>
      </c>
      <c r="Q189">
        <v>0</v>
      </c>
      <c r="R189">
        <v>4</v>
      </c>
      <c r="S189">
        <v>3</v>
      </c>
      <c r="T189">
        <v>17</v>
      </c>
      <c r="U189">
        <v>4</v>
      </c>
      <c r="V189">
        <v>2</v>
      </c>
      <c r="W189">
        <v>19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89</v>
      </c>
      <c r="AE189">
        <v>123</v>
      </c>
      <c r="AF189">
        <v>13</v>
      </c>
      <c r="AG189">
        <v>88</v>
      </c>
      <c r="AH189">
        <v>36</v>
      </c>
      <c r="AI189">
        <v>0</v>
      </c>
      <c r="AJ189">
        <v>71</v>
      </c>
      <c r="AK189">
        <v>0</v>
      </c>
      <c r="AL189">
        <v>0</v>
      </c>
      <c r="AM189">
        <v>62</v>
      </c>
      <c r="AN189">
        <v>41</v>
      </c>
      <c r="AO189">
        <v>33</v>
      </c>
      <c r="AQ189" t="str">
        <f t="shared" si="2"/>
        <v>Midfielder</v>
      </c>
    </row>
    <row r="190" spans="1:43" x14ac:dyDescent="0.35">
      <c r="A190" t="s">
        <v>195</v>
      </c>
      <c r="B190" t="s">
        <v>39</v>
      </c>
      <c r="C190" t="s">
        <v>1057</v>
      </c>
      <c r="D190">
        <v>1993</v>
      </c>
      <c r="E190">
        <v>22</v>
      </c>
      <c r="F190" t="s">
        <v>84</v>
      </c>
      <c r="G190" t="s">
        <v>174</v>
      </c>
      <c r="H190">
        <v>1650000</v>
      </c>
      <c r="I190">
        <v>6300000</v>
      </c>
      <c r="J190" t="s">
        <v>42</v>
      </c>
      <c r="K190">
        <v>15</v>
      </c>
      <c r="L190">
        <v>936</v>
      </c>
      <c r="M190">
        <v>4</v>
      </c>
      <c r="N190">
        <v>224</v>
      </c>
      <c r="O190">
        <v>0</v>
      </c>
      <c r="P190">
        <v>0</v>
      </c>
      <c r="Q190">
        <v>0</v>
      </c>
      <c r="R190">
        <v>3</v>
      </c>
      <c r="S190">
        <v>10</v>
      </c>
      <c r="T190">
        <v>14</v>
      </c>
      <c r="U190">
        <v>0</v>
      </c>
      <c r="V190">
        <v>0</v>
      </c>
      <c r="W190">
        <v>6</v>
      </c>
      <c r="X190">
        <v>3</v>
      </c>
      <c r="Y190">
        <v>0</v>
      </c>
      <c r="Z190">
        <v>0</v>
      </c>
      <c r="AA190">
        <v>9</v>
      </c>
      <c r="AB190">
        <v>0</v>
      </c>
      <c r="AC190">
        <v>4</v>
      </c>
      <c r="AD190">
        <v>0</v>
      </c>
      <c r="AE190">
        <v>4</v>
      </c>
      <c r="AF190">
        <v>0</v>
      </c>
      <c r="AG190">
        <v>2</v>
      </c>
      <c r="AH190">
        <v>15</v>
      </c>
      <c r="AI190">
        <v>0</v>
      </c>
      <c r="AJ190">
        <v>5</v>
      </c>
      <c r="AK190">
        <v>0</v>
      </c>
      <c r="AL190">
        <v>0</v>
      </c>
      <c r="AM190">
        <v>9</v>
      </c>
      <c r="AN190">
        <v>10</v>
      </c>
      <c r="AO190">
        <v>31</v>
      </c>
      <c r="AQ190" t="str">
        <f t="shared" si="2"/>
        <v>Forward</v>
      </c>
    </row>
    <row r="191" spans="1:43" x14ac:dyDescent="0.35">
      <c r="A191" t="s">
        <v>195</v>
      </c>
      <c r="B191" t="s">
        <v>47</v>
      </c>
      <c r="C191" t="s">
        <v>1058</v>
      </c>
      <c r="D191">
        <v>1993</v>
      </c>
      <c r="E191">
        <v>23</v>
      </c>
      <c r="F191" t="s">
        <v>84</v>
      </c>
      <c r="G191" t="s">
        <v>174</v>
      </c>
      <c r="H191">
        <v>6300000</v>
      </c>
      <c r="I191">
        <v>8100000</v>
      </c>
      <c r="J191" t="s">
        <v>42</v>
      </c>
      <c r="K191">
        <v>31</v>
      </c>
      <c r="L191">
        <v>1454</v>
      </c>
      <c r="M191">
        <v>6</v>
      </c>
      <c r="N191">
        <v>297</v>
      </c>
      <c r="O191">
        <v>3</v>
      </c>
      <c r="P191">
        <v>1</v>
      </c>
      <c r="Q191">
        <v>0</v>
      </c>
      <c r="R191">
        <v>17</v>
      </c>
      <c r="S191">
        <v>7</v>
      </c>
      <c r="T191">
        <v>39</v>
      </c>
      <c r="U191">
        <v>18</v>
      </c>
      <c r="V191">
        <v>2</v>
      </c>
      <c r="W191">
        <v>16</v>
      </c>
      <c r="X191">
        <v>0</v>
      </c>
      <c r="Y191">
        <v>0</v>
      </c>
      <c r="Z191">
        <v>0</v>
      </c>
      <c r="AA191">
        <v>14</v>
      </c>
      <c r="AB191">
        <v>0</v>
      </c>
      <c r="AC191">
        <v>13</v>
      </c>
      <c r="AD191">
        <v>2</v>
      </c>
      <c r="AE191">
        <v>2</v>
      </c>
      <c r="AF191">
        <v>2</v>
      </c>
      <c r="AG191">
        <v>5</v>
      </c>
      <c r="AH191">
        <v>21</v>
      </c>
      <c r="AI191">
        <v>0</v>
      </c>
      <c r="AJ191">
        <v>9</v>
      </c>
      <c r="AK191">
        <v>0</v>
      </c>
      <c r="AL191">
        <v>0</v>
      </c>
      <c r="AM191">
        <v>19</v>
      </c>
      <c r="AN191">
        <v>40</v>
      </c>
      <c r="AO191">
        <v>65</v>
      </c>
      <c r="AQ191" t="str">
        <f t="shared" si="2"/>
        <v>Forward</v>
      </c>
    </row>
    <row r="192" spans="1:43" x14ac:dyDescent="0.35">
      <c r="A192" t="s">
        <v>195</v>
      </c>
      <c r="B192" t="s">
        <v>43</v>
      </c>
      <c r="C192" t="s">
        <v>1059</v>
      </c>
      <c r="D192">
        <v>1993</v>
      </c>
      <c r="E192">
        <v>24</v>
      </c>
      <c r="F192" t="s">
        <v>84</v>
      </c>
      <c r="G192" t="s">
        <v>174</v>
      </c>
      <c r="H192">
        <v>8100000</v>
      </c>
      <c r="I192">
        <v>9000000</v>
      </c>
      <c r="J192" t="s">
        <v>42</v>
      </c>
      <c r="K192">
        <v>17</v>
      </c>
      <c r="L192">
        <v>533</v>
      </c>
      <c r="M192">
        <v>0</v>
      </c>
      <c r="N192">
        <v>152</v>
      </c>
      <c r="O192">
        <v>0</v>
      </c>
      <c r="P192">
        <v>0</v>
      </c>
      <c r="Q192">
        <v>0</v>
      </c>
      <c r="R192">
        <v>12</v>
      </c>
      <c r="S192">
        <v>5</v>
      </c>
      <c r="T192">
        <v>3</v>
      </c>
      <c r="U192">
        <v>3</v>
      </c>
      <c r="V192">
        <v>0</v>
      </c>
      <c r="W192">
        <v>5</v>
      </c>
      <c r="X192">
        <v>0</v>
      </c>
      <c r="Y192">
        <v>0</v>
      </c>
      <c r="Z192">
        <v>0</v>
      </c>
      <c r="AA192">
        <v>4</v>
      </c>
      <c r="AB192">
        <v>0</v>
      </c>
      <c r="AC192">
        <v>0</v>
      </c>
      <c r="AD192">
        <v>0</v>
      </c>
      <c r="AE192">
        <v>2</v>
      </c>
      <c r="AF192">
        <v>0</v>
      </c>
      <c r="AG192">
        <v>0</v>
      </c>
      <c r="AH192">
        <v>9</v>
      </c>
      <c r="AI192">
        <v>0</v>
      </c>
      <c r="AJ192">
        <v>4</v>
      </c>
      <c r="AK192">
        <v>0</v>
      </c>
      <c r="AL192">
        <v>0</v>
      </c>
      <c r="AM192">
        <v>6</v>
      </c>
      <c r="AN192">
        <v>24</v>
      </c>
      <c r="AO192">
        <v>38</v>
      </c>
      <c r="AQ192" t="str">
        <f t="shared" si="2"/>
        <v>Forward</v>
      </c>
    </row>
    <row r="193" spans="1:43" x14ac:dyDescent="0.35">
      <c r="A193" t="s">
        <v>196</v>
      </c>
      <c r="B193" t="s">
        <v>46</v>
      </c>
      <c r="C193" t="s">
        <v>1060</v>
      </c>
      <c r="D193">
        <v>1994</v>
      </c>
      <c r="E193">
        <v>24</v>
      </c>
      <c r="F193" t="s">
        <v>114</v>
      </c>
      <c r="G193" t="s">
        <v>67</v>
      </c>
      <c r="H193">
        <v>36000000</v>
      </c>
      <c r="I193">
        <v>31500000</v>
      </c>
      <c r="J193" t="s">
        <v>52</v>
      </c>
      <c r="K193">
        <v>10</v>
      </c>
      <c r="L193">
        <v>900</v>
      </c>
      <c r="M193">
        <v>0</v>
      </c>
      <c r="N193">
        <v>650</v>
      </c>
      <c r="O193">
        <v>5</v>
      </c>
      <c r="P193">
        <v>1</v>
      </c>
      <c r="Q193">
        <v>0</v>
      </c>
      <c r="R193">
        <v>0</v>
      </c>
      <c r="S193">
        <v>0</v>
      </c>
      <c r="T193">
        <v>7</v>
      </c>
      <c r="U193">
        <v>3</v>
      </c>
      <c r="V193">
        <v>0</v>
      </c>
      <c r="W193">
        <v>11</v>
      </c>
      <c r="X193">
        <v>0</v>
      </c>
      <c r="Y193">
        <v>0</v>
      </c>
      <c r="Z193">
        <v>0</v>
      </c>
      <c r="AA193">
        <v>0</v>
      </c>
      <c r="AB193">
        <v>2</v>
      </c>
      <c r="AC193">
        <v>4</v>
      </c>
      <c r="AD193">
        <v>0</v>
      </c>
      <c r="AE193">
        <v>51</v>
      </c>
      <c r="AF193">
        <v>4</v>
      </c>
      <c r="AG193">
        <v>10</v>
      </c>
      <c r="AH193">
        <v>12</v>
      </c>
      <c r="AI193">
        <v>0</v>
      </c>
      <c r="AJ193">
        <v>16</v>
      </c>
      <c r="AK193">
        <v>0</v>
      </c>
      <c r="AL193">
        <v>0</v>
      </c>
      <c r="AM193">
        <v>16</v>
      </c>
      <c r="AN193">
        <v>8</v>
      </c>
      <c r="AO193">
        <v>22</v>
      </c>
      <c r="AQ193" t="str">
        <f t="shared" si="2"/>
        <v>Defensive Forward</v>
      </c>
    </row>
    <row r="194" spans="1:43" x14ac:dyDescent="0.35">
      <c r="A194" t="s">
        <v>197</v>
      </c>
      <c r="B194" t="s">
        <v>43</v>
      </c>
      <c r="C194" t="s">
        <v>1061</v>
      </c>
      <c r="D194">
        <v>1988</v>
      </c>
      <c r="E194">
        <v>29</v>
      </c>
      <c r="F194" t="s">
        <v>134</v>
      </c>
      <c r="G194" t="s">
        <v>198</v>
      </c>
      <c r="H194">
        <v>1380000</v>
      </c>
      <c r="I194">
        <v>1650000</v>
      </c>
      <c r="J194" t="s">
        <v>55</v>
      </c>
      <c r="K194">
        <v>19</v>
      </c>
      <c r="L194">
        <v>740</v>
      </c>
      <c r="M194">
        <v>0</v>
      </c>
      <c r="N194">
        <v>227</v>
      </c>
      <c r="O194">
        <v>0</v>
      </c>
      <c r="P194">
        <v>2</v>
      </c>
      <c r="Q194">
        <v>0</v>
      </c>
      <c r="R194">
        <v>11</v>
      </c>
      <c r="S194">
        <v>5</v>
      </c>
      <c r="T194">
        <v>1</v>
      </c>
      <c r="U194">
        <v>1</v>
      </c>
      <c r="V194">
        <v>0</v>
      </c>
      <c r="W194">
        <v>2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5</v>
      </c>
      <c r="AF194">
        <v>4</v>
      </c>
      <c r="AG194">
        <v>12</v>
      </c>
      <c r="AH194">
        <v>15</v>
      </c>
      <c r="AI194">
        <v>0</v>
      </c>
      <c r="AJ194">
        <v>18</v>
      </c>
      <c r="AK194">
        <v>0</v>
      </c>
      <c r="AL194">
        <v>0</v>
      </c>
      <c r="AM194">
        <v>8</v>
      </c>
      <c r="AN194">
        <v>8</v>
      </c>
      <c r="AO194">
        <v>8</v>
      </c>
      <c r="AQ194" t="str">
        <f t="shared" ref="AQ194:AQ257" si="3">IF(J194 = "FW", REPLACE(J194,1,2,"Forward"),IF(J194 = "DF", "Defensive Forward", "Midfielder"))</f>
        <v>Midfielder</v>
      </c>
    </row>
    <row r="195" spans="1:43" x14ac:dyDescent="0.35">
      <c r="A195" t="s">
        <v>197</v>
      </c>
      <c r="B195" t="s">
        <v>46</v>
      </c>
      <c r="C195" t="s">
        <v>1062</v>
      </c>
      <c r="D195">
        <v>1988</v>
      </c>
      <c r="E195">
        <v>30</v>
      </c>
      <c r="F195" t="s">
        <v>134</v>
      </c>
      <c r="G195" t="s">
        <v>198</v>
      </c>
      <c r="H195">
        <v>1650000</v>
      </c>
      <c r="I195">
        <v>1650000</v>
      </c>
      <c r="J195" t="s">
        <v>55</v>
      </c>
      <c r="K195">
        <v>18</v>
      </c>
      <c r="L195">
        <v>937</v>
      </c>
      <c r="M195">
        <v>1</v>
      </c>
      <c r="N195">
        <v>271</v>
      </c>
      <c r="O195">
        <v>1</v>
      </c>
      <c r="P195">
        <v>4</v>
      </c>
      <c r="Q195">
        <v>0</v>
      </c>
      <c r="R195">
        <v>9</v>
      </c>
      <c r="S195">
        <v>2</v>
      </c>
      <c r="T195">
        <v>5</v>
      </c>
      <c r="U195">
        <v>2</v>
      </c>
      <c r="V195">
        <v>0</v>
      </c>
      <c r="W195">
        <v>17</v>
      </c>
      <c r="X195">
        <v>0</v>
      </c>
      <c r="Y195">
        <v>0</v>
      </c>
      <c r="Z195">
        <v>0</v>
      </c>
      <c r="AA195">
        <v>0</v>
      </c>
      <c r="AB195">
        <v>1</v>
      </c>
      <c r="AC195">
        <v>3</v>
      </c>
      <c r="AD195">
        <v>2</v>
      </c>
      <c r="AE195">
        <v>10</v>
      </c>
      <c r="AF195">
        <v>10</v>
      </c>
      <c r="AG195">
        <v>15</v>
      </c>
      <c r="AH195">
        <v>18</v>
      </c>
      <c r="AI195">
        <v>0</v>
      </c>
      <c r="AJ195">
        <v>28</v>
      </c>
      <c r="AK195">
        <v>0</v>
      </c>
      <c r="AL195">
        <v>0</v>
      </c>
      <c r="AM195">
        <v>25</v>
      </c>
      <c r="AN195">
        <v>16</v>
      </c>
      <c r="AO195">
        <v>27</v>
      </c>
      <c r="AQ195" t="str">
        <f t="shared" si="3"/>
        <v>Midfielder</v>
      </c>
    </row>
    <row r="196" spans="1:43" x14ac:dyDescent="0.35">
      <c r="A196" t="s">
        <v>199</v>
      </c>
      <c r="B196" t="s">
        <v>46</v>
      </c>
      <c r="C196" t="s">
        <v>1063</v>
      </c>
      <c r="D196">
        <v>1992</v>
      </c>
      <c r="E196">
        <v>25</v>
      </c>
      <c r="F196" t="s">
        <v>54</v>
      </c>
      <c r="G196" t="s">
        <v>154</v>
      </c>
      <c r="H196">
        <v>18000000</v>
      </c>
      <c r="I196">
        <v>22000000</v>
      </c>
      <c r="J196" t="s">
        <v>55</v>
      </c>
      <c r="K196">
        <v>34</v>
      </c>
      <c r="L196">
        <v>2127</v>
      </c>
      <c r="M196">
        <v>1</v>
      </c>
      <c r="N196">
        <v>806</v>
      </c>
      <c r="O196">
        <v>3</v>
      </c>
      <c r="P196">
        <v>5</v>
      </c>
      <c r="Q196">
        <v>0</v>
      </c>
      <c r="R196">
        <v>9</v>
      </c>
      <c r="S196">
        <v>21</v>
      </c>
      <c r="T196">
        <v>23</v>
      </c>
      <c r="U196">
        <v>5</v>
      </c>
      <c r="V196">
        <v>1</v>
      </c>
      <c r="W196">
        <v>2</v>
      </c>
      <c r="X196">
        <v>0</v>
      </c>
      <c r="Y196">
        <v>0</v>
      </c>
      <c r="Z196">
        <v>0</v>
      </c>
      <c r="AA196">
        <v>2</v>
      </c>
      <c r="AB196">
        <v>7</v>
      </c>
      <c r="AC196">
        <v>18</v>
      </c>
      <c r="AD196">
        <v>4</v>
      </c>
      <c r="AE196">
        <v>51</v>
      </c>
      <c r="AF196">
        <v>2</v>
      </c>
      <c r="AG196">
        <v>27</v>
      </c>
      <c r="AH196">
        <v>17</v>
      </c>
      <c r="AI196">
        <v>0</v>
      </c>
      <c r="AJ196">
        <v>49</v>
      </c>
      <c r="AK196">
        <v>0</v>
      </c>
      <c r="AL196">
        <v>0</v>
      </c>
      <c r="AM196">
        <v>12</v>
      </c>
      <c r="AN196">
        <v>3</v>
      </c>
      <c r="AO196">
        <v>13</v>
      </c>
      <c r="AQ196" t="str">
        <f t="shared" si="3"/>
        <v>Midfielder</v>
      </c>
    </row>
    <row r="197" spans="1:43" x14ac:dyDescent="0.35">
      <c r="A197" t="s">
        <v>200</v>
      </c>
      <c r="B197" t="s">
        <v>46</v>
      </c>
      <c r="C197" t="s">
        <v>1064</v>
      </c>
      <c r="D197">
        <v>1995</v>
      </c>
      <c r="E197">
        <v>23</v>
      </c>
      <c r="F197" t="s">
        <v>134</v>
      </c>
      <c r="G197" t="s">
        <v>154</v>
      </c>
      <c r="H197">
        <v>5400000</v>
      </c>
      <c r="I197">
        <v>8100000</v>
      </c>
      <c r="J197" t="s">
        <v>52</v>
      </c>
      <c r="K197">
        <v>22</v>
      </c>
      <c r="L197">
        <v>1750</v>
      </c>
      <c r="M197">
        <v>0</v>
      </c>
      <c r="N197">
        <v>785</v>
      </c>
      <c r="O197">
        <v>1</v>
      </c>
      <c r="P197">
        <v>4</v>
      </c>
      <c r="Q197">
        <v>0</v>
      </c>
      <c r="R197">
        <v>3</v>
      </c>
      <c r="S197">
        <v>1</v>
      </c>
      <c r="T197">
        <v>8</v>
      </c>
      <c r="U197">
        <v>3</v>
      </c>
      <c r="V197">
        <v>0</v>
      </c>
      <c r="W197">
        <v>37</v>
      </c>
      <c r="X197">
        <v>0</v>
      </c>
      <c r="Y197">
        <v>0</v>
      </c>
      <c r="Z197">
        <v>0</v>
      </c>
      <c r="AA197">
        <v>2</v>
      </c>
      <c r="AB197">
        <v>0</v>
      </c>
      <c r="AC197">
        <v>5</v>
      </c>
      <c r="AD197">
        <v>0</v>
      </c>
      <c r="AE197">
        <v>31</v>
      </c>
      <c r="AF197">
        <v>14</v>
      </c>
      <c r="AG197">
        <v>34</v>
      </c>
      <c r="AH197">
        <v>17</v>
      </c>
      <c r="AI197">
        <v>0</v>
      </c>
      <c r="AJ197">
        <v>62</v>
      </c>
      <c r="AK197">
        <v>0</v>
      </c>
      <c r="AL197">
        <v>0</v>
      </c>
      <c r="AM197">
        <v>66</v>
      </c>
      <c r="AN197">
        <v>44</v>
      </c>
      <c r="AO197">
        <v>30</v>
      </c>
      <c r="AQ197" t="str">
        <f t="shared" si="3"/>
        <v>Defensive Forward</v>
      </c>
    </row>
    <row r="198" spans="1:43" x14ac:dyDescent="0.35">
      <c r="A198" t="s">
        <v>201</v>
      </c>
      <c r="B198" t="s">
        <v>47</v>
      </c>
      <c r="C198" t="s">
        <v>1065</v>
      </c>
      <c r="D198">
        <v>1989</v>
      </c>
      <c r="E198">
        <v>27</v>
      </c>
      <c r="F198" t="s">
        <v>48</v>
      </c>
      <c r="G198" t="s">
        <v>202</v>
      </c>
      <c r="H198">
        <v>2750000</v>
      </c>
      <c r="I198">
        <v>2750000</v>
      </c>
      <c r="J198" t="s">
        <v>52</v>
      </c>
      <c r="K198">
        <v>11</v>
      </c>
      <c r="L198">
        <v>975</v>
      </c>
      <c r="M198">
        <v>0</v>
      </c>
      <c r="N198">
        <v>526</v>
      </c>
      <c r="O198">
        <v>0</v>
      </c>
      <c r="P198">
        <v>2</v>
      </c>
      <c r="Q198">
        <v>0</v>
      </c>
      <c r="R198">
        <v>1</v>
      </c>
      <c r="S198">
        <v>1</v>
      </c>
      <c r="T198">
        <v>2</v>
      </c>
      <c r="U198">
        <v>1</v>
      </c>
      <c r="V198">
        <v>0</v>
      </c>
      <c r="W198">
        <v>39</v>
      </c>
      <c r="X198">
        <v>0</v>
      </c>
      <c r="Y198">
        <v>0</v>
      </c>
      <c r="Z198">
        <v>0</v>
      </c>
      <c r="AA198">
        <v>1</v>
      </c>
      <c r="AB198">
        <v>0</v>
      </c>
      <c r="AC198">
        <v>0</v>
      </c>
      <c r="AD198">
        <v>0</v>
      </c>
      <c r="AE198">
        <v>0</v>
      </c>
      <c r="AF198">
        <v>7</v>
      </c>
      <c r="AG198">
        <v>17</v>
      </c>
      <c r="AH198">
        <v>17</v>
      </c>
      <c r="AI198">
        <v>0</v>
      </c>
      <c r="AJ198">
        <v>22</v>
      </c>
      <c r="AK198">
        <v>0</v>
      </c>
      <c r="AL198">
        <v>0</v>
      </c>
      <c r="AM198">
        <v>68</v>
      </c>
      <c r="AN198">
        <v>27</v>
      </c>
      <c r="AO198">
        <v>35</v>
      </c>
      <c r="AQ198" t="str">
        <f t="shared" si="3"/>
        <v>Defensive Forward</v>
      </c>
    </row>
    <row r="199" spans="1:43" x14ac:dyDescent="0.35">
      <c r="A199" t="s">
        <v>203</v>
      </c>
      <c r="B199" t="s">
        <v>43</v>
      </c>
      <c r="C199" t="s">
        <v>1066</v>
      </c>
      <c r="D199">
        <v>1994</v>
      </c>
      <c r="E199">
        <v>23</v>
      </c>
      <c r="F199" t="s">
        <v>114</v>
      </c>
      <c r="G199" t="s">
        <v>41</v>
      </c>
      <c r="H199">
        <v>36000000</v>
      </c>
      <c r="I199">
        <v>45000000</v>
      </c>
      <c r="J199" t="s">
        <v>55</v>
      </c>
      <c r="K199">
        <v>35</v>
      </c>
      <c r="L199">
        <v>1520</v>
      </c>
      <c r="M199">
        <v>6</v>
      </c>
      <c r="N199">
        <v>935</v>
      </c>
      <c r="O199">
        <v>4</v>
      </c>
      <c r="P199">
        <v>0</v>
      </c>
      <c r="Q199">
        <v>0</v>
      </c>
      <c r="R199">
        <v>20</v>
      </c>
      <c r="S199">
        <v>6</v>
      </c>
      <c r="T199">
        <v>25</v>
      </c>
      <c r="U199">
        <v>14</v>
      </c>
      <c r="V199">
        <v>1</v>
      </c>
      <c r="W199">
        <v>1</v>
      </c>
      <c r="X199">
        <v>0</v>
      </c>
      <c r="Y199">
        <v>0</v>
      </c>
      <c r="Z199">
        <v>0</v>
      </c>
      <c r="AA199">
        <v>0</v>
      </c>
      <c r="AB199">
        <v>2</v>
      </c>
      <c r="AC199">
        <v>11</v>
      </c>
      <c r="AD199">
        <v>10</v>
      </c>
      <c r="AE199">
        <v>50</v>
      </c>
      <c r="AF199">
        <v>1</v>
      </c>
      <c r="AG199">
        <v>10</v>
      </c>
      <c r="AH199">
        <v>9</v>
      </c>
      <c r="AI199">
        <v>0</v>
      </c>
      <c r="AJ199">
        <v>27</v>
      </c>
      <c r="AK199">
        <v>0</v>
      </c>
      <c r="AL199">
        <v>0</v>
      </c>
      <c r="AM199">
        <v>10</v>
      </c>
      <c r="AN199">
        <v>5</v>
      </c>
      <c r="AO199">
        <v>14</v>
      </c>
      <c r="AQ199" t="str">
        <f t="shared" si="3"/>
        <v>Midfielder</v>
      </c>
    </row>
    <row r="200" spans="1:43" x14ac:dyDescent="0.35">
      <c r="A200" t="s">
        <v>203</v>
      </c>
      <c r="B200" t="s">
        <v>46</v>
      </c>
      <c r="C200" t="s">
        <v>1067</v>
      </c>
      <c r="D200">
        <v>1994</v>
      </c>
      <c r="E200">
        <v>23</v>
      </c>
      <c r="F200" t="s">
        <v>114</v>
      </c>
      <c r="G200" t="s">
        <v>41</v>
      </c>
      <c r="H200">
        <v>45000000</v>
      </c>
      <c r="I200">
        <v>90000000</v>
      </c>
      <c r="J200" t="s">
        <v>55</v>
      </c>
      <c r="K200">
        <v>36</v>
      </c>
      <c r="L200">
        <v>2853</v>
      </c>
      <c r="M200">
        <v>7</v>
      </c>
      <c r="N200">
        <v>1706</v>
      </c>
      <c r="O200">
        <v>7</v>
      </c>
      <c r="P200">
        <v>3</v>
      </c>
      <c r="Q200">
        <v>0</v>
      </c>
      <c r="R200">
        <v>5</v>
      </c>
      <c r="S200">
        <v>4</v>
      </c>
      <c r="T200">
        <v>62</v>
      </c>
      <c r="U200">
        <v>22</v>
      </c>
      <c r="V200">
        <v>0</v>
      </c>
      <c r="W200">
        <v>7</v>
      </c>
      <c r="X200">
        <v>1</v>
      </c>
      <c r="Y200">
        <v>0</v>
      </c>
      <c r="Z200">
        <v>0</v>
      </c>
      <c r="AA200">
        <v>2</v>
      </c>
      <c r="AB200">
        <v>10</v>
      </c>
      <c r="AC200">
        <v>40</v>
      </c>
      <c r="AD200">
        <v>25</v>
      </c>
      <c r="AE200">
        <v>70</v>
      </c>
      <c r="AF200">
        <v>3</v>
      </c>
      <c r="AG200">
        <v>25</v>
      </c>
      <c r="AH200">
        <v>31</v>
      </c>
      <c r="AI200">
        <v>0</v>
      </c>
      <c r="AJ200">
        <v>52</v>
      </c>
      <c r="AK200">
        <v>0</v>
      </c>
      <c r="AL200">
        <v>0</v>
      </c>
      <c r="AM200">
        <v>24</v>
      </c>
      <c r="AN200">
        <v>11</v>
      </c>
      <c r="AO200">
        <v>27</v>
      </c>
      <c r="AQ200" t="str">
        <f t="shared" si="3"/>
        <v>Midfielder</v>
      </c>
    </row>
    <row r="201" spans="1:43" x14ac:dyDescent="0.35">
      <c r="A201" t="s">
        <v>204</v>
      </c>
      <c r="B201" t="s">
        <v>39</v>
      </c>
      <c r="C201" t="s">
        <v>1068</v>
      </c>
      <c r="D201">
        <v>1995</v>
      </c>
      <c r="E201">
        <v>19</v>
      </c>
      <c r="F201" t="s">
        <v>44</v>
      </c>
      <c r="G201" t="s">
        <v>205</v>
      </c>
      <c r="H201">
        <v>4400000</v>
      </c>
      <c r="I201">
        <v>4400000</v>
      </c>
      <c r="J201" t="s">
        <v>55</v>
      </c>
      <c r="K201">
        <v>10</v>
      </c>
      <c r="L201">
        <v>373</v>
      </c>
      <c r="M201">
        <v>2</v>
      </c>
      <c r="N201">
        <v>136</v>
      </c>
      <c r="O201">
        <v>0</v>
      </c>
      <c r="P201">
        <v>0</v>
      </c>
      <c r="Q201">
        <v>0</v>
      </c>
      <c r="R201">
        <v>6</v>
      </c>
      <c r="S201">
        <v>4</v>
      </c>
      <c r="T201">
        <v>17</v>
      </c>
      <c r="U201">
        <v>6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5</v>
      </c>
      <c r="AB201">
        <v>3</v>
      </c>
      <c r="AC201">
        <v>0</v>
      </c>
      <c r="AD201">
        <v>0</v>
      </c>
      <c r="AE201">
        <v>3</v>
      </c>
      <c r="AF201">
        <v>0</v>
      </c>
      <c r="AG201">
        <v>2</v>
      </c>
      <c r="AH201">
        <v>3</v>
      </c>
      <c r="AI201">
        <v>0</v>
      </c>
      <c r="AJ201">
        <v>9</v>
      </c>
      <c r="AK201">
        <v>0</v>
      </c>
      <c r="AL201">
        <v>0</v>
      </c>
      <c r="AM201">
        <v>3</v>
      </c>
      <c r="AN201">
        <v>4</v>
      </c>
      <c r="AO201">
        <v>9</v>
      </c>
      <c r="AQ201" t="str">
        <f t="shared" si="3"/>
        <v>Midfielder</v>
      </c>
    </row>
    <row r="202" spans="1:43" x14ac:dyDescent="0.35">
      <c r="A202" t="s">
        <v>206</v>
      </c>
      <c r="B202" t="s">
        <v>39</v>
      </c>
      <c r="C202" t="s">
        <v>1069</v>
      </c>
      <c r="D202">
        <v>1987</v>
      </c>
      <c r="E202">
        <v>28</v>
      </c>
      <c r="F202" t="s">
        <v>78</v>
      </c>
      <c r="G202" t="s">
        <v>51</v>
      </c>
      <c r="H202">
        <v>1800000</v>
      </c>
      <c r="I202">
        <v>1350000</v>
      </c>
      <c r="J202" t="s">
        <v>52</v>
      </c>
      <c r="K202">
        <v>24</v>
      </c>
      <c r="L202">
        <v>2033</v>
      </c>
      <c r="M202">
        <v>1</v>
      </c>
      <c r="N202">
        <v>569</v>
      </c>
      <c r="O202">
        <v>1</v>
      </c>
      <c r="P202">
        <v>8</v>
      </c>
      <c r="Q202">
        <v>0</v>
      </c>
      <c r="R202">
        <v>1</v>
      </c>
      <c r="S202">
        <v>2</v>
      </c>
      <c r="T202">
        <v>14</v>
      </c>
      <c r="U202">
        <v>4</v>
      </c>
      <c r="V202">
        <v>1</v>
      </c>
      <c r="W202">
        <v>40</v>
      </c>
      <c r="X202">
        <v>0</v>
      </c>
      <c r="Y202">
        <v>0</v>
      </c>
      <c r="Z202">
        <v>0</v>
      </c>
      <c r="AA202">
        <v>3</v>
      </c>
      <c r="AB202">
        <v>1</v>
      </c>
      <c r="AC202">
        <v>3</v>
      </c>
      <c r="AD202">
        <v>0</v>
      </c>
      <c r="AE202">
        <v>41</v>
      </c>
      <c r="AF202">
        <v>17</v>
      </c>
      <c r="AG202">
        <v>30</v>
      </c>
      <c r="AH202">
        <v>32</v>
      </c>
      <c r="AI202">
        <v>0</v>
      </c>
      <c r="AJ202">
        <v>76</v>
      </c>
      <c r="AK202">
        <v>1</v>
      </c>
      <c r="AL202">
        <v>0</v>
      </c>
      <c r="AM202">
        <v>64</v>
      </c>
      <c r="AN202">
        <v>61</v>
      </c>
      <c r="AO202">
        <v>35</v>
      </c>
      <c r="AQ202" t="str">
        <f t="shared" si="3"/>
        <v>Defensive Forward</v>
      </c>
    </row>
    <row r="203" spans="1:43" x14ac:dyDescent="0.35">
      <c r="A203" t="s">
        <v>206</v>
      </c>
      <c r="B203" t="s">
        <v>47</v>
      </c>
      <c r="C203" t="s">
        <v>1070</v>
      </c>
      <c r="D203">
        <v>1987</v>
      </c>
      <c r="E203">
        <v>29</v>
      </c>
      <c r="F203" t="s">
        <v>78</v>
      </c>
      <c r="G203" t="s">
        <v>51</v>
      </c>
      <c r="H203">
        <v>1350000</v>
      </c>
      <c r="I203">
        <v>1350000</v>
      </c>
      <c r="J203" t="s">
        <v>52</v>
      </c>
      <c r="K203">
        <v>27</v>
      </c>
      <c r="L203">
        <v>2270</v>
      </c>
      <c r="M203">
        <v>1</v>
      </c>
      <c r="N203">
        <v>701</v>
      </c>
      <c r="O203">
        <v>0</v>
      </c>
      <c r="P203">
        <v>8</v>
      </c>
      <c r="Q203">
        <v>0</v>
      </c>
      <c r="R203">
        <v>2</v>
      </c>
      <c r="S203">
        <v>3</v>
      </c>
      <c r="T203">
        <v>15</v>
      </c>
      <c r="U203">
        <v>4</v>
      </c>
      <c r="V203">
        <v>0</v>
      </c>
      <c r="W203">
        <v>64</v>
      </c>
      <c r="X203">
        <v>1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42</v>
      </c>
      <c r="AF203">
        <v>16</v>
      </c>
      <c r="AG203">
        <v>46</v>
      </c>
      <c r="AH203">
        <v>25</v>
      </c>
      <c r="AI203">
        <v>0</v>
      </c>
      <c r="AJ203">
        <v>55</v>
      </c>
      <c r="AK203">
        <v>0</v>
      </c>
      <c r="AL203">
        <v>0</v>
      </c>
      <c r="AM203">
        <v>94</v>
      </c>
      <c r="AN203">
        <v>95</v>
      </c>
      <c r="AO203">
        <v>64</v>
      </c>
      <c r="AQ203" t="str">
        <f t="shared" si="3"/>
        <v>Defensive Forward</v>
      </c>
    </row>
    <row r="204" spans="1:43" x14ac:dyDescent="0.35">
      <c r="A204" t="s">
        <v>207</v>
      </c>
      <c r="B204" t="s">
        <v>46</v>
      </c>
      <c r="C204" t="s">
        <v>1071</v>
      </c>
      <c r="D204">
        <v>1993</v>
      </c>
      <c r="E204">
        <v>25</v>
      </c>
      <c r="F204" t="s">
        <v>169</v>
      </c>
      <c r="G204" t="s">
        <v>51</v>
      </c>
      <c r="H204">
        <v>9000000</v>
      </c>
      <c r="I204">
        <v>9000000</v>
      </c>
      <c r="J204" t="s">
        <v>42</v>
      </c>
      <c r="K204">
        <v>27</v>
      </c>
      <c r="L204">
        <v>1422</v>
      </c>
      <c r="M204">
        <v>5</v>
      </c>
      <c r="N204">
        <v>311</v>
      </c>
      <c r="O204">
        <v>2</v>
      </c>
      <c r="P204">
        <v>0</v>
      </c>
      <c r="Q204">
        <v>0</v>
      </c>
      <c r="R204">
        <v>11</v>
      </c>
      <c r="S204">
        <v>9</v>
      </c>
      <c r="T204">
        <v>27</v>
      </c>
      <c r="U204">
        <v>9</v>
      </c>
      <c r="V204">
        <v>0</v>
      </c>
      <c r="W204">
        <v>4</v>
      </c>
      <c r="X204">
        <v>0</v>
      </c>
      <c r="Y204">
        <v>0</v>
      </c>
      <c r="Z204">
        <v>0</v>
      </c>
      <c r="AA204">
        <v>11</v>
      </c>
      <c r="AB204">
        <v>2</v>
      </c>
      <c r="AC204">
        <v>18</v>
      </c>
      <c r="AD204">
        <v>0</v>
      </c>
      <c r="AE204">
        <v>6</v>
      </c>
      <c r="AF204">
        <v>0</v>
      </c>
      <c r="AG204">
        <v>3</v>
      </c>
      <c r="AH204">
        <v>5</v>
      </c>
      <c r="AI204">
        <v>0</v>
      </c>
      <c r="AJ204">
        <v>16</v>
      </c>
      <c r="AK204">
        <v>0</v>
      </c>
      <c r="AL204">
        <v>0</v>
      </c>
      <c r="AM204">
        <v>12</v>
      </c>
      <c r="AN204">
        <v>11</v>
      </c>
      <c r="AO204">
        <v>36</v>
      </c>
      <c r="AQ204" t="str">
        <f t="shared" si="3"/>
        <v>Forward</v>
      </c>
    </row>
    <row r="205" spans="1:43" x14ac:dyDescent="0.35">
      <c r="A205" t="s">
        <v>208</v>
      </c>
      <c r="B205" t="s">
        <v>39</v>
      </c>
      <c r="C205" t="s">
        <v>1072</v>
      </c>
      <c r="D205">
        <v>1990</v>
      </c>
      <c r="E205">
        <v>25</v>
      </c>
      <c r="F205" t="s">
        <v>184</v>
      </c>
      <c r="G205" t="s">
        <v>45</v>
      </c>
      <c r="H205">
        <v>7700000</v>
      </c>
      <c r="I205">
        <v>9000000</v>
      </c>
      <c r="J205" t="s">
        <v>42</v>
      </c>
      <c r="K205">
        <v>27</v>
      </c>
      <c r="L205">
        <v>1709</v>
      </c>
      <c r="M205">
        <v>7</v>
      </c>
      <c r="N205">
        <v>728</v>
      </c>
      <c r="O205">
        <v>1</v>
      </c>
      <c r="P205">
        <v>2</v>
      </c>
      <c r="Q205">
        <v>0</v>
      </c>
      <c r="R205">
        <v>5</v>
      </c>
      <c r="S205">
        <v>17</v>
      </c>
      <c r="T205">
        <v>36</v>
      </c>
      <c r="U205">
        <v>15</v>
      </c>
      <c r="V205">
        <v>0</v>
      </c>
      <c r="W205">
        <v>0</v>
      </c>
      <c r="X205">
        <v>1</v>
      </c>
      <c r="Y205">
        <v>2</v>
      </c>
      <c r="Z205">
        <v>0</v>
      </c>
      <c r="AA205">
        <v>3</v>
      </c>
      <c r="AB205">
        <v>10</v>
      </c>
      <c r="AC205">
        <v>0</v>
      </c>
      <c r="AD205">
        <v>15</v>
      </c>
      <c r="AE205">
        <v>32</v>
      </c>
      <c r="AF205">
        <v>0</v>
      </c>
      <c r="AG205">
        <v>15</v>
      </c>
      <c r="AH205">
        <v>9</v>
      </c>
      <c r="AI205">
        <v>0</v>
      </c>
      <c r="AJ205">
        <v>18</v>
      </c>
      <c r="AK205">
        <v>0</v>
      </c>
      <c r="AL205">
        <v>0</v>
      </c>
      <c r="AM205">
        <v>1</v>
      </c>
      <c r="AN205">
        <v>2</v>
      </c>
      <c r="AO205">
        <v>11</v>
      </c>
      <c r="AQ205" t="str">
        <f t="shared" si="3"/>
        <v>Forward</v>
      </c>
    </row>
    <row r="206" spans="1:43" x14ac:dyDescent="0.35">
      <c r="A206" t="s">
        <v>209</v>
      </c>
      <c r="B206" t="s">
        <v>47</v>
      </c>
      <c r="C206" t="s">
        <v>1073</v>
      </c>
      <c r="D206">
        <v>1992</v>
      </c>
      <c r="E206">
        <v>23</v>
      </c>
      <c r="F206" t="s">
        <v>40</v>
      </c>
      <c r="G206" t="s">
        <v>45</v>
      </c>
      <c r="H206">
        <v>5500000</v>
      </c>
      <c r="I206">
        <v>9000000</v>
      </c>
      <c r="J206" t="s">
        <v>42</v>
      </c>
      <c r="K206">
        <v>18</v>
      </c>
      <c r="L206">
        <v>547</v>
      </c>
      <c r="M206">
        <v>1</v>
      </c>
      <c r="N206">
        <v>180</v>
      </c>
      <c r="O206">
        <v>0</v>
      </c>
      <c r="P206">
        <v>0</v>
      </c>
      <c r="Q206">
        <v>0</v>
      </c>
      <c r="R206">
        <v>14</v>
      </c>
      <c r="S206">
        <v>1</v>
      </c>
      <c r="T206">
        <v>15</v>
      </c>
      <c r="U206">
        <v>3</v>
      </c>
      <c r="V206">
        <v>1</v>
      </c>
      <c r="W206">
        <v>3</v>
      </c>
      <c r="X206">
        <v>0</v>
      </c>
      <c r="Y206">
        <v>0</v>
      </c>
      <c r="Z206">
        <v>0</v>
      </c>
      <c r="AA206">
        <v>4</v>
      </c>
      <c r="AB206">
        <v>0</v>
      </c>
      <c r="AC206">
        <v>3</v>
      </c>
      <c r="AD206">
        <v>0</v>
      </c>
      <c r="AE206">
        <v>6</v>
      </c>
      <c r="AF206">
        <v>1</v>
      </c>
      <c r="AG206">
        <v>3</v>
      </c>
      <c r="AH206">
        <v>3</v>
      </c>
      <c r="AI206">
        <v>0</v>
      </c>
      <c r="AJ206">
        <v>5</v>
      </c>
      <c r="AK206">
        <v>0</v>
      </c>
      <c r="AL206">
        <v>0</v>
      </c>
      <c r="AM206">
        <v>6</v>
      </c>
      <c r="AN206">
        <v>7</v>
      </c>
      <c r="AO206">
        <v>29</v>
      </c>
      <c r="AQ206" t="str">
        <f t="shared" si="3"/>
        <v>Forward</v>
      </c>
    </row>
    <row r="207" spans="1:43" x14ac:dyDescent="0.35">
      <c r="A207" t="s">
        <v>210</v>
      </c>
      <c r="B207" t="s">
        <v>39</v>
      </c>
      <c r="C207" t="s">
        <v>1074</v>
      </c>
      <c r="D207">
        <v>1984</v>
      </c>
      <c r="E207">
        <v>31</v>
      </c>
      <c r="F207" t="s">
        <v>44</v>
      </c>
      <c r="G207" t="s">
        <v>115</v>
      </c>
      <c r="H207">
        <v>15300000</v>
      </c>
      <c r="I207">
        <v>9000000</v>
      </c>
      <c r="J207" t="s">
        <v>52</v>
      </c>
      <c r="K207">
        <v>33</v>
      </c>
      <c r="L207">
        <v>2918</v>
      </c>
      <c r="M207">
        <v>2</v>
      </c>
      <c r="N207">
        <v>1301</v>
      </c>
      <c r="O207">
        <v>0</v>
      </c>
      <c r="P207">
        <v>5</v>
      </c>
      <c r="Q207">
        <v>0</v>
      </c>
      <c r="R207">
        <v>0</v>
      </c>
      <c r="S207">
        <v>2</v>
      </c>
      <c r="T207">
        <v>28</v>
      </c>
      <c r="U207">
        <v>7</v>
      </c>
      <c r="V207">
        <v>0</v>
      </c>
      <c r="W207">
        <v>54</v>
      </c>
      <c r="X207">
        <v>2</v>
      </c>
      <c r="Y207">
        <v>0</v>
      </c>
      <c r="Z207">
        <v>0</v>
      </c>
      <c r="AA207">
        <v>1</v>
      </c>
      <c r="AB207">
        <v>0</v>
      </c>
      <c r="AC207">
        <v>3</v>
      </c>
      <c r="AD207">
        <v>0</v>
      </c>
      <c r="AE207">
        <v>74</v>
      </c>
      <c r="AF207">
        <v>18</v>
      </c>
      <c r="AG207">
        <v>60</v>
      </c>
      <c r="AH207">
        <v>32</v>
      </c>
      <c r="AI207">
        <v>0</v>
      </c>
      <c r="AJ207">
        <v>66</v>
      </c>
      <c r="AK207">
        <v>2</v>
      </c>
      <c r="AL207">
        <v>0</v>
      </c>
      <c r="AM207">
        <v>87</v>
      </c>
      <c r="AN207">
        <v>81</v>
      </c>
      <c r="AO207">
        <v>41</v>
      </c>
      <c r="AQ207" t="str">
        <f t="shared" si="3"/>
        <v>Defensive Forward</v>
      </c>
    </row>
    <row r="208" spans="1:43" x14ac:dyDescent="0.35">
      <c r="A208" t="s">
        <v>210</v>
      </c>
      <c r="B208" t="s">
        <v>47</v>
      </c>
      <c r="C208" t="s">
        <v>1075</v>
      </c>
      <c r="D208">
        <v>1984</v>
      </c>
      <c r="E208">
        <v>32</v>
      </c>
      <c r="F208" t="s">
        <v>44</v>
      </c>
      <c r="G208" t="s">
        <v>115</v>
      </c>
      <c r="H208">
        <v>9000000</v>
      </c>
      <c r="I208">
        <v>4500000</v>
      </c>
      <c r="J208" t="s">
        <v>52</v>
      </c>
      <c r="K208">
        <v>13</v>
      </c>
      <c r="L208">
        <v>584</v>
      </c>
      <c r="M208">
        <v>0</v>
      </c>
      <c r="N208">
        <v>329</v>
      </c>
      <c r="O208">
        <v>0</v>
      </c>
      <c r="P208">
        <v>2</v>
      </c>
      <c r="Q208">
        <v>0</v>
      </c>
      <c r="R208">
        <v>7</v>
      </c>
      <c r="S208">
        <v>0</v>
      </c>
      <c r="T208">
        <v>7</v>
      </c>
      <c r="U208">
        <v>2</v>
      </c>
      <c r="V208">
        <v>0</v>
      </c>
      <c r="W208">
        <v>15</v>
      </c>
      <c r="X208">
        <v>0</v>
      </c>
      <c r="Y208">
        <v>0</v>
      </c>
      <c r="Z208">
        <v>0</v>
      </c>
      <c r="AA208">
        <v>2</v>
      </c>
      <c r="AB208">
        <v>1</v>
      </c>
      <c r="AC208">
        <v>0</v>
      </c>
      <c r="AD208">
        <v>0</v>
      </c>
      <c r="AE208">
        <v>23</v>
      </c>
      <c r="AF208">
        <v>2</v>
      </c>
      <c r="AG208">
        <v>11</v>
      </c>
      <c r="AH208">
        <v>8</v>
      </c>
      <c r="AI208">
        <v>0</v>
      </c>
      <c r="AJ208">
        <v>11</v>
      </c>
      <c r="AK208">
        <v>0</v>
      </c>
      <c r="AL208">
        <v>0</v>
      </c>
      <c r="AM208">
        <v>24</v>
      </c>
      <c r="AN208">
        <v>19</v>
      </c>
      <c r="AO208">
        <v>12</v>
      </c>
      <c r="AQ208" t="str">
        <f t="shared" si="3"/>
        <v>Defensive Forward</v>
      </c>
    </row>
    <row r="209" spans="1:43" x14ac:dyDescent="0.35">
      <c r="A209" t="s">
        <v>211</v>
      </c>
      <c r="B209" t="s">
        <v>39</v>
      </c>
      <c r="C209" t="s">
        <v>1076</v>
      </c>
      <c r="D209">
        <v>1996</v>
      </c>
      <c r="E209">
        <v>19</v>
      </c>
      <c r="F209" t="s">
        <v>54</v>
      </c>
      <c r="G209" t="s">
        <v>51</v>
      </c>
      <c r="H209">
        <v>1350000</v>
      </c>
      <c r="I209">
        <v>2700000</v>
      </c>
      <c r="J209" t="s">
        <v>52</v>
      </c>
      <c r="K209">
        <v>15</v>
      </c>
      <c r="L209">
        <v>1223</v>
      </c>
      <c r="M209">
        <v>0</v>
      </c>
      <c r="N209">
        <v>396</v>
      </c>
      <c r="O209">
        <v>1</v>
      </c>
      <c r="P209">
        <v>2</v>
      </c>
      <c r="Q209">
        <v>0</v>
      </c>
      <c r="R209">
        <v>1</v>
      </c>
      <c r="S209">
        <v>4</v>
      </c>
      <c r="T209">
        <v>8</v>
      </c>
      <c r="U209">
        <v>0</v>
      </c>
      <c r="V209">
        <v>0</v>
      </c>
      <c r="W209">
        <v>9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13</v>
      </c>
      <c r="AF209">
        <v>5</v>
      </c>
      <c r="AG209">
        <v>21</v>
      </c>
      <c r="AH209">
        <v>9</v>
      </c>
      <c r="AI209">
        <v>0</v>
      </c>
      <c r="AJ209">
        <v>50</v>
      </c>
      <c r="AK209">
        <v>0</v>
      </c>
      <c r="AL209">
        <v>0</v>
      </c>
      <c r="AM209">
        <v>30</v>
      </c>
      <c r="AN209">
        <v>7</v>
      </c>
      <c r="AO209">
        <v>12</v>
      </c>
      <c r="AQ209" t="str">
        <f t="shared" si="3"/>
        <v>Defensive Forward</v>
      </c>
    </row>
    <row r="210" spans="1:43" x14ac:dyDescent="0.35">
      <c r="A210" t="s">
        <v>212</v>
      </c>
      <c r="B210" t="s">
        <v>43</v>
      </c>
      <c r="C210" t="s">
        <v>1077</v>
      </c>
      <c r="D210">
        <v>1980</v>
      </c>
      <c r="E210">
        <v>37</v>
      </c>
      <c r="F210" t="s">
        <v>134</v>
      </c>
      <c r="G210" t="s">
        <v>45</v>
      </c>
      <c r="H210">
        <v>500000</v>
      </c>
      <c r="I210">
        <v>750000</v>
      </c>
      <c r="J210" t="s">
        <v>52</v>
      </c>
      <c r="K210">
        <v>25</v>
      </c>
      <c r="L210">
        <v>2017</v>
      </c>
      <c r="M210">
        <v>0</v>
      </c>
      <c r="N210">
        <v>973</v>
      </c>
      <c r="O210">
        <v>0</v>
      </c>
      <c r="P210">
        <v>3</v>
      </c>
      <c r="Q210">
        <v>0</v>
      </c>
      <c r="R210">
        <v>2</v>
      </c>
      <c r="S210">
        <v>4</v>
      </c>
      <c r="T210">
        <v>1</v>
      </c>
      <c r="U210">
        <v>1</v>
      </c>
      <c r="V210">
        <v>0</v>
      </c>
      <c r="W210">
        <v>31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41</v>
      </c>
      <c r="AF210">
        <v>11</v>
      </c>
      <c r="AG210">
        <v>38</v>
      </c>
      <c r="AH210">
        <v>19</v>
      </c>
      <c r="AI210">
        <v>0</v>
      </c>
      <c r="AJ210">
        <v>30</v>
      </c>
      <c r="AK210">
        <v>0</v>
      </c>
      <c r="AL210">
        <v>0</v>
      </c>
      <c r="AM210">
        <v>60</v>
      </c>
      <c r="AN210">
        <v>28</v>
      </c>
      <c r="AO210">
        <v>22</v>
      </c>
      <c r="AQ210" t="str">
        <f t="shared" si="3"/>
        <v>Defensive Forward</v>
      </c>
    </row>
    <row r="211" spans="1:43" x14ac:dyDescent="0.35">
      <c r="A211" t="s">
        <v>212</v>
      </c>
      <c r="B211" t="s">
        <v>46</v>
      </c>
      <c r="C211" t="s">
        <v>1078</v>
      </c>
      <c r="D211">
        <v>1980</v>
      </c>
      <c r="E211">
        <v>38</v>
      </c>
      <c r="F211" t="s">
        <v>134</v>
      </c>
      <c r="G211" t="s">
        <v>45</v>
      </c>
      <c r="H211">
        <v>750000</v>
      </c>
      <c r="I211">
        <v>100000</v>
      </c>
      <c r="J211" t="s">
        <v>52</v>
      </c>
      <c r="K211">
        <v>14</v>
      </c>
      <c r="L211">
        <v>1136</v>
      </c>
      <c r="M211">
        <v>0</v>
      </c>
      <c r="N211">
        <v>510</v>
      </c>
      <c r="O211">
        <v>1</v>
      </c>
      <c r="P211">
        <v>2</v>
      </c>
      <c r="Q211">
        <v>0</v>
      </c>
      <c r="R211">
        <v>0</v>
      </c>
      <c r="S211">
        <v>5</v>
      </c>
      <c r="T211">
        <v>2</v>
      </c>
      <c r="U211">
        <v>0</v>
      </c>
      <c r="V211">
        <v>0</v>
      </c>
      <c r="W211">
        <v>12</v>
      </c>
      <c r="X211">
        <v>0</v>
      </c>
      <c r="Y211">
        <v>0</v>
      </c>
      <c r="Z211">
        <v>0</v>
      </c>
      <c r="AA211">
        <v>3</v>
      </c>
      <c r="AB211">
        <v>0</v>
      </c>
      <c r="AC211">
        <v>2</v>
      </c>
      <c r="AD211">
        <v>1</v>
      </c>
      <c r="AE211">
        <v>17</v>
      </c>
      <c r="AF211">
        <v>2</v>
      </c>
      <c r="AG211">
        <v>11</v>
      </c>
      <c r="AH211">
        <v>4</v>
      </c>
      <c r="AI211">
        <v>0</v>
      </c>
      <c r="AJ211">
        <v>25</v>
      </c>
      <c r="AK211">
        <v>1</v>
      </c>
      <c r="AL211">
        <v>0</v>
      </c>
      <c r="AM211">
        <v>26</v>
      </c>
      <c r="AN211">
        <v>8</v>
      </c>
      <c r="AO211">
        <v>16</v>
      </c>
      <c r="AQ211" t="str">
        <f t="shared" si="3"/>
        <v>Defensive Forward</v>
      </c>
    </row>
    <row r="212" spans="1:43" x14ac:dyDescent="0.35">
      <c r="A212" t="s">
        <v>213</v>
      </c>
      <c r="B212" t="s">
        <v>46</v>
      </c>
      <c r="C212" t="s">
        <v>1079</v>
      </c>
      <c r="D212">
        <v>1988</v>
      </c>
      <c r="E212">
        <v>30</v>
      </c>
      <c r="F212" t="s">
        <v>169</v>
      </c>
      <c r="G212" t="s">
        <v>214</v>
      </c>
      <c r="H212">
        <v>2700000</v>
      </c>
      <c r="I212">
        <v>2700000</v>
      </c>
      <c r="J212" t="s">
        <v>52</v>
      </c>
      <c r="K212">
        <v>38</v>
      </c>
      <c r="L212">
        <v>3375</v>
      </c>
      <c r="M212">
        <v>0</v>
      </c>
      <c r="N212">
        <v>957</v>
      </c>
      <c r="O212">
        <v>1</v>
      </c>
      <c r="P212">
        <v>0</v>
      </c>
      <c r="Q212">
        <v>0</v>
      </c>
      <c r="R212">
        <v>1</v>
      </c>
      <c r="S212">
        <v>0</v>
      </c>
      <c r="T212">
        <v>10</v>
      </c>
      <c r="U212">
        <v>4</v>
      </c>
      <c r="V212">
        <v>0</v>
      </c>
      <c r="W212">
        <v>89</v>
      </c>
      <c r="X212">
        <v>0</v>
      </c>
      <c r="Y212">
        <v>0</v>
      </c>
      <c r="Z212">
        <v>0</v>
      </c>
      <c r="AA212">
        <v>1</v>
      </c>
      <c r="AB212">
        <v>2</v>
      </c>
      <c r="AC212">
        <v>6</v>
      </c>
      <c r="AD212">
        <v>0</v>
      </c>
      <c r="AE212">
        <v>20</v>
      </c>
      <c r="AF212">
        <v>28</v>
      </c>
      <c r="AG212">
        <v>81</v>
      </c>
      <c r="AH212">
        <v>15</v>
      </c>
      <c r="AI212">
        <v>0</v>
      </c>
      <c r="AJ212">
        <v>69</v>
      </c>
      <c r="AK212">
        <v>2</v>
      </c>
      <c r="AL212">
        <v>0</v>
      </c>
      <c r="AM212">
        <v>171</v>
      </c>
      <c r="AN212">
        <v>87</v>
      </c>
      <c r="AO212">
        <v>62</v>
      </c>
      <c r="AQ212" t="str">
        <f t="shared" si="3"/>
        <v>Defensive Forward</v>
      </c>
    </row>
    <row r="213" spans="1:43" x14ac:dyDescent="0.35">
      <c r="A213" t="s">
        <v>215</v>
      </c>
      <c r="B213" t="s">
        <v>43</v>
      </c>
      <c r="C213" t="s">
        <v>1080</v>
      </c>
      <c r="D213">
        <v>1992</v>
      </c>
      <c r="E213">
        <v>25</v>
      </c>
      <c r="F213" t="s">
        <v>184</v>
      </c>
      <c r="G213" t="s">
        <v>216</v>
      </c>
      <c r="H213">
        <v>9900000</v>
      </c>
      <c r="I213">
        <v>9000000</v>
      </c>
      <c r="J213" t="s">
        <v>52</v>
      </c>
      <c r="K213">
        <v>17</v>
      </c>
      <c r="L213">
        <v>1246</v>
      </c>
      <c r="M213">
        <v>0</v>
      </c>
      <c r="N213">
        <v>351</v>
      </c>
      <c r="O213">
        <v>0</v>
      </c>
      <c r="P213">
        <v>3</v>
      </c>
      <c r="Q213">
        <v>0</v>
      </c>
      <c r="R213">
        <v>3</v>
      </c>
      <c r="S213">
        <v>4</v>
      </c>
      <c r="T213">
        <v>1</v>
      </c>
      <c r="U213">
        <v>1</v>
      </c>
      <c r="V213">
        <v>0</v>
      </c>
      <c r="W213">
        <v>39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4</v>
      </c>
      <c r="AF213">
        <v>11</v>
      </c>
      <c r="AG213">
        <v>21</v>
      </c>
      <c r="AH213">
        <v>12</v>
      </c>
      <c r="AI213">
        <v>1</v>
      </c>
      <c r="AJ213">
        <v>21</v>
      </c>
      <c r="AK213">
        <v>1</v>
      </c>
      <c r="AL213">
        <v>0</v>
      </c>
      <c r="AM213">
        <v>76</v>
      </c>
      <c r="AN213">
        <v>25</v>
      </c>
      <c r="AO213">
        <v>21</v>
      </c>
      <c r="AQ213" t="str">
        <f t="shared" si="3"/>
        <v>Defensive Forward</v>
      </c>
    </row>
    <row r="214" spans="1:43" x14ac:dyDescent="0.35">
      <c r="A214" t="s">
        <v>215</v>
      </c>
      <c r="B214" t="s">
        <v>47</v>
      </c>
      <c r="C214" t="s">
        <v>1081</v>
      </c>
      <c r="D214">
        <v>1992</v>
      </c>
      <c r="E214">
        <v>24</v>
      </c>
      <c r="F214" t="s">
        <v>184</v>
      </c>
      <c r="G214" t="s">
        <v>216</v>
      </c>
      <c r="H214">
        <v>9000000</v>
      </c>
      <c r="I214">
        <v>9900000</v>
      </c>
      <c r="J214" t="s">
        <v>52</v>
      </c>
      <c r="K214">
        <v>35</v>
      </c>
      <c r="L214">
        <v>3147</v>
      </c>
      <c r="M214">
        <v>0</v>
      </c>
      <c r="N214">
        <v>1115</v>
      </c>
      <c r="O214">
        <v>0</v>
      </c>
      <c r="P214">
        <v>5</v>
      </c>
      <c r="Q214">
        <v>0</v>
      </c>
      <c r="R214">
        <v>0</v>
      </c>
      <c r="S214">
        <v>1</v>
      </c>
      <c r="T214">
        <v>18</v>
      </c>
      <c r="U214">
        <v>7</v>
      </c>
      <c r="V214">
        <v>0</v>
      </c>
      <c r="W214">
        <v>107</v>
      </c>
      <c r="X214">
        <v>0</v>
      </c>
      <c r="Y214">
        <v>0</v>
      </c>
      <c r="Z214">
        <v>0</v>
      </c>
      <c r="AA214">
        <v>2</v>
      </c>
      <c r="AB214">
        <v>0</v>
      </c>
      <c r="AC214">
        <v>1</v>
      </c>
      <c r="AD214">
        <v>0</v>
      </c>
      <c r="AE214">
        <v>3</v>
      </c>
      <c r="AF214">
        <v>20</v>
      </c>
      <c r="AG214">
        <v>58</v>
      </c>
      <c r="AH214">
        <v>25</v>
      </c>
      <c r="AI214">
        <v>0</v>
      </c>
      <c r="AJ214">
        <v>61</v>
      </c>
      <c r="AK214">
        <v>0</v>
      </c>
      <c r="AL214">
        <v>0</v>
      </c>
      <c r="AM214">
        <v>210</v>
      </c>
      <c r="AN214">
        <v>58</v>
      </c>
      <c r="AO214">
        <v>64</v>
      </c>
      <c r="AQ214" t="str">
        <f t="shared" si="3"/>
        <v>Defensive Forward</v>
      </c>
    </row>
    <row r="215" spans="1:43" x14ac:dyDescent="0.35">
      <c r="A215" t="s">
        <v>217</v>
      </c>
      <c r="B215" t="s">
        <v>47</v>
      </c>
      <c r="C215" t="s">
        <v>1082</v>
      </c>
      <c r="D215">
        <v>1990</v>
      </c>
      <c r="E215">
        <v>26</v>
      </c>
      <c r="F215" t="s">
        <v>78</v>
      </c>
      <c r="G215" t="s">
        <v>218</v>
      </c>
      <c r="H215">
        <v>2700000</v>
      </c>
      <c r="I215">
        <v>2250000</v>
      </c>
      <c r="J215" t="s">
        <v>52</v>
      </c>
      <c r="K215">
        <v>16</v>
      </c>
      <c r="L215">
        <v>1056</v>
      </c>
      <c r="M215">
        <v>0</v>
      </c>
      <c r="N215">
        <v>398</v>
      </c>
      <c r="O215">
        <v>0</v>
      </c>
      <c r="P215">
        <v>3</v>
      </c>
      <c r="Q215">
        <v>0</v>
      </c>
      <c r="R215">
        <v>0</v>
      </c>
      <c r="S215">
        <v>3</v>
      </c>
      <c r="T215">
        <v>3</v>
      </c>
      <c r="U215">
        <v>1</v>
      </c>
      <c r="V215">
        <v>0</v>
      </c>
      <c r="W215">
        <v>9</v>
      </c>
      <c r="X215">
        <v>0</v>
      </c>
      <c r="Y215">
        <v>0</v>
      </c>
      <c r="Z215">
        <v>0</v>
      </c>
      <c r="AA215">
        <v>1</v>
      </c>
      <c r="AB215">
        <v>0</v>
      </c>
      <c r="AC215">
        <v>0</v>
      </c>
      <c r="AD215">
        <v>0</v>
      </c>
      <c r="AE215">
        <v>21</v>
      </c>
      <c r="AF215">
        <v>5</v>
      </c>
      <c r="AG215">
        <v>19</v>
      </c>
      <c r="AH215">
        <v>14</v>
      </c>
      <c r="AI215">
        <v>0</v>
      </c>
      <c r="AJ215">
        <v>31</v>
      </c>
      <c r="AK215">
        <v>0</v>
      </c>
      <c r="AL215">
        <v>0</v>
      </c>
      <c r="AM215">
        <v>28</v>
      </c>
      <c r="AN215">
        <v>8</v>
      </c>
      <c r="AO215">
        <v>3</v>
      </c>
      <c r="AQ215" t="str">
        <f t="shared" si="3"/>
        <v>Defensive Forward</v>
      </c>
    </row>
    <row r="216" spans="1:43" x14ac:dyDescent="0.35">
      <c r="A216" t="s">
        <v>217</v>
      </c>
      <c r="B216" t="s">
        <v>39</v>
      </c>
      <c r="C216" t="s">
        <v>1083</v>
      </c>
      <c r="D216">
        <v>1990</v>
      </c>
      <c r="E216">
        <v>25</v>
      </c>
      <c r="F216" t="s">
        <v>54</v>
      </c>
      <c r="G216" t="s">
        <v>218</v>
      </c>
      <c r="H216">
        <v>2700000</v>
      </c>
      <c r="I216">
        <v>2700000</v>
      </c>
      <c r="J216" t="s">
        <v>52</v>
      </c>
      <c r="K216">
        <v>14</v>
      </c>
      <c r="L216">
        <v>998</v>
      </c>
      <c r="M216">
        <v>0</v>
      </c>
      <c r="N216">
        <v>432</v>
      </c>
      <c r="O216">
        <v>1</v>
      </c>
      <c r="P216">
        <v>0</v>
      </c>
      <c r="Q216">
        <v>0</v>
      </c>
      <c r="R216">
        <v>2</v>
      </c>
      <c r="S216">
        <v>4</v>
      </c>
      <c r="T216">
        <v>5</v>
      </c>
      <c r="U216">
        <v>3</v>
      </c>
      <c r="V216">
        <v>0</v>
      </c>
      <c r="W216">
        <v>14</v>
      </c>
      <c r="X216">
        <v>0</v>
      </c>
      <c r="Y216">
        <v>0</v>
      </c>
      <c r="Z216">
        <v>0</v>
      </c>
      <c r="AA216">
        <v>0</v>
      </c>
      <c r="AB216">
        <v>1</v>
      </c>
      <c r="AC216">
        <v>1</v>
      </c>
      <c r="AD216">
        <v>15</v>
      </c>
      <c r="AE216">
        <v>42</v>
      </c>
      <c r="AF216">
        <v>4</v>
      </c>
      <c r="AG216">
        <v>20</v>
      </c>
      <c r="AH216">
        <v>17</v>
      </c>
      <c r="AI216">
        <v>0</v>
      </c>
      <c r="AJ216">
        <v>41</v>
      </c>
      <c r="AK216">
        <v>0</v>
      </c>
      <c r="AL216">
        <v>0</v>
      </c>
      <c r="AM216">
        <v>34</v>
      </c>
      <c r="AN216">
        <v>3</v>
      </c>
      <c r="AO216">
        <v>14</v>
      </c>
      <c r="AQ216" t="str">
        <f t="shared" si="3"/>
        <v>Defensive Forward</v>
      </c>
    </row>
    <row r="217" spans="1:43" x14ac:dyDescent="0.35">
      <c r="A217" t="s">
        <v>219</v>
      </c>
      <c r="B217" t="s">
        <v>46</v>
      </c>
      <c r="C217" t="s">
        <v>1084</v>
      </c>
      <c r="D217">
        <v>1991</v>
      </c>
      <c r="E217">
        <v>26</v>
      </c>
      <c r="F217" t="s">
        <v>220</v>
      </c>
      <c r="G217" t="s">
        <v>41</v>
      </c>
      <c r="H217">
        <v>13500000</v>
      </c>
      <c r="I217">
        <v>9000000</v>
      </c>
      <c r="J217" t="s">
        <v>52</v>
      </c>
      <c r="K217">
        <v>18</v>
      </c>
      <c r="L217">
        <v>1494</v>
      </c>
      <c r="M217">
        <v>1</v>
      </c>
      <c r="N217">
        <v>594</v>
      </c>
      <c r="O217">
        <v>2</v>
      </c>
      <c r="P217">
        <v>0</v>
      </c>
      <c r="Q217">
        <v>0</v>
      </c>
      <c r="R217">
        <v>2</v>
      </c>
      <c r="S217">
        <v>1</v>
      </c>
      <c r="T217">
        <v>10</v>
      </c>
      <c r="U217">
        <v>3</v>
      </c>
      <c r="V217">
        <v>0</v>
      </c>
      <c r="W217">
        <v>23</v>
      </c>
      <c r="X217">
        <v>0</v>
      </c>
      <c r="Y217">
        <v>0</v>
      </c>
      <c r="Z217">
        <v>1</v>
      </c>
      <c r="AA217">
        <v>1</v>
      </c>
      <c r="AB217">
        <v>0</v>
      </c>
      <c r="AC217">
        <v>7</v>
      </c>
      <c r="AD217">
        <v>1</v>
      </c>
      <c r="AE217">
        <v>64</v>
      </c>
      <c r="AF217">
        <v>5</v>
      </c>
      <c r="AG217">
        <v>22</v>
      </c>
      <c r="AH217">
        <v>9</v>
      </c>
      <c r="AI217">
        <v>1</v>
      </c>
      <c r="AJ217">
        <v>23</v>
      </c>
      <c r="AK217">
        <v>2</v>
      </c>
      <c r="AL217">
        <v>0</v>
      </c>
      <c r="AM217">
        <v>50</v>
      </c>
      <c r="AN217">
        <v>23</v>
      </c>
      <c r="AO217">
        <v>25</v>
      </c>
      <c r="AQ217" t="str">
        <f t="shared" si="3"/>
        <v>Defensive Forward</v>
      </c>
    </row>
    <row r="218" spans="1:43" x14ac:dyDescent="0.35">
      <c r="A218" t="s">
        <v>219</v>
      </c>
      <c r="B218" t="s">
        <v>47</v>
      </c>
      <c r="C218" t="s">
        <v>1085</v>
      </c>
      <c r="D218">
        <v>1991</v>
      </c>
      <c r="E218">
        <v>24</v>
      </c>
      <c r="F218" t="s">
        <v>220</v>
      </c>
      <c r="G218" t="s">
        <v>41</v>
      </c>
      <c r="H218">
        <v>9900000</v>
      </c>
      <c r="I218">
        <v>13500000</v>
      </c>
      <c r="J218" t="s">
        <v>52</v>
      </c>
      <c r="K218">
        <v>30</v>
      </c>
      <c r="L218">
        <v>2520</v>
      </c>
      <c r="M218">
        <v>0</v>
      </c>
      <c r="N218">
        <v>1256</v>
      </c>
      <c r="O218">
        <v>3</v>
      </c>
      <c r="P218">
        <v>7</v>
      </c>
      <c r="Q218">
        <v>0</v>
      </c>
      <c r="R218">
        <v>0</v>
      </c>
      <c r="S218">
        <v>5</v>
      </c>
      <c r="T218">
        <v>20</v>
      </c>
      <c r="U218">
        <v>6</v>
      </c>
      <c r="V218">
        <v>0</v>
      </c>
      <c r="W218">
        <v>39</v>
      </c>
      <c r="X218">
        <v>0</v>
      </c>
      <c r="Y218">
        <v>0</v>
      </c>
      <c r="Z218">
        <v>0</v>
      </c>
      <c r="AA218">
        <v>2</v>
      </c>
      <c r="AB218">
        <v>1</v>
      </c>
      <c r="AC218">
        <v>0</v>
      </c>
      <c r="AD218">
        <v>0</v>
      </c>
      <c r="AE218">
        <v>144</v>
      </c>
      <c r="AF218">
        <v>7</v>
      </c>
      <c r="AG218">
        <v>33</v>
      </c>
      <c r="AH218">
        <v>22</v>
      </c>
      <c r="AI218">
        <v>0</v>
      </c>
      <c r="AJ218">
        <v>83</v>
      </c>
      <c r="AK218">
        <v>0</v>
      </c>
      <c r="AL218">
        <v>0</v>
      </c>
      <c r="AM218">
        <v>76</v>
      </c>
      <c r="AN218">
        <v>27</v>
      </c>
      <c r="AO218">
        <v>52</v>
      </c>
      <c r="AQ218" t="str">
        <f t="shared" si="3"/>
        <v>Defensive Forward</v>
      </c>
    </row>
    <row r="219" spans="1:43" x14ac:dyDescent="0.35">
      <c r="A219" t="s">
        <v>219</v>
      </c>
      <c r="B219" t="s">
        <v>39</v>
      </c>
      <c r="C219" t="s">
        <v>1086</v>
      </c>
      <c r="D219">
        <v>1991</v>
      </c>
      <c r="E219">
        <v>23</v>
      </c>
      <c r="F219" t="s">
        <v>220</v>
      </c>
      <c r="G219" t="s">
        <v>41</v>
      </c>
      <c r="H219">
        <v>8550000</v>
      </c>
      <c r="I219">
        <v>9900000</v>
      </c>
      <c r="J219" t="s">
        <v>52</v>
      </c>
      <c r="K219">
        <v>16</v>
      </c>
      <c r="L219">
        <v>1440</v>
      </c>
      <c r="M219">
        <v>2</v>
      </c>
      <c r="N219">
        <v>730</v>
      </c>
      <c r="O219">
        <v>0</v>
      </c>
      <c r="P219">
        <v>3</v>
      </c>
      <c r="Q219">
        <v>0</v>
      </c>
      <c r="R219">
        <v>6</v>
      </c>
      <c r="S219">
        <v>12</v>
      </c>
      <c r="T219">
        <v>17</v>
      </c>
      <c r="U219">
        <v>0</v>
      </c>
      <c r="V219">
        <v>0</v>
      </c>
      <c r="W219">
        <v>2</v>
      </c>
      <c r="X219">
        <v>0</v>
      </c>
      <c r="Y219">
        <v>0</v>
      </c>
      <c r="Z219">
        <v>0</v>
      </c>
      <c r="AA219">
        <v>2</v>
      </c>
      <c r="AB219">
        <v>0</v>
      </c>
      <c r="AC219">
        <v>0</v>
      </c>
      <c r="AD219">
        <v>32</v>
      </c>
      <c r="AE219">
        <v>77</v>
      </c>
      <c r="AF219">
        <v>2</v>
      </c>
      <c r="AG219">
        <v>10</v>
      </c>
      <c r="AH219">
        <v>3</v>
      </c>
      <c r="AI219">
        <v>0</v>
      </c>
      <c r="AJ219">
        <v>22</v>
      </c>
      <c r="AK219">
        <v>0</v>
      </c>
      <c r="AL219">
        <v>0</v>
      </c>
      <c r="AM219">
        <v>5</v>
      </c>
      <c r="AN219">
        <v>1</v>
      </c>
      <c r="AO219">
        <v>4</v>
      </c>
      <c r="AQ219" t="str">
        <f t="shared" si="3"/>
        <v>Defensive Forward</v>
      </c>
    </row>
    <row r="220" spans="1:43" x14ac:dyDescent="0.35">
      <c r="A220" t="s">
        <v>219</v>
      </c>
      <c r="B220" t="s">
        <v>43</v>
      </c>
      <c r="C220" t="s">
        <v>1087</v>
      </c>
      <c r="D220">
        <v>1991</v>
      </c>
      <c r="E220">
        <v>26</v>
      </c>
      <c r="F220" t="s">
        <v>220</v>
      </c>
      <c r="G220" t="s">
        <v>41</v>
      </c>
      <c r="H220">
        <v>13500000</v>
      </c>
      <c r="I220">
        <v>13500000</v>
      </c>
      <c r="J220" t="s">
        <v>52</v>
      </c>
      <c r="K220">
        <v>32</v>
      </c>
      <c r="L220">
        <v>2797</v>
      </c>
      <c r="M220">
        <v>0</v>
      </c>
      <c r="N220">
        <v>1275</v>
      </c>
      <c r="O220">
        <v>3</v>
      </c>
      <c r="P220">
        <v>3</v>
      </c>
      <c r="Q220">
        <v>0</v>
      </c>
      <c r="R220">
        <v>0</v>
      </c>
      <c r="S220">
        <v>3</v>
      </c>
      <c r="T220">
        <v>23</v>
      </c>
      <c r="U220">
        <v>4</v>
      </c>
      <c r="V220">
        <v>0</v>
      </c>
      <c r="W220">
        <v>38</v>
      </c>
      <c r="X220">
        <v>0</v>
      </c>
      <c r="Y220">
        <v>0</v>
      </c>
      <c r="Z220">
        <v>0</v>
      </c>
      <c r="AA220">
        <v>3</v>
      </c>
      <c r="AB220">
        <v>2</v>
      </c>
      <c r="AC220">
        <v>19</v>
      </c>
      <c r="AD220">
        <v>0</v>
      </c>
      <c r="AE220">
        <v>137</v>
      </c>
      <c r="AF220">
        <v>8</v>
      </c>
      <c r="AG220">
        <v>24</v>
      </c>
      <c r="AH220">
        <v>16</v>
      </c>
      <c r="AI220">
        <v>0</v>
      </c>
      <c r="AJ220">
        <v>54</v>
      </c>
      <c r="AK220">
        <v>2</v>
      </c>
      <c r="AL220">
        <v>0</v>
      </c>
      <c r="AM220">
        <v>82</v>
      </c>
      <c r="AN220">
        <v>0</v>
      </c>
      <c r="AO220">
        <v>62</v>
      </c>
      <c r="AQ220" t="str">
        <f t="shared" si="3"/>
        <v>Defensive Forward</v>
      </c>
    </row>
    <row r="221" spans="1:43" x14ac:dyDescent="0.35">
      <c r="A221" t="s">
        <v>221</v>
      </c>
      <c r="B221" t="s">
        <v>46</v>
      </c>
      <c r="C221" t="s">
        <v>1088</v>
      </c>
      <c r="D221">
        <v>2000</v>
      </c>
      <c r="E221">
        <v>18</v>
      </c>
      <c r="F221" t="s">
        <v>44</v>
      </c>
      <c r="G221" t="s">
        <v>51</v>
      </c>
      <c r="H221">
        <v>11000000</v>
      </c>
      <c r="I221">
        <v>31500000</v>
      </c>
      <c r="J221" t="s">
        <v>55</v>
      </c>
      <c r="K221">
        <v>10</v>
      </c>
      <c r="L221">
        <v>391</v>
      </c>
      <c r="M221">
        <v>0</v>
      </c>
      <c r="N221">
        <v>207</v>
      </c>
      <c r="O221">
        <v>1</v>
      </c>
      <c r="P221">
        <v>0</v>
      </c>
      <c r="Q221">
        <v>0</v>
      </c>
      <c r="R221">
        <v>6</v>
      </c>
      <c r="S221">
        <v>4</v>
      </c>
      <c r="T221">
        <v>6</v>
      </c>
      <c r="U221">
        <v>3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3</v>
      </c>
      <c r="AB221">
        <v>0</v>
      </c>
      <c r="AC221">
        <v>3</v>
      </c>
      <c r="AD221">
        <v>3</v>
      </c>
      <c r="AE221">
        <v>22</v>
      </c>
      <c r="AF221">
        <v>0</v>
      </c>
      <c r="AG221">
        <v>3</v>
      </c>
      <c r="AH221">
        <v>1</v>
      </c>
      <c r="AI221">
        <v>0</v>
      </c>
      <c r="AJ221">
        <v>8</v>
      </c>
      <c r="AK221">
        <v>0</v>
      </c>
      <c r="AL221">
        <v>0</v>
      </c>
      <c r="AM221">
        <v>0</v>
      </c>
      <c r="AN221">
        <v>2</v>
      </c>
      <c r="AO221">
        <v>2</v>
      </c>
      <c r="AQ221" t="str">
        <f t="shared" si="3"/>
        <v>Midfielder</v>
      </c>
    </row>
    <row r="222" spans="1:43" x14ac:dyDescent="0.35">
      <c r="A222" t="s">
        <v>222</v>
      </c>
      <c r="B222" t="s">
        <v>39</v>
      </c>
      <c r="C222" t="s">
        <v>1089</v>
      </c>
      <c r="D222">
        <v>1991</v>
      </c>
      <c r="E222">
        <v>24</v>
      </c>
      <c r="F222" t="s">
        <v>103</v>
      </c>
      <c r="G222" t="s">
        <v>45</v>
      </c>
      <c r="H222">
        <v>5500000</v>
      </c>
      <c r="I222">
        <v>3600000</v>
      </c>
      <c r="J222" t="s">
        <v>42</v>
      </c>
      <c r="K222">
        <v>37</v>
      </c>
      <c r="L222">
        <v>3202</v>
      </c>
      <c r="M222">
        <v>2</v>
      </c>
      <c r="N222">
        <v>1798</v>
      </c>
      <c r="O222">
        <v>3</v>
      </c>
      <c r="P222">
        <v>7</v>
      </c>
      <c r="Q222">
        <v>0</v>
      </c>
      <c r="R222">
        <v>1</v>
      </c>
      <c r="S222">
        <v>3</v>
      </c>
      <c r="T222">
        <v>10</v>
      </c>
      <c r="U222">
        <v>0</v>
      </c>
      <c r="V222">
        <v>0</v>
      </c>
      <c r="W222">
        <v>47</v>
      </c>
      <c r="X222">
        <v>0</v>
      </c>
      <c r="Y222">
        <v>0</v>
      </c>
      <c r="Z222">
        <v>0</v>
      </c>
      <c r="AA222">
        <v>1</v>
      </c>
      <c r="AB222">
        <v>1</v>
      </c>
      <c r="AC222">
        <v>0</v>
      </c>
      <c r="AD222">
        <v>0</v>
      </c>
      <c r="AE222">
        <v>57</v>
      </c>
      <c r="AF222">
        <v>16</v>
      </c>
      <c r="AG222">
        <v>86</v>
      </c>
      <c r="AH222">
        <v>39</v>
      </c>
      <c r="AI222">
        <v>0</v>
      </c>
      <c r="AJ222">
        <v>114</v>
      </c>
      <c r="AK222">
        <v>0</v>
      </c>
      <c r="AL222">
        <v>0</v>
      </c>
      <c r="AM222">
        <v>102</v>
      </c>
      <c r="AN222">
        <v>46</v>
      </c>
      <c r="AO222">
        <v>39</v>
      </c>
      <c r="AQ222" t="str">
        <f t="shared" si="3"/>
        <v>Forward</v>
      </c>
    </row>
    <row r="223" spans="1:43" x14ac:dyDescent="0.35">
      <c r="A223" t="s">
        <v>223</v>
      </c>
      <c r="B223" t="s">
        <v>46</v>
      </c>
      <c r="C223" t="s">
        <v>1090</v>
      </c>
      <c r="D223">
        <v>1994</v>
      </c>
      <c r="E223">
        <v>23</v>
      </c>
      <c r="F223" t="s">
        <v>169</v>
      </c>
      <c r="G223" t="s">
        <v>108</v>
      </c>
      <c r="H223">
        <v>3150000</v>
      </c>
      <c r="I223">
        <v>4500000</v>
      </c>
      <c r="J223" t="s">
        <v>52</v>
      </c>
      <c r="K223">
        <v>27</v>
      </c>
      <c r="L223">
        <v>1996</v>
      </c>
      <c r="M223">
        <v>4</v>
      </c>
      <c r="N223">
        <v>552</v>
      </c>
      <c r="O223">
        <v>1</v>
      </c>
      <c r="P223">
        <v>4</v>
      </c>
      <c r="Q223">
        <v>0</v>
      </c>
      <c r="R223">
        <v>6</v>
      </c>
      <c r="S223">
        <v>4</v>
      </c>
      <c r="T223">
        <v>41</v>
      </c>
      <c r="U223">
        <v>8</v>
      </c>
      <c r="V223">
        <v>1</v>
      </c>
      <c r="W223">
        <v>16</v>
      </c>
      <c r="X223">
        <v>0</v>
      </c>
      <c r="Y223">
        <v>0</v>
      </c>
      <c r="Z223">
        <v>0</v>
      </c>
      <c r="AA223">
        <v>10</v>
      </c>
      <c r="AB223">
        <v>2</v>
      </c>
      <c r="AC223">
        <v>33</v>
      </c>
      <c r="AD223">
        <v>0</v>
      </c>
      <c r="AE223">
        <v>23</v>
      </c>
      <c r="AF223">
        <v>2</v>
      </c>
      <c r="AG223">
        <v>8</v>
      </c>
      <c r="AH223">
        <v>41</v>
      </c>
      <c r="AI223">
        <v>0</v>
      </c>
      <c r="AJ223">
        <v>21</v>
      </c>
      <c r="AK223">
        <v>0</v>
      </c>
      <c r="AL223">
        <v>0</v>
      </c>
      <c r="AM223">
        <v>28</v>
      </c>
      <c r="AN223">
        <v>202</v>
      </c>
      <c r="AO223">
        <v>217</v>
      </c>
      <c r="AQ223" t="str">
        <f t="shared" si="3"/>
        <v>Defensive Forward</v>
      </c>
    </row>
    <row r="224" spans="1:43" x14ac:dyDescent="0.35">
      <c r="A224" t="s">
        <v>224</v>
      </c>
      <c r="B224" t="s">
        <v>47</v>
      </c>
      <c r="C224" t="s">
        <v>1091</v>
      </c>
      <c r="D224">
        <v>1992</v>
      </c>
      <c r="E224">
        <v>24</v>
      </c>
      <c r="F224" t="s">
        <v>84</v>
      </c>
      <c r="G224" t="s">
        <v>51</v>
      </c>
      <c r="H224">
        <v>8100000</v>
      </c>
      <c r="I224">
        <v>9000000</v>
      </c>
      <c r="J224" t="s">
        <v>42</v>
      </c>
      <c r="K224">
        <v>20</v>
      </c>
      <c r="L224">
        <v>1363</v>
      </c>
      <c r="M224">
        <v>6</v>
      </c>
      <c r="N224">
        <v>191</v>
      </c>
      <c r="O224">
        <v>0</v>
      </c>
      <c r="P224">
        <v>0</v>
      </c>
      <c r="Q224">
        <v>0</v>
      </c>
      <c r="R224">
        <v>4</v>
      </c>
      <c r="S224">
        <v>14</v>
      </c>
      <c r="T224">
        <v>31</v>
      </c>
      <c r="U224">
        <v>12</v>
      </c>
      <c r="V224">
        <v>2</v>
      </c>
      <c r="W224">
        <v>1</v>
      </c>
      <c r="X224">
        <v>2</v>
      </c>
      <c r="Y224">
        <v>3</v>
      </c>
      <c r="Z224">
        <v>0</v>
      </c>
      <c r="AA224">
        <v>18</v>
      </c>
      <c r="AB224">
        <v>0</v>
      </c>
      <c r="AC224">
        <v>2</v>
      </c>
      <c r="AD224">
        <v>0</v>
      </c>
      <c r="AE224">
        <v>9</v>
      </c>
      <c r="AF224">
        <v>3</v>
      </c>
      <c r="AG224">
        <v>5</v>
      </c>
      <c r="AH224">
        <v>30</v>
      </c>
      <c r="AI224">
        <v>0</v>
      </c>
      <c r="AJ224">
        <v>6</v>
      </c>
      <c r="AK224">
        <v>0</v>
      </c>
      <c r="AL224">
        <v>0</v>
      </c>
      <c r="AM224">
        <v>1</v>
      </c>
      <c r="AN224">
        <v>5</v>
      </c>
      <c r="AO224">
        <v>28</v>
      </c>
      <c r="AQ224" t="str">
        <f t="shared" si="3"/>
        <v>Forward</v>
      </c>
    </row>
    <row r="225" spans="1:43" x14ac:dyDescent="0.35">
      <c r="A225" t="s">
        <v>224</v>
      </c>
      <c r="B225" t="s">
        <v>43</v>
      </c>
      <c r="C225" t="s">
        <v>1092</v>
      </c>
      <c r="D225">
        <v>1992</v>
      </c>
      <c r="E225">
        <v>25</v>
      </c>
      <c r="F225" t="s">
        <v>84</v>
      </c>
      <c r="G225" t="s">
        <v>51</v>
      </c>
      <c r="H225">
        <v>9000000</v>
      </c>
      <c r="I225">
        <v>9000000</v>
      </c>
      <c r="J225" t="s">
        <v>42</v>
      </c>
      <c r="K225">
        <v>28</v>
      </c>
      <c r="L225">
        <v>1987</v>
      </c>
      <c r="M225">
        <v>8</v>
      </c>
      <c r="N225">
        <v>393</v>
      </c>
      <c r="O225">
        <v>2</v>
      </c>
      <c r="P225">
        <v>0</v>
      </c>
      <c r="Q225">
        <v>0</v>
      </c>
      <c r="R225">
        <v>5</v>
      </c>
      <c r="S225">
        <v>14</v>
      </c>
      <c r="T225">
        <v>53</v>
      </c>
      <c r="U225">
        <v>19</v>
      </c>
      <c r="V225">
        <v>0</v>
      </c>
      <c r="W225">
        <v>7</v>
      </c>
      <c r="X225">
        <v>1</v>
      </c>
      <c r="Y225">
        <v>0</v>
      </c>
      <c r="Z225">
        <v>0</v>
      </c>
      <c r="AA225">
        <v>20</v>
      </c>
      <c r="AB225">
        <v>3</v>
      </c>
      <c r="AC225">
        <v>34</v>
      </c>
      <c r="AD225">
        <v>2</v>
      </c>
      <c r="AE225">
        <v>15</v>
      </c>
      <c r="AF225">
        <v>3</v>
      </c>
      <c r="AG225">
        <v>3</v>
      </c>
      <c r="AH225">
        <v>37</v>
      </c>
      <c r="AI225">
        <v>0</v>
      </c>
      <c r="AJ225">
        <v>9</v>
      </c>
      <c r="AK225">
        <v>0</v>
      </c>
      <c r="AL225">
        <v>0</v>
      </c>
      <c r="AM225">
        <v>15</v>
      </c>
      <c r="AN225">
        <v>21</v>
      </c>
      <c r="AO225">
        <v>80</v>
      </c>
      <c r="AQ225" t="str">
        <f t="shared" si="3"/>
        <v>Forward</v>
      </c>
    </row>
    <row r="226" spans="1:43" x14ac:dyDescent="0.35">
      <c r="A226" t="s">
        <v>224</v>
      </c>
      <c r="B226" t="s">
        <v>46</v>
      </c>
      <c r="C226" t="s">
        <v>1093</v>
      </c>
      <c r="D226">
        <v>1992</v>
      </c>
      <c r="E226">
        <v>26</v>
      </c>
      <c r="F226" t="s">
        <v>84</v>
      </c>
      <c r="G226" t="s">
        <v>51</v>
      </c>
      <c r="H226">
        <v>9000000</v>
      </c>
      <c r="I226">
        <v>27000000</v>
      </c>
      <c r="J226" t="s">
        <v>42</v>
      </c>
      <c r="K226">
        <v>30</v>
      </c>
      <c r="L226">
        <v>2534</v>
      </c>
      <c r="M226">
        <v>14</v>
      </c>
      <c r="N226">
        <v>440</v>
      </c>
      <c r="O226">
        <v>9</v>
      </c>
      <c r="P226">
        <v>3</v>
      </c>
      <c r="Q226">
        <v>0</v>
      </c>
      <c r="R226">
        <v>0</v>
      </c>
      <c r="S226">
        <v>8</v>
      </c>
      <c r="T226">
        <v>65</v>
      </c>
      <c r="U226">
        <v>30</v>
      </c>
      <c r="V226">
        <v>2</v>
      </c>
      <c r="W226">
        <v>10</v>
      </c>
      <c r="X226">
        <v>3</v>
      </c>
      <c r="Y226">
        <v>0</v>
      </c>
      <c r="Z226">
        <v>0</v>
      </c>
      <c r="AA226">
        <v>19</v>
      </c>
      <c r="AB226">
        <v>2</v>
      </c>
      <c r="AC226">
        <v>35</v>
      </c>
      <c r="AD226">
        <v>0</v>
      </c>
      <c r="AE226">
        <v>20</v>
      </c>
      <c r="AF226">
        <v>4</v>
      </c>
      <c r="AG226">
        <v>4</v>
      </c>
      <c r="AH226">
        <v>41</v>
      </c>
      <c r="AI226">
        <v>0</v>
      </c>
      <c r="AJ226">
        <v>9</v>
      </c>
      <c r="AK226">
        <v>0</v>
      </c>
      <c r="AL226">
        <v>0</v>
      </c>
      <c r="AM226">
        <v>15</v>
      </c>
      <c r="AN226">
        <v>46</v>
      </c>
      <c r="AO226">
        <v>90</v>
      </c>
      <c r="AQ226" t="str">
        <f t="shared" si="3"/>
        <v>Forward</v>
      </c>
    </row>
    <row r="227" spans="1:43" x14ac:dyDescent="0.35">
      <c r="A227" t="s">
        <v>225</v>
      </c>
      <c r="B227" t="s">
        <v>39</v>
      </c>
      <c r="C227" t="s">
        <v>1094</v>
      </c>
      <c r="D227">
        <v>1995</v>
      </c>
      <c r="E227">
        <v>20</v>
      </c>
      <c r="F227" t="s">
        <v>61</v>
      </c>
      <c r="G227" t="s">
        <v>51</v>
      </c>
      <c r="H227">
        <v>10800000</v>
      </c>
      <c r="I227">
        <v>10800000</v>
      </c>
      <c r="J227" t="s">
        <v>52</v>
      </c>
      <c r="K227">
        <v>12</v>
      </c>
      <c r="L227">
        <v>276</v>
      </c>
      <c r="M227">
        <v>0</v>
      </c>
      <c r="N227">
        <v>77</v>
      </c>
      <c r="O227">
        <v>1</v>
      </c>
      <c r="P227">
        <v>2</v>
      </c>
      <c r="Q227">
        <v>0</v>
      </c>
      <c r="R227">
        <v>10</v>
      </c>
      <c r="S227">
        <v>2</v>
      </c>
      <c r="T227">
        <v>8</v>
      </c>
      <c r="U227">
        <v>1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15</v>
      </c>
      <c r="AF227">
        <v>0</v>
      </c>
      <c r="AG227">
        <v>2</v>
      </c>
      <c r="AH227">
        <v>2</v>
      </c>
      <c r="AI227">
        <v>0</v>
      </c>
      <c r="AJ227">
        <v>6</v>
      </c>
      <c r="AK227">
        <v>0</v>
      </c>
      <c r="AL227">
        <v>0</v>
      </c>
      <c r="AM227">
        <v>0</v>
      </c>
      <c r="AN227">
        <v>3</v>
      </c>
      <c r="AO227">
        <v>0</v>
      </c>
      <c r="AQ227" t="str">
        <f t="shared" si="3"/>
        <v>Defensive Forward</v>
      </c>
    </row>
    <row r="228" spans="1:43" x14ac:dyDescent="0.35">
      <c r="A228" t="s">
        <v>225</v>
      </c>
      <c r="B228" t="s">
        <v>47</v>
      </c>
      <c r="C228" t="s">
        <v>1095</v>
      </c>
      <c r="D228">
        <v>1995</v>
      </c>
      <c r="E228">
        <v>21</v>
      </c>
      <c r="F228" t="s">
        <v>48</v>
      </c>
      <c r="G228" t="s">
        <v>51</v>
      </c>
      <c r="H228">
        <v>10800000</v>
      </c>
      <c r="I228">
        <v>12600000</v>
      </c>
      <c r="J228" t="s">
        <v>52</v>
      </c>
      <c r="K228">
        <v>25</v>
      </c>
      <c r="L228">
        <v>2250</v>
      </c>
      <c r="M228">
        <v>2</v>
      </c>
      <c r="N228">
        <v>1116</v>
      </c>
      <c r="O228">
        <v>1</v>
      </c>
      <c r="P228">
        <v>4</v>
      </c>
      <c r="Q228">
        <v>0</v>
      </c>
      <c r="R228">
        <v>0</v>
      </c>
      <c r="S228">
        <v>0</v>
      </c>
      <c r="T228">
        <v>8</v>
      </c>
      <c r="U228">
        <v>3</v>
      </c>
      <c r="V228">
        <v>0</v>
      </c>
      <c r="W228">
        <v>103</v>
      </c>
      <c r="X228">
        <v>1</v>
      </c>
      <c r="Y228">
        <v>0</v>
      </c>
      <c r="Z228">
        <v>0</v>
      </c>
      <c r="AA228">
        <v>1</v>
      </c>
      <c r="AB228">
        <v>0</v>
      </c>
      <c r="AC228">
        <v>0</v>
      </c>
      <c r="AD228">
        <v>0</v>
      </c>
      <c r="AE228">
        <v>21</v>
      </c>
      <c r="AF228">
        <v>26</v>
      </c>
      <c r="AG228">
        <v>52</v>
      </c>
      <c r="AH228">
        <v>23</v>
      </c>
      <c r="AI228">
        <v>0</v>
      </c>
      <c r="AJ228">
        <v>49</v>
      </c>
      <c r="AK228">
        <v>0</v>
      </c>
      <c r="AL228">
        <v>0</v>
      </c>
      <c r="AM228">
        <v>175</v>
      </c>
      <c r="AN228">
        <v>71</v>
      </c>
      <c r="AO228">
        <v>50</v>
      </c>
      <c r="AQ228" t="str">
        <f t="shared" si="3"/>
        <v>Defensive Forward</v>
      </c>
    </row>
    <row r="229" spans="1:43" x14ac:dyDescent="0.35">
      <c r="A229" t="s">
        <v>225</v>
      </c>
      <c r="B229" t="s">
        <v>46</v>
      </c>
      <c r="C229" t="s">
        <v>1096</v>
      </c>
      <c r="D229">
        <v>1995</v>
      </c>
      <c r="E229">
        <v>23</v>
      </c>
      <c r="F229" t="s">
        <v>74</v>
      </c>
      <c r="G229" t="s">
        <v>51</v>
      </c>
      <c r="H229">
        <v>12600000</v>
      </c>
      <c r="I229">
        <v>12600000</v>
      </c>
      <c r="J229" t="s">
        <v>52</v>
      </c>
      <c r="K229">
        <v>31</v>
      </c>
      <c r="L229">
        <v>2586</v>
      </c>
      <c r="M229">
        <v>2</v>
      </c>
      <c r="N229">
        <v>1484</v>
      </c>
      <c r="O229">
        <v>0</v>
      </c>
      <c r="P229">
        <v>9</v>
      </c>
      <c r="Q229">
        <v>0</v>
      </c>
      <c r="R229">
        <v>2</v>
      </c>
      <c r="S229">
        <v>1</v>
      </c>
      <c r="T229">
        <v>35</v>
      </c>
      <c r="U229">
        <v>11</v>
      </c>
      <c r="V229">
        <v>1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2</v>
      </c>
      <c r="AC229">
        <v>24</v>
      </c>
      <c r="AD229">
        <v>0</v>
      </c>
      <c r="AE229">
        <v>14</v>
      </c>
      <c r="AF229">
        <v>12</v>
      </c>
      <c r="AG229">
        <v>69</v>
      </c>
      <c r="AH229">
        <v>34</v>
      </c>
      <c r="AI229">
        <v>0</v>
      </c>
      <c r="AJ229">
        <v>63</v>
      </c>
      <c r="AK229">
        <v>1</v>
      </c>
      <c r="AL229">
        <v>0</v>
      </c>
      <c r="AM229">
        <v>107</v>
      </c>
      <c r="AN229">
        <v>64</v>
      </c>
      <c r="AO229">
        <v>55</v>
      </c>
      <c r="AQ229" t="str">
        <f t="shared" si="3"/>
        <v>Defensive Forward</v>
      </c>
    </row>
    <row r="230" spans="1:43" x14ac:dyDescent="0.35">
      <c r="A230" t="s">
        <v>225</v>
      </c>
      <c r="B230" t="s">
        <v>43</v>
      </c>
      <c r="C230" t="s">
        <v>1097</v>
      </c>
      <c r="D230">
        <v>1995</v>
      </c>
      <c r="E230">
        <v>22</v>
      </c>
      <c r="F230" t="s">
        <v>61</v>
      </c>
      <c r="G230" t="s">
        <v>51</v>
      </c>
      <c r="H230">
        <v>12600000</v>
      </c>
      <c r="I230">
        <v>12600000</v>
      </c>
      <c r="J230" t="s">
        <v>52</v>
      </c>
      <c r="K230">
        <v>12</v>
      </c>
      <c r="L230">
        <v>869</v>
      </c>
      <c r="M230">
        <v>0</v>
      </c>
      <c r="N230">
        <v>600</v>
      </c>
      <c r="O230">
        <v>0</v>
      </c>
      <c r="P230">
        <v>1</v>
      </c>
      <c r="Q230">
        <v>0</v>
      </c>
      <c r="R230">
        <v>2</v>
      </c>
      <c r="S230">
        <v>5</v>
      </c>
      <c r="T230">
        <v>10</v>
      </c>
      <c r="U230">
        <v>3</v>
      </c>
      <c r="V230">
        <v>0</v>
      </c>
      <c r="W230">
        <v>22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7</v>
      </c>
      <c r="AD230">
        <v>0</v>
      </c>
      <c r="AE230">
        <v>7</v>
      </c>
      <c r="AF230">
        <v>11</v>
      </c>
      <c r="AG230">
        <v>18</v>
      </c>
      <c r="AH230">
        <v>10</v>
      </c>
      <c r="AI230">
        <v>0</v>
      </c>
      <c r="AJ230">
        <v>17</v>
      </c>
      <c r="AK230">
        <v>0</v>
      </c>
      <c r="AL230">
        <v>0</v>
      </c>
      <c r="AM230">
        <v>44</v>
      </c>
      <c r="AN230">
        <v>28</v>
      </c>
      <c r="AO230">
        <v>30</v>
      </c>
      <c r="AQ230" t="str">
        <f t="shared" si="3"/>
        <v>Defensive Forward</v>
      </c>
    </row>
    <row r="231" spans="1:43" x14ac:dyDescent="0.35">
      <c r="A231" t="s">
        <v>226</v>
      </c>
      <c r="B231" t="s">
        <v>39</v>
      </c>
      <c r="C231" t="s">
        <v>1098</v>
      </c>
      <c r="D231">
        <v>1997</v>
      </c>
      <c r="E231">
        <v>18</v>
      </c>
      <c r="F231" t="s">
        <v>129</v>
      </c>
      <c r="G231" t="s">
        <v>51</v>
      </c>
      <c r="H231">
        <v>875000</v>
      </c>
      <c r="I231">
        <v>2700000</v>
      </c>
      <c r="J231" t="s">
        <v>52</v>
      </c>
      <c r="K231">
        <v>13</v>
      </c>
      <c r="L231">
        <v>772</v>
      </c>
      <c r="M231">
        <v>5</v>
      </c>
      <c r="N231">
        <v>131</v>
      </c>
      <c r="O231">
        <v>0</v>
      </c>
      <c r="P231">
        <v>0</v>
      </c>
      <c r="Q231">
        <v>0</v>
      </c>
      <c r="R231">
        <v>4</v>
      </c>
      <c r="S231">
        <v>4</v>
      </c>
      <c r="T231">
        <v>17</v>
      </c>
      <c r="U231">
        <v>8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4</v>
      </c>
      <c r="AB231">
        <v>0</v>
      </c>
      <c r="AC231">
        <v>0</v>
      </c>
      <c r="AD231">
        <v>0</v>
      </c>
      <c r="AE231">
        <v>5</v>
      </c>
      <c r="AF231">
        <v>2</v>
      </c>
      <c r="AG231">
        <v>1</v>
      </c>
      <c r="AH231">
        <v>12</v>
      </c>
      <c r="AI231">
        <v>0</v>
      </c>
      <c r="AJ231">
        <v>5</v>
      </c>
      <c r="AK231">
        <v>0</v>
      </c>
      <c r="AL231">
        <v>0</v>
      </c>
      <c r="AM231">
        <v>0</v>
      </c>
      <c r="AN231">
        <v>4</v>
      </c>
      <c r="AO231">
        <v>13</v>
      </c>
      <c r="AQ231" t="str">
        <f t="shared" si="3"/>
        <v>Defensive Forward</v>
      </c>
    </row>
    <row r="232" spans="1:43" x14ac:dyDescent="0.35">
      <c r="A232" t="s">
        <v>227</v>
      </c>
      <c r="B232" t="s">
        <v>39</v>
      </c>
      <c r="C232" t="s">
        <v>1099</v>
      </c>
      <c r="D232">
        <v>1996</v>
      </c>
      <c r="E232">
        <v>19</v>
      </c>
      <c r="F232" t="s">
        <v>80</v>
      </c>
      <c r="G232" t="s">
        <v>51</v>
      </c>
      <c r="H232">
        <v>250000</v>
      </c>
      <c r="I232">
        <v>250000</v>
      </c>
      <c r="J232" t="s">
        <v>55</v>
      </c>
      <c r="K232">
        <v>12</v>
      </c>
      <c r="L232">
        <v>315</v>
      </c>
      <c r="M232">
        <v>0</v>
      </c>
      <c r="N232">
        <v>195</v>
      </c>
      <c r="O232">
        <v>0</v>
      </c>
      <c r="P232">
        <v>2</v>
      </c>
      <c r="Q232">
        <v>0</v>
      </c>
      <c r="R232">
        <v>10</v>
      </c>
      <c r="S232">
        <v>0</v>
      </c>
      <c r="T232">
        <v>2</v>
      </c>
      <c r="U232">
        <v>1</v>
      </c>
      <c r="V232">
        <v>0</v>
      </c>
      <c r="W232">
        <v>10</v>
      </c>
      <c r="X232">
        <v>0</v>
      </c>
      <c r="Y232">
        <v>0</v>
      </c>
      <c r="Z232">
        <v>0</v>
      </c>
      <c r="AA232">
        <v>0</v>
      </c>
      <c r="AB232">
        <v>1</v>
      </c>
      <c r="AC232">
        <v>0</v>
      </c>
      <c r="AD232">
        <v>0</v>
      </c>
      <c r="AE232">
        <v>1</v>
      </c>
      <c r="AF232">
        <v>8</v>
      </c>
      <c r="AG232">
        <v>10</v>
      </c>
      <c r="AH232">
        <v>6</v>
      </c>
      <c r="AI232">
        <v>0</v>
      </c>
      <c r="AJ232">
        <v>8</v>
      </c>
      <c r="AK232">
        <v>0</v>
      </c>
      <c r="AL232">
        <v>1</v>
      </c>
      <c r="AM232">
        <v>21</v>
      </c>
      <c r="AN232">
        <v>13</v>
      </c>
      <c r="AO232">
        <v>11</v>
      </c>
      <c r="AQ232" t="str">
        <f t="shared" si="3"/>
        <v>Midfielder</v>
      </c>
    </row>
    <row r="233" spans="1:43" x14ac:dyDescent="0.35">
      <c r="A233" t="s">
        <v>228</v>
      </c>
      <c r="B233" t="s">
        <v>39</v>
      </c>
      <c r="C233" t="s">
        <v>1100</v>
      </c>
      <c r="D233">
        <v>1986</v>
      </c>
      <c r="E233">
        <v>28</v>
      </c>
      <c r="F233" t="s">
        <v>123</v>
      </c>
      <c r="G233" t="s">
        <v>51</v>
      </c>
      <c r="H233">
        <v>3300000</v>
      </c>
      <c r="I233">
        <v>2250000</v>
      </c>
      <c r="J233" t="s">
        <v>42</v>
      </c>
      <c r="K233">
        <v>10</v>
      </c>
      <c r="L233">
        <v>692</v>
      </c>
      <c r="M233">
        <v>0</v>
      </c>
      <c r="N233">
        <v>353</v>
      </c>
      <c r="O233">
        <v>0</v>
      </c>
      <c r="P233">
        <v>0</v>
      </c>
      <c r="Q233">
        <v>0</v>
      </c>
      <c r="R233">
        <v>4</v>
      </c>
      <c r="S233">
        <v>1</v>
      </c>
      <c r="T233">
        <v>1</v>
      </c>
      <c r="U233">
        <v>1</v>
      </c>
      <c r="V233">
        <v>0</v>
      </c>
      <c r="W233">
        <v>10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27</v>
      </c>
      <c r="AF233">
        <v>4</v>
      </c>
      <c r="AG233">
        <v>11</v>
      </c>
      <c r="AH233">
        <v>8</v>
      </c>
      <c r="AI233">
        <v>0</v>
      </c>
      <c r="AJ233">
        <v>8</v>
      </c>
      <c r="AK233">
        <v>0</v>
      </c>
      <c r="AL233">
        <v>0</v>
      </c>
      <c r="AM233">
        <v>17</v>
      </c>
      <c r="AN233">
        <v>10</v>
      </c>
      <c r="AO233">
        <v>23</v>
      </c>
      <c r="AQ233" t="str">
        <f t="shared" si="3"/>
        <v>Forward</v>
      </c>
    </row>
    <row r="234" spans="1:43" x14ac:dyDescent="0.35">
      <c r="A234" t="s">
        <v>229</v>
      </c>
      <c r="B234" t="s">
        <v>39</v>
      </c>
      <c r="C234" t="s">
        <v>1101</v>
      </c>
      <c r="D234">
        <v>1992</v>
      </c>
      <c r="E234">
        <v>22</v>
      </c>
      <c r="F234" t="s">
        <v>89</v>
      </c>
      <c r="G234" t="s">
        <v>51</v>
      </c>
      <c r="H234">
        <v>4000000</v>
      </c>
      <c r="I234">
        <v>3500000</v>
      </c>
      <c r="J234" t="s">
        <v>55</v>
      </c>
      <c r="K234">
        <v>34</v>
      </c>
      <c r="L234">
        <v>1774</v>
      </c>
      <c r="M234">
        <v>3</v>
      </c>
      <c r="N234">
        <v>405</v>
      </c>
      <c r="O234">
        <v>2</v>
      </c>
      <c r="P234">
        <v>2</v>
      </c>
      <c r="Q234">
        <v>0</v>
      </c>
      <c r="R234">
        <v>15</v>
      </c>
      <c r="S234">
        <v>13</v>
      </c>
      <c r="T234">
        <v>46</v>
      </c>
      <c r="U234">
        <v>11</v>
      </c>
      <c r="V234">
        <v>1</v>
      </c>
      <c r="W234">
        <v>7</v>
      </c>
      <c r="X234">
        <v>0</v>
      </c>
      <c r="Y234">
        <v>0</v>
      </c>
      <c r="Z234">
        <v>0</v>
      </c>
      <c r="AA234">
        <v>22</v>
      </c>
      <c r="AB234">
        <v>1</v>
      </c>
      <c r="AC234">
        <v>12</v>
      </c>
      <c r="AD234">
        <v>0</v>
      </c>
      <c r="AE234">
        <v>18</v>
      </c>
      <c r="AF234">
        <v>0</v>
      </c>
      <c r="AG234">
        <v>6</v>
      </c>
      <c r="AH234">
        <v>36</v>
      </c>
      <c r="AI234">
        <v>0</v>
      </c>
      <c r="AJ234">
        <v>11</v>
      </c>
      <c r="AK234">
        <v>0</v>
      </c>
      <c r="AL234">
        <v>0</v>
      </c>
      <c r="AM234">
        <v>11</v>
      </c>
      <c r="AN234">
        <v>74</v>
      </c>
      <c r="AO234">
        <v>87</v>
      </c>
      <c r="AQ234" t="str">
        <f t="shared" si="3"/>
        <v>Midfielder</v>
      </c>
    </row>
    <row r="235" spans="1:43" x14ac:dyDescent="0.35">
      <c r="A235" t="s">
        <v>230</v>
      </c>
      <c r="B235" t="s">
        <v>39</v>
      </c>
      <c r="C235" t="s">
        <v>1102</v>
      </c>
      <c r="D235">
        <v>1986</v>
      </c>
      <c r="E235">
        <v>29</v>
      </c>
      <c r="F235" t="s">
        <v>89</v>
      </c>
      <c r="G235" t="s">
        <v>202</v>
      </c>
      <c r="H235">
        <v>5500000</v>
      </c>
      <c r="I235">
        <v>3850000</v>
      </c>
      <c r="J235" t="s">
        <v>55</v>
      </c>
      <c r="K235">
        <v>20</v>
      </c>
      <c r="L235">
        <v>1225</v>
      </c>
      <c r="M235">
        <v>2</v>
      </c>
      <c r="N235">
        <v>505</v>
      </c>
      <c r="O235">
        <v>0</v>
      </c>
      <c r="P235">
        <v>3</v>
      </c>
      <c r="Q235">
        <v>1</v>
      </c>
      <c r="R235">
        <v>7</v>
      </c>
      <c r="S235">
        <v>2</v>
      </c>
      <c r="T235">
        <v>7</v>
      </c>
      <c r="U235">
        <v>3</v>
      </c>
      <c r="V235">
        <v>0</v>
      </c>
      <c r="W235">
        <v>35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34</v>
      </c>
      <c r="AF235">
        <v>5</v>
      </c>
      <c r="AG235">
        <v>20</v>
      </c>
      <c r="AH235">
        <v>13</v>
      </c>
      <c r="AI235">
        <v>0</v>
      </c>
      <c r="AJ235">
        <v>24</v>
      </c>
      <c r="AK235">
        <v>1</v>
      </c>
      <c r="AL235">
        <v>1</v>
      </c>
      <c r="AM235">
        <v>54</v>
      </c>
      <c r="AN235">
        <v>13</v>
      </c>
      <c r="AO235">
        <v>15</v>
      </c>
      <c r="AQ235" t="str">
        <f t="shared" si="3"/>
        <v>Midfielder</v>
      </c>
    </row>
    <row r="236" spans="1:43" x14ac:dyDescent="0.35">
      <c r="A236" t="s">
        <v>231</v>
      </c>
      <c r="B236" t="s">
        <v>43</v>
      </c>
      <c r="C236" t="s">
        <v>1103</v>
      </c>
      <c r="D236">
        <v>1991</v>
      </c>
      <c r="E236">
        <v>26</v>
      </c>
      <c r="F236" t="s">
        <v>54</v>
      </c>
      <c r="G236" t="s">
        <v>232</v>
      </c>
      <c r="H236">
        <v>9900000</v>
      </c>
      <c r="I236">
        <v>20700000</v>
      </c>
      <c r="J236" t="s">
        <v>42</v>
      </c>
      <c r="K236">
        <v>14</v>
      </c>
      <c r="L236">
        <v>991</v>
      </c>
      <c r="M236">
        <v>5</v>
      </c>
      <c r="N236">
        <v>263</v>
      </c>
      <c r="O236">
        <v>0</v>
      </c>
      <c r="P236">
        <v>0</v>
      </c>
      <c r="Q236">
        <v>0</v>
      </c>
      <c r="R236">
        <v>2</v>
      </c>
      <c r="S236">
        <v>7</v>
      </c>
      <c r="T236">
        <v>19</v>
      </c>
      <c r="U236">
        <v>8</v>
      </c>
      <c r="V236">
        <v>0</v>
      </c>
      <c r="W236">
        <v>8</v>
      </c>
      <c r="X236">
        <v>2</v>
      </c>
      <c r="Y236">
        <v>0</v>
      </c>
      <c r="Z236">
        <v>0</v>
      </c>
      <c r="AA236">
        <v>9</v>
      </c>
      <c r="AB236">
        <v>2</v>
      </c>
      <c r="AC236">
        <v>11</v>
      </c>
      <c r="AD236">
        <v>1</v>
      </c>
      <c r="AE236">
        <v>7</v>
      </c>
      <c r="AF236">
        <v>4</v>
      </c>
      <c r="AG236">
        <v>1</v>
      </c>
      <c r="AH236">
        <v>25</v>
      </c>
      <c r="AI236">
        <v>0</v>
      </c>
      <c r="AJ236">
        <v>6</v>
      </c>
      <c r="AK236">
        <v>0</v>
      </c>
      <c r="AL236">
        <v>0</v>
      </c>
      <c r="AM236">
        <v>11</v>
      </c>
      <c r="AN236">
        <v>0</v>
      </c>
      <c r="AO236">
        <v>67</v>
      </c>
      <c r="AQ236" t="str">
        <f t="shared" si="3"/>
        <v>Forward</v>
      </c>
    </row>
    <row r="237" spans="1:43" x14ac:dyDescent="0.35">
      <c r="A237" t="s">
        <v>231</v>
      </c>
      <c r="B237" t="s">
        <v>46</v>
      </c>
      <c r="C237" t="s">
        <v>1104</v>
      </c>
      <c r="D237">
        <v>1991</v>
      </c>
      <c r="E237">
        <v>27</v>
      </c>
      <c r="F237" t="s">
        <v>54</v>
      </c>
      <c r="G237" t="s">
        <v>232</v>
      </c>
      <c r="H237">
        <v>20700000</v>
      </c>
      <c r="I237">
        <v>16200000</v>
      </c>
      <c r="J237" t="s">
        <v>42</v>
      </c>
      <c r="K237">
        <v>25</v>
      </c>
      <c r="L237">
        <v>1050</v>
      </c>
      <c r="M237">
        <v>3</v>
      </c>
      <c r="N237">
        <v>258</v>
      </c>
      <c r="O237">
        <v>3</v>
      </c>
      <c r="P237">
        <v>3</v>
      </c>
      <c r="Q237">
        <v>0</v>
      </c>
      <c r="R237">
        <v>15</v>
      </c>
      <c r="S237">
        <v>6</v>
      </c>
      <c r="T237">
        <v>37</v>
      </c>
      <c r="U237">
        <v>17</v>
      </c>
      <c r="V237">
        <v>0</v>
      </c>
      <c r="W237">
        <v>1</v>
      </c>
      <c r="X237">
        <v>1</v>
      </c>
      <c r="Y237">
        <v>0</v>
      </c>
      <c r="Z237">
        <v>0</v>
      </c>
      <c r="AA237">
        <v>8</v>
      </c>
      <c r="AB237">
        <v>1</v>
      </c>
      <c r="AC237">
        <v>20</v>
      </c>
      <c r="AD237">
        <v>0</v>
      </c>
      <c r="AE237">
        <v>4</v>
      </c>
      <c r="AF237">
        <v>0</v>
      </c>
      <c r="AG237">
        <v>5</v>
      </c>
      <c r="AH237">
        <v>17</v>
      </c>
      <c r="AI237">
        <v>0</v>
      </c>
      <c r="AJ237">
        <v>13</v>
      </c>
      <c r="AK237">
        <v>0</v>
      </c>
      <c r="AL237">
        <v>0</v>
      </c>
      <c r="AM237">
        <v>3</v>
      </c>
      <c r="AN237">
        <v>37</v>
      </c>
      <c r="AO237">
        <v>56</v>
      </c>
      <c r="AQ237" t="str">
        <f t="shared" si="3"/>
        <v>Forward</v>
      </c>
    </row>
    <row r="238" spans="1:43" x14ac:dyDescent="0.35">
      <c r="A238" t="s">
        <v>233</v>
      </c>
      <c r="B238" t="s">
        <v>47</v>
      </c>
      <c r="C238" t="s">
        <v>1105</v>
      </c>
      <c r="D238">
        <v>1989</v>
      </c>
      <c r="E238">
        <v>27</v>
      </c>
      <c r="F238" t="s">
        <v>44</v>
      </c>
      <c r="G238" t="s">
        <v>45</v>
      </c>
      <c r="H238">
        <v>20000000</v>
      </c>
      <c r="I238">
        <v>30000000</v>
      </c>
      <c r="J238" t="s">
        <v>52</v>
      </c>
      <c r="K238">
        <v>38</v>
      </c>
      <c r="L238">
        <v>3420</v>
      </c>
      <c r="M238">
        <v>1</v>
      </c>
      <c r="N238">
        <v>2459</v>
      </c>
      <c r="O238">
        <v>4</v>
      </c>
      <c r="P238">
        <v>4</v>
      </c>
      <c r="Q238">
        <v>0</v>
      </c>
      <c r="R238">
        <v>0</v>
      </c>
      <c r="S238">
        <v>0</v>
      </c>
      <c r="T238">
        <v>18</v>
      </c>
      <c r="U238">
        <v>6</v>
      </c>
      <c r="V238">
        <v>0</v>
      </c>
      <c r="W238">
        <v>83</v>
      </c>
      <c r="X238">
        <v>0</v>
      </c>
      <c r="Y238">
        <v>0</v>
      </c>
      <c r="Z238">
        <v>0</v>
      </c>
      <c r="AA238">
        <v>2</v>
      </c>
      <c r="AB238">
        <v>10</v>
      </c>
      <c r="AC238">
        <v>0</v>
      </c>
      <c r="AD238">
        <v>0</v>
      </c>
      <c r="AE238">
        <v>41</v>
      </c>
      <c r="AF238">
        <v>8</v>
      </c>
      <c r="AG238">
        <v>71</v>
      </c>
      <c r="AH238">
        <v>27</v>
      </c>
      <c r="AI238">
        <v>0</v>
      </c>
      <c r="AJ238">
        <v>84</v>
      </c>
      <c r="AK238">
        <v>0</v>
      </c>
      <c r="AL238">
        <v>0</v>
      </c>
      <c r="AM238">
        <v>119</v>
      </c>
      <c r="AN238">
        <v>81</v>
      </c>
      <c r="AO238">
        <v>69</v>
      </c>
      <c r="AQ238" t="str">
        <f t="shared" si="3"/>
        <v>Defensive Forward</v>
      </c>
    </row>
    <row r="239" spans="1:43" x14ac:dyDescent="0.35">
      <c r="A239" t="s">
        <v>233</v>
      </c>
      <c r="B239" t="s">
        <v>43</v>
      </c>
      <c r="C239" t="s">
        <v>1106</v>
      </c>
      <c r="D239">
        <v>1989</v>
      </c>
      <c r="E239">
        <v>28</v>
      </c>
      <c r="F239" t="s">
        <v>44</v>
      </c>
      <c r="G239" t="s">
        <v>45</v>
      </c>
      <c r="H239">
        <v>30000000</v>
      </c>
      <c r="I239">
        <v>40000000</v>
      </c>
      <c r="J239" t="s">
        <v>52</v>
      </c>
      <c r="K239">
        <v>37</v>
      </c>
      <c r="L239">
        <v>3330</v>
      </c>
      <c r="M239">
        <v>2</v>
      </c>
      <c r="N239">
        <v>2760</v>
      </c>
      <c r="O239">
        <v>6</v>
      </c>
      <c r="P239">
        <v>1</v>
      </c>
      <c r="Q239">
        <v>0</v>
      </c>
      <c r="R239">
        <v>0</v>
      </c>
      <c r="S239">
        <v>0</v>
      </c>
      <c r="T239">
        <v>13</v>
      </c>
      <c r="U239">
        <v>3</v>
      </c>
      <c r="V239">
        <v>0</v>
      </c>
      <c r="W239">
        <v>65</v>
      </c>
      <c r="X239">
        <v>1</v>
      </c>
      <c r="Y239">
        <v>0</v>
      </c>
      <c r="Z239">
        <v>0</v>
      </c>
      <c r="AA239">
        <v>1</v>
      </c>
      <c r="AB239">
        <v>10</v>
      </c>
      <c r="AC239">
        <v>10</v>
      </c>
      <c r="AD239">
        <v>0</v>
      </c>
      <c r="AE239">
        <v>80</v>
      </c>
      <c r="AF239">
        <v>22</v>
      </c>
      <c r="AG239">
        <v>54</v>
      </c>
      <c r="AH239">
        <v>25</v>
      </c>
      <c r="AI239">
        <v>0</v>
      </c>
      <c r="AJ239">
        <v>80</v>
      </c>
      <c r="AK239">
        <v>0</v>
      </c>
      <c r="AL239">
        <v>1</v>
      </c>
      <c r="AM239">
        <v>119</v>
      </c>
      <c r="AN239">
        <v>81</v>
      </c>
      <c r="AO239">
        <v>55</v>
      </c>
      <c r="AQ239" t="str">
        <f t="shared" si="3"/>
        <v>Defensive Forward</v>
      </c>
    </row>
    <row r="240" spans="1:43" x14ac:dyDescent="0.35">
      <c r="A240" t="s">
        <v>233</v>
      </c>
      <c r="B240" t="s">
        <v>46</v>
      </c>
      <c r="C240" t="s">
        <v>1107</v>
      </c>
      <c r="D240">
        <v>1989</v>
      </c>
      <c r="E240">
        <v>29</v>
      </c>
      <c r="F240" t="s">
        <v>44</v>
      </c>
      <c r="G240" t="s">
        <v>45</v>
      </c>
      <c r="H240">
        <v>40000000</v>
      </c>
      <c r="I240">
        <v>35000000</v>
      </c>
      <c r="J240" t="s">
        <v>52</v>
      </c>
      <c r="K240">
        <v>38</v>
      </c>
      <c r="L240">
        <v>3403</v>
      </c>
      <c r="M240">
        <v>1</v>
      </c>
      <c r="N240">
        <v>2483</v>
      </c>
      <c r="O240">
        <v>5</v>
      </c>
      <c r="P240">
        <v>0</v>
      </c>
      <c r="Q240">
        <v>0</v>
      </c>
      <c r="R240">
        <v>0</v>
      </c>
      <c r="S240">
        <v>1</v>
      </c>
      <c r="T240">
        <v>17</v>
      </c>
      <c r="U240">
        <v>7</v>
      </c>
      <c r="V240">
        <v>0</v>
      </c>
      <c r="W240">
        <v>43</v>
      </c>
      <c r="X240">
        <v>1</v>
      </c>
      <c r="Y240">
        <v>0</v>
      </c>
      <c r="Z240">
        <v>0</v>
      </c>
      <c r="AA240">
        <v>2</v>
      </c>
      <c r="AB240">
        <v>2</v>
      </c>
      <c r="AC240">
        <v>10</v>
      </c>
      <c r="AD240">
        <v>0</v>
      </c>
      <c r="AE240">
        <v>118</v>
      </c>
      <c r="AF240">
        <v>16</v>
      </c>
      <c r="AG240">
        <v>43</v>
      </c>
      <c r="AH240">
        <v>39</v>
      </c>
      <c r="AI240">
        <v>0</v>
      </c>
      <c r="AJ240">
        <v>105</v>
      </c>
      <c r="AK240">
        <v>0</v>
      </c>
      <c r="AL240">
        <v>0</v>
      </c>
      <c r="AM240">
        <v>75</v>
      </c>
      <c r="AN240">
        <v>69</v>
      </c>
      <c r="AO240">
        <v>50</v>
      </c>
      <c r="AQ240" t="str">
        <f t="shared" si="3"/>
        <v>Defensive Forward</v>
      </c>
    </row>
    <row r="241" spans="1:43" x14ac:dyDescent="0.35">
      <c r="A241" t="s">
        <v>233</v>
      </c>
      <c r="B241" t="s">
        <v>39</v>
      </c>
      <c r="C241" t="s">
        <v>1108</v>
      </c>
      <c r="D241">
        <v>1989</v>
      </c>
      <c r="E241">
        <v>26</v>
      </c>
      <c r="F241" t="s">
        <v>44</v>
      </c>
      <c r="G241" t="s">
        <v>45</v>
      </c>
      <c r="H241">
        <v>23000000</v>
      </c>
      <c r="I241">
        <v>20000000</v>
      </c>
      <c r="J241" t="s">
        <v>52</v>
      </c>
      <c r="K241">
        <v>20</v>
      </c>
      <c r="L241">
        <v>1370</v>
      </c>
      <c r="M241">
        <v>0</v>
      </c>
      <c r="N241">
        <v>793</v>
      </c>
      <c r="O241">
        <v>0</v>
      </c>
      <c r="P241">
        <v>3</v>
      </c>
      <c r="Q241">
        <v>0</v>
      </c>
      <c r="R241">
        <v>4</v>
      </c>
      <c r="S241">
        <v>7</v>
      </c>
      <c r="T241">
        <v>13</v>
      </c>
      <c r="U241">
        <v>4</v>
      </c>
      <c r="V241">
        <v>0</v>
      </c>
      <c r="W241">
        <v>11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</v>
      </c>
      <c r="AF241">
        <v>5</v>
      </c>
      <c r="AG241">
        <v>45</v>
      </c>
      <c r="AH241">
        <v>25</v>
      </c>
      <c r="AI241">
        <v>0</v>
      </c>
      <c r="AJ241">
        <v>54</v>
      </c>
      <c r="AK241">
        <v>0</v>
      </c>
      <c r="AL241">
        <v>0</v>
      </c>
      <c r="AM241">
        <v>25</v>
      </c>
      <c r="AN241">
        <v>27</v>
      </c>
      <c r="AO241">
        <v>20</v>
      </c>
      <c r="AQ241" t="str">
        <f t="shared" si="3"/>
        <v>Defensive Forward</v>
      </c>
    </row>
    <row r="242" spans="1:43" x14ac:dyDescent="0.35">
      <c r="A242" t="s">
        <v>234</v>
      </c>
      <c r="B242" t="s">
        <v>39</v>
      </c>
      <c r="C242" t="s">
        <v>1109</v>
      </c>
      <c r="D242">
        <v>1987</v>
      </c>
      <c r="E242">
        <v>28</v>
      </c>
      <c r="F242" t="s">
        <v>44</v>
      </c>
      <c r="G242" t="s">
        <v>45</v>
      </c>
      <c r="H242">
        <v>55000000</v>
      </c>
      <c r="I242">
        <v>49500000</v>
      </c>
      <c r="J242" t="s">
        <v>55</v>
      </c>
      <c r="K242">
        <v>37</v>
      </c>
      <c r="L242">
        <v>2896</v>
      </c>
      <c r="M242">
        <v>5</v>
      </c>
      <c r="N242">
        <v>2829</v>
      </c>
      <c r="O242">
        <v>7</v>
      </c>
      <c r="P242">
        <v>5</v>
      </c>
      <c r="Q242">
        <v>0</v>
      </c>
      <c r="R242">
        <v>4</v>
      </c>
      <c r="S242">
        <v>8</v>
      </c>
      <c r="T242">
        <v>45</v>
      </c>
      <c r="U242">
        <v>19</v>
      </c>
      <c r="V242">
        <v>0</v>
      </c>
      <c r="W242">
        <v>9</v>
      </c>
      <c r="X242">
        <v>0</v>
      </c>
      <c r="Y242">
        <v>2</v>
      </c>
      <c r="Z242">
        <v>1</v>
      </c>
      <c r="AA242">
        <v>4</v>
      </c>
      <c r="AB242">
        <v>33</v>
      </c>
      <c r="AC242">
        <v>1</v>
      </c>
      <c r="AD242">
        <v>67</v>
      </c>
      <c r="AE242">
        <v>105</v>
      </c>
      <c r="AF242">
        <v>7</v>
      </c>
      <c r="AG242">
        <v>23</v>
      </c>
      <c r="AH242">
        <v>38</v>
      </c>
      <c r="AI242">
        <v>0</v>
      </c>
      <c r="AJ242">
        <v>103</v>
      </c>
      <c r="AK242">
        <v>0</v>
      </c>
      <c r="AL242">
        <v>0</v>
      </c>
      <c r="AM242">
        <v>19</v>
      </c>
      <c r="AN242">
        <v>22</v>
      </c>
      <c r="AO242">
        <v>19</v>
      </c>
      <c r="AQ242" t="str">
        <f t="shared" si="3"/>
        <v>Midfielder</v>
      </c>
    </row>
    <row r="243" spans="1:43" x14ac:dyDescent="0.35">
      <c r="A243" t="s">
        <v>234</v>
      </c>
      <c r="B243" t="s">
        <v>47</v>
      </c>
      <c r="C243" t="s">
        <v>1110</v>
      </c>
      <c r="D243">
        <v>1987</v>
      </c>
      <c r="E243">
        <v>29</v>
      </c>
      <c r="F243" t="s">
        <v>44</v>
      </c>
      <c r="G243" t="s">
        <v>45</v>
      </c>
      <c r="H243">
        <v>49500000</v>
      </c>
      <c r="I243">
        <v>38500000</v>
      </c>
      <c r="J243" t="s">
        <v>55</v>
      </c>
      <c r="K243">
        <v>29</v>
      </c>
      <c r="L243">
        <v>1327</v>
      </c>
      <c r="M243">
        <v>5</v>
      </c>
      <c r="N243">
        <v>1326</v>
      </c>
      <c r="O243">
        <v>12</v>
      </c>
      <c r="P243">
        <v>8</v>
      </c>
      <c r="Q243">
        <v>0</v>
      </c>
      <c r="R243">
        <v>16</v>
      </c>
      <c r="S243">
        <v>5</v>
      </c>
      <c r="T243">
        <v>26</v>
      </c>
      <c r="U243">
        <v>9</v>
      </c>
      <c r="V243">
        <v>2</v>
      </c>
      <c r="W243">
        <v>8</v>
      </c>
      <c r="X243">
        <v>0</v>
      </c>
      <c r="Y243">
        <v>0</v>
      </c>
      <c r="Z243">
        <v>0</v>
      </c>
      <c r="AA243">
        <v>0</v>
      </c>
      <c r="AB243">
        <v>18</v>
      </c>
      <c r="AC243">
        <v>0</v>
      </c>
      <c r="AD243">
        <v>74</v>
      </c>
      <c r="AE243">
        <v>85</v>
      </c>
      <c r="AF243">
        <v>2</v>
      </c>
      <c r="AG243">
        <v>16</v>
      </c>
      <c r="AH243">
        <v>23</v>
      </c>
      <c r="AI243">
        <v>0</v>
      </c>
      <c r="AJ243">
        <v>30</v>
      </c>
      <c r="AK243">
        <v>1</v>
      </c>
      <c r="AL243">
        <v>0</v>
      </c>
      <c r="AM243">
        <v>16</v>
      </c>
      <c r="AN243">
        <v>9</v>
      </c>
      <c r="AO243">
        <v>14</v>
      </c>
      <c r="AQ243" t="str">
        <f t="shared" si="3"/>
        <v>Midfielder</v>
      </c>
    </row>
    <row r="244" spans="1:43" x14ac:dyDescent="0.35">
      <c r="A244" t="s">
        <v>234</v>
      </c>
      <c r="B244" t="s">
        <v>43</v>
      </c>
      <c r="C244" t="s">
        <v>1111</v>
      </c>
      <c r="D244">
        <v>1987</v>
      </c>
      <c r="E244">
        <v>30</v>
      </c>
      <c r="F244" t="s">
        <v>44</v>
      </c>
      <c r="G244" t="s">
        <v>45</v>
      </c>
      <c r="H244">
        <v>38500000</v>
      </c>
      <c r="I244">
        <v>33000000</v>
      </c>
      <c r="J244" t="s">
        <v>55</v>
      </c>
      <c r="K244">
        <v>32</v>
      </c>
      <c r="L244">
        <v>2308</v>
      </c>
      <c r="M244">
        <v>2</v>
      </c>
      <c r="N244">
        <v>2189</v>
      </c>
      <c r="O244">
        <v>4</v>
      </c>
      <c r="P244">
        <v>4</v>
      </c>
      <c r="Q244">
        <v>1</v>
      </c>
      <c r="R244">
        <v>7</v>
      </c>
      <c r="S244">
        <v>9</v>
      </c>
      <c r="T244">
        <v>38</v>
      </c>
      <c r="U244">
        <v>10</v>
      </c>
      <c r="V244">
        <v>1</v>
      </c>
      <c r="W244">
        <v>10</v>
      </c>
      <c r="X244">
        <v>0</v>
      </c>
      <c r="Y244">
        <v>0</v>
      </c>
      <c r="Z244">
        <v>0</v>
      </c>
      <c r="AA244">
        <v>5</v>
      </c>
      <c r="AB244">
        <v>22</v>
      </c>
      <c r="AC244">
        <v>28</v>
      </c>
      <c r="AD244">
        <v>151</v>
      </c>
      <c r="AE244">
        <v>140</v>
      </c>
      <c r="AF244">
        <v>4</v>
      </c>
      <c r="AG244">
        <v>22</v>
      </c>
      <c r="AH244">
        <v>25</v>
      </c>
      <c r="AI244">
        <v>0</v>
      </c>
      <c r="AJ244">
        <v>68</v>
      </c>
      <c r="AK244">
        <v>0</v>
      </c>
      <c r="AL244">
        <v>0</v>
      </c>
      <c r="AM244">
        <v>23</v>
      </c>
      <c r="AN244">
        <v>10</v>
      </c>
      <c r="AO244">
        <v>23</v>
      </c>
      <c r="AQ244" t="str">
        <f t="shared" si="3"/>
        <v>Midfielder</v>
      </c>
    </row>
    <row r="245" spans="1:43" x14ac:dyDescent="0.35">
      <c r="A245" t="s">
        <v>235</v>
      </c>
      <c r="B245" t="s">
        <v>39</v>
      </c>
      <c r="C245" t="s">
        <v>1112</v>
      </c>
      <c r="D245">
        <v>1994</v>
      </c>
      <c r="E245">
        <v>20</v>
      </c>
      <c r="F245" t="s">
        <v>117</v>
      </c>
      <c r="G245" t="s">
        <v>174</v>
      </c>
      <c r="H245">
        <v>7200000</v>
      </c>
      <c r="I245">
        <v>9000000</v>
      </c>
      <c r="J245" t="s">
        <v>52</v>
      </c>
      <c r="K245">
        <v>33</v>
      </c>
      <c r="L245">
        <v>2924</v>
      </c>
      <c r="M245">
        <v>0</v>
      </c>
      <c r="N245">
        <v>1147</v>
      </c>
      <c r="O245">
        <v>0</v>
      </c>
      <c r="P245">
        <v>5</v>
      </c>
      <c r="Q245">
        <v>0</v>
      </c>
      <c r="R245">
        <v>0</v>
      </c>
      <c r="S245">
        <v>1</v>
      </c>
      <c r="T245">
        <v>12</v>
      </c>
      <c r="U245">
        <v>0</v>
      </c>
      <c r="V245">
        <v>0</v>
      </c>
      <c r="W245">
        <v>115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10</v>
      </c>
      <c r="AF245">
        <v>25</v>
      </c>
      <c r="AG245">
        <v>96</v>
      </c>
      <c r="AH245">
        <v>21</v>
      </c>
      <c r="AI245">
        <v>3</v>
      </c>
      <c r="AJ245">
        <v>77</v>
      </c>
      <c r="AK245">
        <v>2</v>
      </c>
      <c r="AL245">
        <v>0</v>
      </c>
      <c r="AM245">
        <v>231</v>
      </c>
      <c r="AN245">
        <v>48</v>
      </c>
      <c r="AO245">
        <v>54</v>
      </c>
      <c r="AQ245" t="str">
        <f t="shared" si="3"/>
        <v>Defensive Forward</v>
      </c>
    </row>
    <row r="246" spans="1:43" x14ac:dyDescent="0.35">
      <c r="A246" t="s">
        <v>236</v>
      </c>
      <c r="B246" t="s">
        <v>39</v>
      </c>
      <c r="C246" t="s">
        <v>1113</v>
      </c>
      <c r="D246">
        <v>1985</v>
      </c>
      <c r="E246">
        <v>29</v>
      </c>
      <c r="F246" t="s">
        <v>184</v>
      </c>
      <c r="G246" t="s">
        <v>108</v>
      </c>
      <c r="H246">
        <v>4050000</v>
      </c>
      <c r="I246">
        <v>4050000</v>
      </c>
      <c r="J246" t="s">
        <v>55</v>
      </c>
      <c r="K246">
        <v>22</v>
      </c>
      <c r="L246">
        <v>1042</v>
      </c>
      <c r="M246">
        <v>1</v>
      </c>
      <c r="N246">
        <v>546</v>
      </c>
      <c r="O246">
        <v>1</v>
      </c>
      <c r="P246">
        <v>6</v>
      </c>
      <c r="Q246">
        <v>1</v>
      </c>
      <c r="R246">
        <v>10</v>
      </c>
      <c r="S246">
        <v>7</v>
      </c>
      <c r="T246">
        <v>29</v>
      </c>
      <c r="U246">
        <v>4</v>
      </c>
      <c r="V246">
        <v>0</v>
      </c>
      <c r="W246">
        <v>10</v>
      </c>
      <c r="X246">
        <v>0</v>
      </c>
      <c r="Y246">
        <v>0</v>
      </c>
      <c r="Z246">
        <v>0</v>
      </c>
      <c r="AA246">
        <v>0</v>
      </c>
      <c r="AB246">
        <v>1</v>
      </c>
      <c r="AC246">
        <v>0</v>
      </c>
      <c r="AD246">
        <v>17</v>
      </c>
      <c r="AE246">
        <v>40</v>
      </c>
      <c r="AF246">
        <v>4</v>
      </c>
      <c r="AG246">
        <v>12</v>
      </c>
      <c r="AH246">
        <v>30</v>
      </c>
      <c r="AI246">
        <v>0</v>
      </c>
      <c r="AJ246">
        <v>18</v>
      </c>
      <c r="AK246">
        <v>0</v>
      </c>
      <c r="AL246">
        <v>0</v>
      </c>
      <c r="AM246">
        <v>14</v>
      </c>
      <c r="AN246">
        <v>17</v>
      </c>
      <c r="AO246">
        <v>10</v>
      </c>
      <c r="AQ246" t="str">
        <f t="shared" si="3"/>
        <v>Midfielder</v>
      </c>
    </row>
    <row r="247" spans="1:43" x14ac:dyDescent="0.35">
      <c r="A247" t="s">
        <v>236</v>
      </c>
      <c r="B247" t="s">
        <v>47</v>
      </c>
      <c r="C247" t="s">
        <v>1114</v>
      </c>
      <c r="D247">
        <v>1985</v>
      </c>
      <c r="E247">
        <v>30</v>
      </c>
      <c r="F247" t="s">
        <v>184</v>
      </c>
      <c r="G247" t="s">
        <v>108</v>
      </c>
      <c r="H247">
        <v>4050000</v>
      </c>
      <c r="I247">
        <v>3150000</v>
      </c>
      <c r="J247" t="s">
        <v>55</v>
      </c>
      <c r="K247">
        <v>24</v>
      </c>
      <c r="L247">
        <v>1495</v>
      </c>
      <c r="M247">
        <v>1</v>
      </c>
      <c r="N247">
        <v>868</v>
      </c>
      <c r="O247">
        <v>3</v>
      </c>
      <c r="P247">
        <v>7</v>
      </c>
      <c r="Q247">
        <v>0</v>
      </c>
      <c r="R247">
        <v>7</v>
      </c>
      <c r="S247">
        <v>11</v>
      </c>
      <c r="T247">
        <v>40</v>
      </c>
      <c r="U247">
        <v>11</v>
      </c>
      <c r="V247">
        <v>4</v>
      </c>
      <c r="W247">
        <v>9</v>
      </c>
      <c r="X247">
        <v>0</v>
      </c>
      <c r="Y247">
        <v>1</v>
      </c>
      <c r="Z247">
        <v>0</v>
      </c>
      <c r="AA247">
        <v>0</v>
      </c>
      <c r="AB247">
        <v>7</v>
      </c>
      <c r="AC247">
        <v>1</v>
      </c>
      <c r="AD247">
        <v>45</v>
      </c>
      <c r="AE247">
        <v>85</v>
      </c>
      <c r="AF247">
        <v>7</v>
      </c>
      <c r="AG247">
        <v>21</v>
      </c>
      <c r="AH247">
        <v>41</v>
      </c>
      <c r="AI247">
        <v>0</v>
      </c>
      <c r="AJ247">
        <v>19</v>
      </c>
      <c r="AK247">
        <v>1</v>
      </c>
      <c r="AL247">
        <v>0</v>
      </c>
      <c r="AM247">
        <v>24</v>
      </c>
      <c r="AN247">
        <v>33</v>
      </c>
      <c r="AO247">
        <v>16</v>
      </c>
      <c r="AQ247" t="str">
        <f t="shared" si="3"/>
        <v>Midfielder</v>
      </c>
    </row>
    <row r="248" spans="1:43" x14ac:dyDescent="0.35">
      <c r="A248" t="s">
        <v>236</v>
      </c>
      <c r="B248" t="s">
        <v>43</v>
      </c>
      <c r="C248" t="s">
        <v>1115</v>
      </c>
      <c r="D248">
        <v>1985</v>
      </c>
      <c r="E248">
        <v>32</v>
      </c>
      <c r="F248" t="s">
        <v>184</v>
      </c>
      <c r="G248" t="s">
        <v>108</v>
      </c>
      <c r="H248">
        <v>3150000</v>
      </c>
      <c r="I248">
        <v>2250000</v>
      </c>
      <c r="J248" t="s">
        <v>55</v>
      </c>
      <c r="K248">
        <v>11</v>
      </c>
      <c r="L248">
        <v>408</v>
      </c>
      <c r="M248">
        <v>0</v>
      </c>
      <c r="N248">
        <v>246</v>
      </c>
      <c r="O248">
        <v>0</v>
      </c>
      <c r="P248">
        <v>2</v>
      </c>
      <c r="Q248">
        <v>1</v>
      </c>
      <c r="R248">
        <v>6</v>
      </c>
      <c r="S248">
        <v>3</v>
      </c>
      <c r="T248">
        <v>10</v>
      </c>
      <c r="U248">
        <v>3</v>
      </c>
      <c r="V248">
        <v>1</v>
      </c>
      <c r="W248">
        <v>5</v>
      </c>
      <c r="X248">
        <v>0</v>
      </c>
      <c r="Y248">
        <v>0</v>
      </c>
      <c r="Z248">
        <v>0</v>
      </c>
      <c r="AA248">
        <v>0</v>
      </c>
      <c r="AB248">
        <v>3</v>
      </c>
      <c r="AC248">
        <v>7</v>
      </c>
      <c r="AD248">
        <v>10</v>
      </c>
      <c r="AE248">
        <v>30</v>
      </c>
      <c r="AF248">
        <v>0</v>
      </c>
      <c r="AG248">
        <v>9</v>
      </c>
      <c r="AH248">
        <v>8</v>
      </c>
      <c r="AI248">
        <v>0</v>
      </c>
      <c r="AJ248">
        <v>9</v>
      </c>
      <c r="AK248">
        <v>1</v>
      </c>
      <c r="AL248">
        <v>0</v>
      </c>
      <c r="AM248">
        <v>9</v>
      </c>
      <c r="AN248">
        <v>7</v>
      </c>
      <c r="AO248">
        <v>5</v>
      </c>
      <c r="AQ248" t="str">
        <f t="shared" si="3"/>
        <v>Midfielder</v>
      </c>
    </row>
    <row r="249" spans="1:43" x14ac:dyDescent="0.35">
      <c r="A249" t="s">
        <v>237</v>
      </c>
      <c r="B249" t="s">
        <v>46</v>
      </c>
      <c r="C249" t="s">
        <v>1116</v>
      </c>
      <c r="D249">
        <v>1989</v>
      </c>
      <c r="E249">
        <v>29</v>
      </c>
      <c r="F249" t="s">
        <v>220</v>
      </c>
      <c r="G249" t="s">
        <v>51</v>
      </c>
      <c r="H249">
        <v>9000000</v>
      </c>
      <c r="I249">
        <v>7200000</v>
      </c>
      <c r="J249" t="s">
        <v>42</v>
      </c>
      <c r="K249">
        <v>25</v>
      </c>
      <c r="L249">
        <v>980</v>
      </c>
      <c r="M249">
        <v>2</v>
      </c>
      <c r="N249">
        <v>197</v>
      </c>
      <c r="O249">
        <v>2</v>
      </c>
      <c r="P249">
        <v>1</v>
      </c>
      <c r="Q249">
        <v>0</v>
      </c>
      <c r="R249">
        <v>14</v>
      </c>
      <c r="S249">
        <v>11</v>
      </c>
      <c r="T249">
        <v>32</v>
      </c>
      <c r="U249">
        <v>9</v>
      </c>
      <c r="V249">
        <v>0</v>
      </c>
      <c r="W249">
        <v>10</v>
      </c>
      <c r="X249">
        <v>1</v>
      </c>
      <c r="Y249">
        <v>0</v>
      </c>
      <c r="Z249">
        <v>0</v>
      </c>
      <c r="AA249">
        <v>9</v>
      </c>
      <c r="AB249">
        <v>0</v>
      </c>
      <c r="AC249">
        <v>23</v>
      </c>
      <c r="AD249">
        <v>0</v>
      </c>
      <c r="AE249">
        <v>0</v>
      </c>
      <c r="AF249">
        <v>2</v>
      </c>
      <c r="AG249">
        <v>2</v>
      </c>
      <c r="AH249">
        <v>14</v>
      </c>
      <c r="AI249">
        <v>0</v>
      </c>
      <c r="AJ249">
        <v>13</v>
      </c>
      <c r="AK249">
        <v>0</v>
      </c>
      <c r="AL249">
        <v>0</v>
      </c>
      <c r="AM249">
        <v>13</v>
      </c>
      <c r="AN249">
        <v>42</v>
      </c>
      <c r="AO249">
        <v>82</v>
      </c>
      <c r="AQ249" t="str">
        <f t="shared" si="3"/>
        <v>Forward</v>
      </c>
    </row>
    <row r="250" spans="1:43" x14ac:dyDescent="0.35">
      <c r="A250" t="s">
        <v>237</v>
      </c>
      <c r="B250" t="s">
        <v>43</v>
      </c>
      <c r="C250" t="s">
        <v>1117</v>
      </c>
      <c r="D250">
        <v>1989</v>
      </c>
      <c r="E250">
        <v>28</v>
      </c>
      <c r="F250" t="s">
        <v>220</v>
      </c>
      <c r="G250" t="s">
        <v>51</v>
      </c>
      <c r="H250">
        <v>11700000</v>
      </c>
      <c r="I250">
        <v>9000000</v>
      </c>
      <c r="J250" t="s">
        <v>42</v>
      </c>
      <c r="K250">
        <v>24</v>
      </c>
      <c r="L250">
        <v>1030</v>
      </c>
      <c r="M250">
        <v>7</v>
      </c>
      <c r="N250">
        <v>244</v>
      </c>
      <c r="O250">
        <v>0</v>
      </c>
      <c r="P250">
        <v>2</v>
      </c>
      <c r="Q250">
        <v>0</v>
      </c>
      <c r="R250">
        <v>14</v>
      </c>
      <c r="S250">
        <v>7</v>
      </c>
      <c r="T250">
        <v>48</v>
      </c>
      <c r="U250">
        <v>25</v>
      </c>
      <c r="V250">
        <v>2</v>
      </c>
      <c r="W250">
        <v>4</v>
      </c>
      <c r="X250">
        <v>3</v>
      </c>
      <c r="Y250">
        <v>1</v>
      </c>
      <c r="Z250">
        <v>0</v>
      </c>
      <c r="AA250">
        <v>14</v>
      </c>
      <c r="AB250">
        <v>1</v>
      </c>
      <c r="AC250">
        <v>23</v>
      </c>
      <c r="AD250">
        <v>0</v>
      </c>
      <c r="AE250">
        <v>2</v>
      </c>
      <c r="AF250">
        <v>3</v>
      </c>
      <c r="AG250">
        <v>1</v>
      </c>
      <c r="AH250">
        <v>16</v>
      </c>
      <c r="AI250">
        <v>0</v>
      </c>
      <c r="AJ250">
        <v>7</v>
      </c>
      <c r="AK250">
        <v>0</v>
      </c>
      <c r="AL250">
        <v>0</v>
      </c>
      <c r="AM250">
        <v>10</v>
      </c>
      <c r="AN250">
        <v>41</v>
      </c>
      <c r="AO250">
        <v>71</v>
      </c>
      <c r="AQ250" t="str">
        <f t="shared" si="3"/>
        <v>Forward</v>
      </c>
    </row>
    <row r="251" spans="1:43" x14ac:dyDescent="0.35">
      <c r="A251" t="s">
        <v>237</v>
      </c>
      <c r="B251" t="s">
        <v>47</v>
      </c>
      <c r="C251" t="s">
        <v>1118</v>
      </c>
      <c r="D251">
        <v>1989</v>
      </c>
      <c r="E251">
        <v>27</v>
      </c>
      <c r="F251" t="s">
        <v>220</v>
      </c>
      <c r="G251" t="s">
        <v>51</v>
      </c>
      <c r="H251">
        <v>11700000</v>
      </c>
      <c r="I251">
        <v>11700000</v>
      </c>
      <c r="J251" t="s">
        <v>42</v>
      </c>
      <c r="K251">
        <v>15</v>
      </c>
      <c r="L251">
        <v>939</v>
      </c>
      <c r="M251">
        <v>6</v>
      </c>
      <c r="N251">
        <v>255</v>
      </c>
      <c r="O251">
        <v>1</v>
      </c>
      <c r="P251">
        <v>1</v>
      </c>
      <c r="Q251">
        <v>0</v>
      </c>
      <c r="R251">
        <v>4</v>
      </c>
      <c r="S251">
        <v>9</v>
      </c>
      <c r="T251">
        <v>37</v>
      </c>
      <c r="U251">
        <v>17</v>
      </c>
      <c r="V251">
        <v>2</v>
      </c>
      <c r="W251">
        <v>10</v>
      </c>
      <c r="X251">
        <v>1</v>
      </c>
      <c r="Y251">
        <v>2</v>
      </c>
      <c r="Z251">
        <v>0</v>
      </c>
      <c r="AA251">
        <v>8</v>
      </c>
      <c r="AB251">
        <v>2</v>
      </c>
      <c r="AC251">
        <v>3</v>
      </c>
      <c r="AD251">
        <v>0</v>
      </c>
      <c r="AE251">
        <v>9</v>
      </c>
      <c r="AF251">
        <v>1</v>
      </c>
      <c r="AG251">
        <v>4</v>
      </c>
      <c r="AH251">
        <v>14</v>
      </c>
      <c r="AI251">
        <v>0</v>
      </c>
      <c r="AJ251">
        <v>14</v>
      </c>
      <c r="AK251">
        <v>0</v>
      </c>
      <c r="AL251">
        <v>0</v>
      </c>
      <c r="AM251">
        <v>13</v>
      </c>
      <c r="AN251">
        <v>43</v>
      </c>
      <c r="AO251">
        <v>50</v>
      </c>
      <c r="AQ251" t="str">
        <f t="shared" si="3"/>
        <v>Forward</v>
      </c>
    </row>
    <row r="252" spans="1:43" x14ac:dyDescent="0.35">
      <c r="A252" t="s">
        <v>238</v>
      </c>
      <c r="B252" t="s">
        <v>39</v>
      </c>
      <c r="C252" t="s">
        <v>1119</v>
      </c>
      <c r="D252">
        <v>1986</v>
      </c>
      <c r="E252">
        <v>28</v>
      </c>
      <c r="F252" t="s">
        <v>84</v>
      </c>
      <c r="G252" t="s">
        <v>51</v>
      </c>
      <c r="H252">
        <v>900000</v>
      </c>
      <c r="I252">
        <v>2250000</v>
      </c>
      <c r="J252" t="s">
        <v>52</v>
      </c>
      <c r="K252">
        <v>37</v>
      </c>
      <c r="L252">
        <v>3285</v>
      </c>
      <c r="M252">
        <v>3</v>
      </c>
      <c r="N252">
        <v>1692</v>
      </c>
      <c r="O252">
        <v>5</v>
      </c>
      <c r="P252">
        <v>2</v>
      </c>
      <c r="Q252">
        <v>0</v>
      </c>
      <c r="R252">
        <v>0</v>
      </c>
      <c r="S252">
        <v>1</v>
      </c>
      <c r="T252">
        <v>20</v>
      </c>
      <c r="U252">
        <v>7</v>
      </c>
      <c r="V252">
        <v>0</v>
      </c>
      <c r="W252">
        <v>37</v>
      </c>
      <c r="X252">
        <v>0</v>
      </c>
      <c r="Y252">
        <v>2</v>
      </c>
      <c r="Z252">
        <v>0</v>
      </c>
      <c r="AA252">
        <v>2</v>
      </c>
      <c r="AB252">
        <v>1</v>
      </c>
      <c r="AC252">
        <v>2</v>
      </c>
      <c r="AD252">
        <v>14</v>
      </c>
      <c r="AE252">
        <v>127</v>
      </c>
      <c r="AF252">
        <v>4</v>
      </c>
      <c r="AG252">
        <v>53</v>
      </c>
      <c r="AH252">
        <v>10</v>
      </c>
      <c r="AI252">
        <v>0</v>
      </c>
      <c r="AJ252">
        <v>75</v>
      </c>
      <c r="AK252">
        <v>0</v>
      </c>
      <c r="AL252">
        <v>0</v>
      </c>
      <c r="AM252">
        <v>76</v>
      </c>
      <c r="AN252">
        <v>26</v>
      </c>
      <c r="AO252">
        <v>21</v>
      </c>
      <c r="AQ252" t="str">
        <f t="shared" si="3"/>
        <v>Defensive Forward</v>
      </c>
    </row>
    <row r="253" spans="1:43" x14ac:dyDescent="0.35">
      <c r="A253" t="s">
        <v>238</v>
      </c>
      <c r="B253" t="s">
        <v>46</v>
      </c>
      <c r="C253" t="s">
        <v>1120</v>
      </c>
      <c r="D253">
        <v>1986</v>
      </c>
      <c r="E253">
        <v>31</v>
      </c>
      <c r="F253" t="s">
        <v>84</v>
      </c>
      <c r="G253" t="s">
        <v>51</v>
      </c>
      <c r="H253">
        <v>3150000</v>
      </c>
      <c r="I253">
        <v>2700000</v>
      </c>
      <c r="J253" t="s">
        <v>52</v>
      </c>
      <c r="K253">
        <v>21</v>
      </c>
      <c r="L253">
        <v>1585</v>
      </c>
      <c r="M253">
        <v>1</v>
      </c>
      <c r="N253">
        <v>840</v>
      </c>
      <c r="O253">
        <v>0</v>
      </c>
      <c r="P253">
        <v>4</v>
      </c>
      <c r="Q253">
        <v>0</v>
      </c>
      <c r="R253">
        <v>4</v>
      </c>
      <c r="S253">
        <v>2</v>
      </c>
      <c r="T253">
        <v>12</v>
      </c>
      <c r="U253">
        <v>3</v>
      </c>
      <c r="V253">
        <v>0</v>
      </c>
      <c r="W253">
        <v>21</v>
      </c>
      <c r="X253">
        <v>1</v>
      </c>
      <c r="Y253">
        <v>0</v>
      </c>
      <c r="Z253">
        <v>0</v>
      </c>
      <c r="AA253">
        <v>0</v>
      </c>
      <c r="AB253">
        <v>1</v>
      </c>
      <c r="AC253">
        <v>9</v>
      </c>
      <c r="AD253">
        <v>2</v>
      </c>
      <c r="AE253">
        <v>27</v>
      </c>
      <c r="AF253">
        <v>4</v>
      </c>
      <c r="AG253">
        <v>20</v>
      </c>
      <c r="AH253">
        <v>7</v>
      </c>
      <c r="AI253">
        <v>0</v>
      </c>
      <c r="AJ253">
        <v>25</v>
      </c>
      <c r="AK253">
        <v>2</v>
      </c>
      <c r="AL253">
        <v>0</v>
      </c>
      <c r="AM253">
        <v>43</v>
      </c>
      <c r="AN253">
        <v>29</v>
      </c>
      <c r="AO253">
        <v>25</v>
      </c>
      <c r="AQ253" t="str">
        <f t="shared" si="3"/>
        <v>Defensive Forward</v>
      </c>
    </row>
    <row r="254" spans="1:43" x14ac:dyDescent="0.35">
      <c r="A254" t="s">
        <v>238</v>
      </c>
      <c r="B254" t="s">
        <v>43</v>
      </c>
      <c r="C254" t="s">
        <v>1121</v>
      </c>
      <c r="D254">
        <v>1986</v>
      </c>
      <c r="E254">
        <v>31</v>
      </c>
      <c r="F254" t="s">
        <v>84</v>
      </c>
      <c r="G254" t="s">
        <v>51</v>
      </c>
      <c r="H254">
        <v>2700000</v>
      </c>
      <c r="I254">
        <v>3150000</v>
      </c>
      <c r="J254" t="s">
        <v>52</v>
      </c>
      <c r="K254">
        <v>35</v>
      </c>
      <c r="L254">
        <v>3004</v>
      </c>
      <c r="M254">
        <v>1</v>
      </c>
      <c r="N254">
        <v>1568</v>
      </c>
      <c r="O254">
        <v>3</v>
      </c>
      <c r="P254">
        <v>0</v>
      </c>
      <c r="Q254">
        <v>0</v>
      </c>
      <c r="R254">
        <v>1</v>
      </c>
      <c r="S254">
        <v>4</v>
      </c>
      <c r="T254">
        <v>20</v>
      </c>
      <c r="U254">
        <v>6</v>
      </c>
      <c r="V254">
        <v>0</v>
      </c>
      <c r="W254">
        <v>39</v>
      </c>
      <c r="X254">
        <v>0</v>
      </c>
      <c r="Y254">
        <v>0</v>
      </c>
      <c r="Z254">
        <v>0</v>
      </c>
      <c r="AA254">
        <v>0</v>
      </c>
      <c r="AB254">
        <v>2</v>
      </c>
      <c r="AC254">
        <v>14</v>
      </c>
      <c r="AD254">
        <v>14</v>
      </c>
      <c r="AE254">
        <v>106</v>
      </c>
      <c r="AF254">
        <v>7</v>
      </c>
      <c r="AG254">
        <v>31</v>
      </c>
      <c r="AH254">
        <v>7</v>
      </c>
      <c r="AI254">
        <v>0</v>
      </c>
      <c r="AJ254">
        <v>48</v>
      </c>
      <c r="AK254">
        <v>0</v>
      </c>
      <c r="AL254">
        <v>0</v>
      </c>
      <c r="AM254">
        <v>93</v>
      </c>
      <c r="AN254">
        <v>46</v>
      </c>
      <c r="AO254">
        <v>44</v>
      </c>
      <c r="AQ254" t="str">
        <f t="shared" si="3"/>
        <v>Defensive Forward</v>
      </c>
    </row>
    <row r="255" spans="1:43" x14ac:dyDescent="0.35">
      <c r="A255" t="s">
        <v>238</v>
      </c>
      <c r="B255" t="s">
        <v>47</v>
      </c>
      <c r="C255" t="s">
        <v>1122</v>
      </c>
      <c r="D255">
        <v>1986</v>
      </c>
      <c r="E255">
        <v>29</v>
      </c>
      <c r="F255" t="s">
        <v>84</v>
      </c>
      <c r="G255" t="s">
        <v>51</v>
      </c>
      <c r="H255">
        <v>2250000</v>
      </c>
      <c r="I255">
        <v>2700000</v>
      </c>
      <c r="J255" t="s">
        <v>52</v>
      </c>
      <c r="K255">
        <v>34</v>
      </c>
      <c r="L255">
        <v>3060</v>
      </c>
      <c r="M255">
        <v>4</v>
      </c>
      <c r="N255">
        <v>1616</v>
      </c>
      <c r="O255">
        <v>3</v>
      </c>
      <c r="P255">
        <v>1</v>
      </c>
      <c r="Q255">
        <v>0</v>
      </c>
      <c r="R255">
        <v>0</v>
      </c>
      <c r="S255">
        <v>0</v>
      </c>
      <c r="T255">
        <v>19</v>
      </c>
      <c r="U255">
        <v>6</v>
      </c>
      <c r="V255">
        <v>1</v>
      </c>
      <c r="W255">
        <v>39</v>
      </c>
      <c r="X255">
        <v>0</v>
      </c>
      <c r="Y255">
        <v>0</v>
      </c>
      <c r="Z255">
        <v>0</v>
      </c>
      <c r="AA255">
        <v>0</v>
      </c>
      <c r="AB255">
        <v>3</v>
      </c>
      <c r="AC255">
        <v>0</v>
      </c>
      <c r="AD255">
        <v>12</v>
      </c>
      <c r="AE255">
        <v>86</v>
      </c>
      <c r="AF255">
        <v>14</v>
      </c>
      <c r="AG255">
        <v>50</v>
      </c>
      <c r="AH255">
        <v>12</v>
      </c>
      <c r="AI255">
        <v>1</v>
      </c>
      <c r="AJ255">
        <v>58</v>
      </c>
      <c r="AK255">
        <v>0</v>
      </c>
      <c r="AL255">
        <v>0</v>
      </c>
      <c r="AM255">
        <v>78</v>
      </c>
      <c r="AN255">
        <v>34</v>
      </c>
      <c r="AO255">
        <v>39</v>
      </c>
      <c r="AQ255" t="str">
        <f t="shared" si="3"/>
        <v>Defensive Forward</v>
      </c>
    </row>
    <row r="256" spans="1:43" x14ac:dyDescent="0.35">
      <c r="A256" t="s">
        <v>239</v>
      </c>
      <c r="B256" t="s">
        <v>43</v>
      </c>
      <c r="C256" t="s">
        <v>1123</v>
      </c>
      <c r="D256">
        <v>1993</v>
      </c>
      <c r="E256">
        <v>24</v>
      </c>
      <c r="F256" t="s">
        <v>56</v>
      </c>
      <c r="G256" t="s">
        <v>51</v>
      </c>
      <c r="H256">
        <v>4500000</v>
      </c>
      <c r="I256">
        <v>4500000</v>
      </c>
      <c r="J256" t="s">
        <v>52</v>
      </c>
      <c r="K256">
        <v>11</v>
      </c>
      <c r="L256">
        <v>949</v>
      </c>
      <c r="M256">
        <v>0</v>
      </c>
      <c r="N256">
        <v>326</v>
      </c>
      <c r="O256">
        <v>0</v>
      </c>
      <c r="P256">
        <v>3</v>
      </c>
      <c r="Q256">
        <v>0</v>
      </c>
      <c r="R256">
        <v>1</v>
      </c>
      <c r="S256">
        <v>0</v>
      </c>
      <c r="T256">
        <v>0</v>
      </c>
      <c r="U256">
        <v>0</v>
      </c>
      <c r="V256">
        <v>0</v>
      </c>
      <c r="W256">
        <v>20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26</v>
      </c>
      <c r="AF256">
        <v>5</v>
      </c>
      <c r="AG256">
        <v>15</v>
      </c>
      <c r="AH256">
        <v>7</v>
      </c>
      <c r="AI256">
        <v>0</v>
      </c>
      <c r="AJ256">
        <v>16</v>
      </c>
      <c r="AK256">
        <v>0</v>
      </c>
      <c r="AL256">
        <v>0</v>
      </c>
      <c r="AM256">
        <v>39</v>
      </c>
      <c r="AN256">
        <v>23</v>
      </c>
      <c r="AO256">
        <v>12</v>
      </c>
      <c r="AQ256" t="str">
        <f t="shared" si="3"/>
        <v>Defensive Forward</v>
      </c>
    </row>
    <row r="257" spans="1:43" x14ac:dyDescent="0.35">
      <c r="A257" t="s">
        <v>239</v>
      </c>
      <c r="B257" t="s">
        <v>46</v>
      </c>
      <c r="C257" t="s">
        <v>1124</v>
      </c>
      <c r="D257">
        <v>1993</v>
      </c>
      <c r="E257">
        <v>24</v>
      </c>
      <c r="F257" t="s">
        <v>56</v>
      </c>
      <c r="G257" t="s">
        <v>51</v>
      </c>
      <c r="H257">
        <v>4500000</v>
      </c>
      <c r="I257">
        <v>6300000</v>
      </c>
      <c r="J257" t="s">
        <v>52</v>
      </c>
      <c r="K257">
        <v>38</v>
      </c>
      <c r="L257">
        <v>3240</v>
      </c>
      <c r="M257">
        <v>0</v>
      </c>
      <c r="N257">
        <v>1175</v>
      </c>
      <c r="O257">
        <v>0</v>
      </c>
      <c r="P257">
        <v>2</v>
      </c>
      <c r="Q257">
        <v>0</v>
      </c>
      <c r="R257">
        <v>3</v>
      </c>
      <c r="S257">
        <v>0</v>
      </c>
      <c r="T257">
        <v>6</v>
      </c>
      <c r="U257">
        <v>0</v>
      </c>
      <c r="V257">
        <v>0</v>
      </c>
      <c r="W257">
        <v>47</v>
      </c>
      <c r="X257">
        <v>0</v>
      </c>
      <c r="Y257">
        <v>0</v>
      </c>
      <c r="Z257">
        <v>0</v>
      </c>
      <c r="AA257">
        <v>1</v>
      </c>
      <c r="AB257">
        <v>0</v>
      </c>
      <c r="AC257">
        <v>6</v>
      </c>
      <c r="AD257">
        <v>4</v>
      </c>
      <c r="AE257">
        <v>119</v>
      </c>
      <c r="AF257">
        <v>35</v>
      </c>
      <c r="AG257">
        <v>40</v>
      </c>
      <c r="AH257">
        <v>15</v>
      </c>
      <c r="AI257">
        <v>2</v>
      </c>
      <c r="AJ257">
        <v>54</v>
      </c>
      <c r="AK257">
        <v>0</v>
      </c>
      <c r="AL257">
        <v>0</v>
      </c>
      <c r="AM257">
        <v>83</v>
      </c>
      <c r="AN257">
        <v>72</v>
      </c>
      <c r="AO257">
        <v>61</v>
      </c>
      <c r="AQ257" t="str">
        <f t="shared" si="3"/>
        <v>Defensive Forward</v>
      </c>
    </row>
    <row r="258" spans="1:43" x14ac:dyDescent="0.35">
      <c r="A258" t="s">
        <v>240</v>
      </c>
      <c r="B258" t="s">
        <v>39</v>
      </c>
      <c r="C258" t="s">
        <v>1125</v>
      </c>
      <c r="D258">
        <v>1986</v>
      </c>
      <c r="E258">
        <v>29</v>
      </c>
      <c r="F258" t="s">
        <v>117</v>
      </c>
      <c r="G258" t="s">
        <v>172</v>
      </c>
      <c r="H258">
        <v>8250000</v>
      </c>
      <c r="I258">
        <v>5500000</v>
      </c>
      <c r="J258" t="s">
        <v>55</v>
      </c>
      <c r="K258">
        <v>20</v>
      </c>
      <c r="L258">
        <v>1225</v>
      </c>
      <c r="M258">
        <v>0</v>
      </c>
      <c r="N258">
        <v>835</v>
      </c>
      <c r="O258">
        <v>0</v>
      </c>
      <c r="P258">
        <v>5</v>
      </c>
      <c r="Q258">
        <v>0</v>
      </c>
      <c r="R258">
        <v>4</v>
      </c>
      <c r="S258">
        <v>12</v>
      </c>
      <c r="T258">
        <v>0</v>
      </c>
      <c r="U258">
        <v>0</v>
      </c>
      <c r="V258">
        <v>0</v>
      </c>
      <c r="W258">
        <v>19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3</v>
      </c>
      <c r="AG258">
        <v>42</v>
      </c>
      <c r="AH258">
        <v>31</v>
      </c>
      <c r="AI258">
        <v>0</v>
      </c>
      <c r="AJ258">
        <v>48</v>
      </c>
      <c r="AK258">
        <v>0</v>
      </c>
      <c r="AL258">
        <v>0</v>
      </c>
      <c r="AM258">
        <v>29</v>
      </c>
      <c r="AN258">
        <v>35</v>
      </c>
      <c r="AO258">
        <v>23</v>
      </c>
      <c r="AQ258" t="str">
        <f t="shared" ref="AQ258:AQ321" si="4">IF(J258 = "FW", REPLACE(J258,1,2,"Forward"),IF(J258 = "DF", "Defensive Forward", "Midfielder"))</f>
        <v>Midfielder</v>
      </c>
    </row>
    <row r="259" spans="1:43" x14ac:dyDescent="0.35">
      <c r="A259" t="s">
        <v>241</v>
      </c>
      <c r="B259" t="s">
        <v>39</v>
      </c>
      <c r="C259" t="s">
        <v>1126</v>
      </c>
      <c r="D259">
        <v>1989</v>
      </c>
      <c r="E259">
        <v>25</v>
      </c>
      <c r="F259" t="s">
        <v>50</v>
      </c>
      <c r="G259" t="s">
        <v>132</v>
      </c>
      <c r="H259">
        <v>13200000</v>
      </c>
      <c r="I259">
        <v>13200000</v>
      </c>
      <c r="J259" t="s">
        <v>55</v>
      </c>
      <c r="K259">
        <v>34</v>
      </c>
      <c r="L259">
        <v>3009</v>
      </c>
      <c r="M259">
        <v>5</v>
      </c>
      <c r="N259">
        <v>1234</v>
      </c>
      <c r="O259">
        <v>2</v>
      </c>
      <c r="P259">
        <v>5</v>
      </c>
      <c r="Q259">
        <v>1</v>
      </c>
      <c r="R259">
        <v>0</v>
      </c>
      <c r="S259">
        <v>3</v>
      </c>
      <c r="T259">
        <v>45</v>
      </c>
      <c r="U259">
        <v>18</v>
      </c>
      <c r="V259">
        <v>4</v>
      </c>
      <c r="W259">
        <v>34</v>
      </c>
      <c r="X259">
        <v>2</v>
      </c>
      <c r="Y259">
        <v>0</v>
      </c>
      <c r="Z259">
        <v>0</v>
      </c>
      <c r="AA259">
        <v>2</v>
      </c>
      <c r="AB259">
        <v>1</v>
      </c>
      <c r="AC259">
        <v>3</v>
      </c>
      <c r="AD259">
        <v>0</v>
      </c>
      <c r="AE259">
        <v>19</v>
      </c>
      <c r="AF259">
        <v>13</v>
      </c>
      <c r="AG259">
        <v>77</v>
      </c>
      <c r="AH259">
        <v>36</v>
      </c>
      <c r="AI259">
        <v>0</v>
      </c>
      <c r="AJ259">
        <v>95</v>
      </c>
      <c r="AK259">
        <v>0</v>
      </c>
      <c r="AL259">
        <v>0</v>
      </c>
      <c r="AM259">
        <v>57</v>
      </c>
      <c r="AN259">
        <v>88</v>
      </c>
      <c r="AO259">
        <v>55</v>
      </c>
      <c r="AQ259" t="str">
        <f t="shared" si="4"/>
        <v>Midfielder</v>
      </c>
    </row>
    <row r="260" spans="1:43" x14ac:dyDescent="0.35">
      <c r="A260" t="s">
        <v>241</v>
      </c>
      <c r="B260" t="s">
        <v>43</v>
      </c>
      <c r="C260" t="s">
        <v>1127</v>
      </c>
      <c r="D260">
        <v>1989</v>
      </c>
      <c r="E260">
        <v>28</v>
      </c>
      <c r="F260" t="s">
        <v>50</v>
      </c>
      <c r="G260" t="s">
        <v>132</v>
      </c>
      <c r="H260">
        <v>13200000</v>
      </c>
      <c r="I260">
        <v>13200000</v>
      </c>
      <c r="J260" t="s">
        <v>55</v>
      </c>
      <c r="K260">
        <v>33</v>
      </c>
      <c r="L260">
        <v>2801</v>
      </c>
      <c r="M260">
        <v>2</v>
      </c>
      <c r="N260">
        <v>955</v>
      </c>
      <c r="O260">
        <v>3</v>
      </c>
      <c r="P260">
        <v>5</v>
      </c>
      <c r="Q260">
        <v>0</v>
      </c>
      <c r="R260">
        <v>1</v>
      </c>
      <c r="S260">
        <v>5</v>
      </c>
      <c r="T260">
        <v>23</v>
      </c>
      <c r="U260">
        <v>5</v>
      </c>
      <c r="V260">
        <v>1</v>
      </c>
      <c r="W260">
        <v>37</v>
      </c>
      <c r="X260">
        <v>1</v>
      </c>
      <c r="Y260">
        <v>0</v>
      </c>
      <c r="Z260">
        <v>0</v>
      </c>
      <c r="AA260">
        <v>6</v>
      </c>
      <c r="AB260">
        <v>5</v>
      </c>
      <c r="AC260">
        <v>18</v>
      </c>
      <c r="AD260">
        <v>0</v>
      </c>
      <c r="AE260">
        <v>17</v>
      </c>
      <c r="AF260">
        <v>11</v>
      </c>
      <c r="AG260">
        <v>32</v>
      </c>
      <c r="AH260">
        <v>45</v>
      </c>
      <c r="AI260">
        <v>0</v>
      </c>
      <c r="AJ260">
        <v>71</v>
      </c>
      <c r="AK260">
        <v>0</v>
      </c>
      <c r="AL260">
        <v>0</v>
      </c>
      <c r="AM260">
        <v>49</v>
      </c>
      <c r="AN260">
        <v>123</v>
      </c>
      <c r="AO260">
        <v>113</v>
      </c>
      <c r="AQ260" t="str">
        <f t="shared" si="4"/>
        <v>Midfielder</v>
      </c>
    </row>
    <row r="261" spans="1:43" x14ac:dyDescent="0.35">
      <c r="A261" t="s">
        <v>241</v>
      </c>
      <c r="B261" t="s">
        <v>46</v>
      </c>
      <c r="C261" t="s">
        <v>1128</v>
      </c>
      <c r="D261">
        <v>1989</v>
      </c>
      <c r="E261">
        <v>28</v>
      </c>
      <c r="F261" t="s">
        <v>64</v>
      </c>
      <c r="G261" t="s">
        <v>132</v>
      </c>
      <c r="H261">
        <v>13200000</v>
      </c>
      <c r="I261">
        <v>11000000</v>
      </c>
      <c r="J261" t="s">
        <v>55</v>
      </c>
      <c r="K261">
        <v>31</v>
      </c>
      <c r="L261">
        <v>1897</v>
      </c>
      <c r="M261">
        <v>0</v>
      </c>
      <c r="N261">
        <v>765</v>
      </c>
      <c r="O261">
        <v>2</v>
      </c>
      <c r="P261">
        <v>0</v>
      </c>
      <c r="Q261">
        <v>0</v>
      </c>
      <c r="R261">
        <v>10</v>
      </c>
      <c r="S261">
        <v>8</v>
      </c>
      <c r="T261">
        <v>20</v>
      </c>
      <c r="U261">
        <v>8</v>
      </c>
      <c r="V261">
        <v>1</v>
      </c>
      <c r="W261">
        <v>17</v>
      </c>
      <c r="X261">
        <v>0</v>
      </c>
      <c r="Y261">
        <v>0</v>
      </c>
      <c r="Z261">
        <v>0</v>
      </c>
      <c r="AA261">
        <v>3</v>
      </c>
      <c r="AB261">
        <v>1</v>
      </c>
      <c r="AC261">
        <v>12</v>
      </c>
      <c r="AD261">
        <v>0</v>
      </c>
      <c r="AE261">
        <v>8</v>
      </c>
      <c r="AF261">
        <v>11</v>
      </c>
      <c r="AG261">
        <v>16</v>
      </c>
      <c r="AH261">
        <v>34</v>
      </c>
      <c r="AI261">
        <v>0</v>
      </c>
      <c r="AJ261">
        <v>58</v>
      </c>
      <c r="AK261">
        <v>0</v>
      </c>
      <c r="AL261">
        <v>0</v>
      </c>
      <c r="AM261">
        <v>31</v>
      </c>
      <c r="AN261">
        <v>64</v>
      </c>
      <c r="AO261">
        <v>72</v>
      </c>
      <c r="AQ261" t="str">
        <f t="shared" si="4"/>
        <v>Midfielder</v>
      </c>
    </row>
    <row r="262" spans="1:43" x14ac:dyDescent="0.35">
      <c r="A262" t="s">
        <v>241</v>
      </c>
      <c r="B262" t="s">
        <v>47</v>
      </c>
      <c r="C262" t="s">
        <v>1129</v>
      </c>
      <c r="D262">
        <v>1989</v>
      </c>
      <c r="E262">
        <v>27</v>
      </c>
      <c r="F262" t="s">
        <v>50</v>
      </c>
      <c r="G262" t="s">
        <v>132</v>
      </c>
      <c r="H262">
        <v>12100000</v>
      </c>
      <c r="I262">
        <v>13200000</v>
      </c>
      <c r="J262" t="s">
        <v>55</v>
      </c>
      <c r="K262">
        <v>31</v>
      </c>
      <c r="L262">
        <v>2727</v>
      </c>
      <c r="M262">
        <v>1</v>
      </c>
      <c r="N262">
        <v>1071</v>
      </c>
      <c r="O262">
        <v>0</v>
      </c>
      <c r="P262">
        <v>3</v>
      </c>
      <c r="Q262">
        <v>0</v>
      </c>
      <c r="R262">
        <v>0</v>
      </c>
      <c r="S262">
        <v>6</v>
      </c>
      <c r="T262">
        <v>21</v>
      </c>
      <c r="U262">
        <v>4</v>
      </c>
      <c r="V262">
        <v>0</v>
      </c>
      <c r="W262">
        <v>74</v>
      </c>
      <c r="X262">
        <v>0</v>
      </c>
      <c r="Y262">
        <v>0</v>
      </c>
      <c r="Z262">
        <v>0</v>
      </c>
      <c r="AA262">
        <v>2</v>
      </c>
      <c r="AB262">
        <v>0</v>
      </c>
      <c r="AC262">
        <v>0</v>
      </c>
      <c r="AD262">
        <v>0</v>
      </c>
      <c r="AE262">
        <v>15</v>
      </c>
      <c r="AF262">
        <v>7</v>
      </c>
      <c r="AG262">
        <v>79</v>
      </c>
      <c r="AH262">
        <v>44</v>
      </c>
      <c r="AI262">
        <v>0</v>
      </c>
      <c r="AJ262">
        <v>76</v>
      </c>
      <c r="AK262">
        <v>1</v>
      </c>
      <c r="AL262">
        <v>0</v>
      </c>
      <c r="AM262">
        <v>111</v>
      </c>
      <c r="AN262">
        <v>79</v>
      </c>
      <c r="AO262">
        <v>47</v>
      </c>
      <c r="AQ262" t="str">
        <f t="shared" si="4"/>
        <v>Midfielder</v>
      </c>
    </row>
    <row r="263" spans="1:43" x14ac:dyDescent="0.35">
      <c r="A263" t="s">
        <v>242</v>
      </c>
      <c r="B263" t="s">
        <v>43</v>
      </c>
      <c r="C263" t="s">
        <v>1130</v>
      </c>
      <c r="D263">
        <v>1988</v>
      </c>
      <c r="E263">
        <v>29</v>
      </c>
      <c r="F263" t="s">
        <v>50</v>
      </c>
      <c r="G263" t="s">
        <v>243</v>
      </c>
      <c r="H263">
        <v>19800000</v>
      </c>
      <c r="I263">
        <v>16500000</v>
      </c>
      <c r="J263" t="s">
        <v>42</v>
      </c>
      <c r="K263">
        <v>28</v>
      </c>
      <c r="L263">
        <v>1543</v>
      </c>
      <c r="M263">
        <v>8</v>
      </c>
      <c r="N263">
        <v>373</v>
      </c>
      <c r="O263">
        <v>0</v>
      </c>
      <c r="P263">
        <v>3</v>
      </c>
      <c r="Q263">
        <v>0</v>
      </c>
      <c r="R263">
        <v>12</v>
      </c>
      <c r="S263">
        <v>7</v>
      </c>
      <c r="T263">
        <v>29</v>
      </c>
      <c r="U263">
        <v>16</v>
      </c>
      <c r="V263">
        <v>2</v>
      </c>
      <c r="W263">
        <v>0</v>
      </c>
      <c r="X263">
        <v>2</v>
      </c>
      <c r="Y263">
        <v>0</v>
      </c>
      <c r="Z263">
        <v>0</v>
      </c>
      <c r="AA263">
        <v>14</v>
      </c>
      <c r="AB263">
        <v>4</v>
      </c>
      <c r="AC263">
        <v>13</v>
      </c>
      <c r="AD263">
        <v>1</v>
      </c>
      <c r="AE263">
        <v>18</v>
      </c>
      <c r="AF263">
        <v>1</v>
      </c>
      <c r="AG263">
        <v>6</v>
      </c>
      <c r="AH263">
        <v>15</v>
      </c>
      <c r="AI263">
        <v>0</v>
      </c>
      <c r="AJ263">
        <v>11</v>
      </c>
      <c r="AK263">
        <v>0</v>
      </c>
      <c r="AL263">
        <v>0</v>
      </c>
      <c r="AM263">
        <v>1</v>
      </c>
      <c r="AN263">
        <v>14</v>
      </c>
      <c r="AO263">
        <v>34</v>
      </c>
      <c r="AQ263" t="str">
        <f t="shared" si="4"/>
        <v>Forward</v>
      </c>
    </row>
    <row r="264" spans="1:43" x14ac:dyDescent="0.35">
      <c r="A264" t="s">
        <v>242</v>
      </c>
      <c r="B264" t="s">
        <v>46</v>
      </c>
      <c r="C264" t="s">
        <v>1131</v>
      </c>
      <c r="D264">
        <v>1988</v>
      </c>
      <c r="E264">
        <v>30</v>
      </c>
      <c r="F264" t="s">
        <v>50</v>
      </c>
      <c r="G264" t="s">
        <v>243</v>
      </c>
      <c r="H264">
        <v>13500000</v>
      </c>
      <c r="I264">
        <v>10800000</v>
      </c>
      <c r="J264" t="s">
        <v>42</v>
      </c>
      <c r="K264">
        <v>25</v>
      </c>
      <c r="L264">
        <v>1337</v>
      </c>
      <c r="M264">
        <v>7</v>
      </c>
      <c r="N264">
        <v>322</v>
      </c>
      <c r="O264">
        <v>1</v>
      </c>
      <c r="P264">
        <v>2</v>
      </c>
      <c r="Q264">
        <v>0</v>
      </c>
      <c r="R264">
        <v>11</v>
      </c>
      <c r="S264">
        <v>12</v>
      </c>
      <c r="T264">
        <v>37</v>
      </c>
      <c r="U264">
        <v>18</v>
      </c>
      <c r="V264">
        <v>0</v>
      </c>
      <c r="W264">
        <v>5</v>
      </c>
      <c r="X264">
        <v>2</v>
      </c>
      <c r="Y264">
        <v>0</v>
      </c>
      <c r="Z264">
        <v>0</v>
      </c>
      <c r="AA264">
        <v>11</v>
      </c>
      <c r="AB264">
        <v>7</v>
      </c>
      <c r="AC264">
        <v>19</v>
      </c>
      <c r="AD264">
        <v>0</v>
      </c>
      <c r="AE264">
        <v>9</v>
      </c>
      <c r="AF264">
        <v>1</v>
      </c>
      <c r="AG264">
        <v>1</v>
      </c>
      <c r="AH264">
        <v>9</v>
      </c>
      <c r="AI264">
        <v>0</v>
      </c>
      <c r="AJ264">
        <v>3</v>
      </c>
      <c r="AK264">
        <v>0</v>
      </c>
      <c r="AL264">
        <v>0</v>
      </c>
      <c r="AM264">
        <v>8</v>
      </c>
      <c r="AN264">
        <v>12</v>
      </c>
      <c r="AO264">
        <v>26</v>
      </c>
      <c r="AQ264" t="str">
        <f t="shared" si="4"/>
        <v>Forward</v>
      </c>
    </row>
    <row r="265" spans="1:43" x14ac:dyDescent="0.35">
      <c r="A265" t="s">
        <v>244</v>
      </c>
      <c r="B265" t="s">
        <v>39</v>
      </c>
      <c r="C265" t="s">
        <v>1132</v>
      </c>
      <c r="D265">
        <v>1984</v>
      </c>
      <c r="E265">
        <v>30</v>
      </c>
      <c r="F265" t="s">
        <v>103</v>
      </c>
      <c r="G265" t="s">
        <v>245</v>
      </c>
      <c r="H265">
        <v>4400000</v>
      </c>
      <c r="I265">
        <v>4400000</v>
      </c>
      <c r="J265" t="s">
        <v>55</v>
      </c>
      <c r="K265">
        <v>22</v>
      </c>
      <c r="L265">
        <v>1803</v>
      </c>
      <c r="M265">
        <v>0</v>
      </c>
      <c r="N265">
        <v>621</v>
      </c>
      <c r="O265">
        <v>3</v>
      </c>
      <c r="P265">
        <v>7</v>
      </c>
      <c r="Q265">
        <v>0</v>
      </c>
      <c r="R265">
        <v>2</v>
      </c>
      <c r="S265">
        <v>4</v>
      </c>
      <c r="T265">
        <v>17</v>
      </c>
      <c r="U265">
        <v>4</v>
      </c>
      <c r="V265">
        <v>0</v>
      </c>
      <c r="W265">
        <v>32</v>
      </c>
      <c r="X265">
        <v>0</v>
      </c>
      <c r="Y265">
        <v>0</v>
      </c>
      <c r="Z265">
        <v>0</v>
      </c>
      <c r="AA265">
        <v>1</v>
      </c>
      <c r="AB265">
        <v>2</v>
      </c>
      <c r="AC265">
        <v>0</v>
      </c>
      <c r="AD265">
        <v>50</v>
      </c>
      <c r="AE265">
        <v>103</v>
      </c>
      <c r="AF265">
        <v>10</v>
      </c>
      <c r="AG265">
        <v>37</v>
      </c>
      <c r="AH265">
        <v>18</v>
      </c>
      <c r="AI265">
        <v>0</v>
      </c>
      <c r="AJ265">
        <v>28</v>
      </c>
      <c r="AK265">
        <v>0</v>
      </c>
      <c r="AL265">
        <v>0</v>
      </c>
      <c r="AM265">
        <v>68</v>
      </c>
      <c r="AN265">
        <v>25</v>
      </c>
      <c r="AO265">
        <v>16</v>
      </c>
      <c r="AQ265" t="str">
        <f t="shared" si="4"/>
        <v>Midfielder</v>
      </c>
    </row>
    <row r="266" spans="1:43" x14ac:dyDescent="0.35">
      <c r="A266" t="s">
        <v>244</v>
      </c>
      <c r="B266" t="s">
        <v>47</v>
      </c>
      <c r="C266" t="s">
        <v>1133</v>
      </c>
      <c r="D266">
        <v>1984</v>
      </c>
      <c r="E266">
        <v>31</v>
      </c>
      <c r="F266" t="s">
        <v>103</v>
      </c>
      <c r="G266" t="s">
        <v>245</v>
      </c>
      <c r="H266">
        <v>4400000</v>
      </c>
      <c r="I266">
        <v>4400000</v>
      </c>
      <c r="J266" t="s">
        <v>55</v>
      </c>
      <c r="K266">
        <v>31</v>
      </c>
      <c r="L266">
        <v>2478</v>
      </c>
      <c r="M266">
        <v>3</v>
      </c>
      <c r="N266">
        <v>910</v>
      </c>
      <c r="O266">
        <v>4</v>
      </c>
      <c r="P266">
        <v>5</v>
      </c>
      <c r="Q266">
        <v>0</v>
      </c>
      <c r="R266">
        <v>4</v>
      </c>
      <c r="S266">
        <v>4</v>
      </c>
      <c r="T266">
        <v>38</v>
      </c>
      <c r="U266">
        <v>11</v>
      </c>
      <c r="V266">
        <v>0</v>
      </c>
      <c r="W266">
        <v>21</v>
      </c>
      <c r="X266">
        <v>1</v>
      </c>
      <c r="Y266">
        <v>0</v>
      </c>
      <c r="Z266">
        <v>1</v>
      </c>
      <c r="AA266">
        <v>2</v>
      </c>
      <c r="AB266">
        <v>6</v>
      </c>
      <c r="AC266">
        <v>0</v>
      </c>
      <c r="AD266">
        <v>65</v>
      </c>
      <c r="AE266">
        <v>176</v>
      </c>
      <c r="AF266">
        <v>4</v>
      </c>
      <c r="AG266">
        <v>33</v>
      </c>
      <c r="AH266">
        <v>17</v>
      </c>
      <c r="AI266">
        <v>0</v>
      </c>
      <c r="AJ266">
        <v>36</v>
      </c>
      <c r="AK266">
        <v>0</v>
      </c>
      <c r="AL266">
        <v>0</v>
      </c>
      <c r="AM266">
        <v>54</v>
      </c>
      <c r="AN266">
        <v>27</v>
      </c>
      <c r="AO266">
        <v>21</v>
      </c>
      <c r="AQ266" t="str">
        <f t="shared" si="4"/>
        <v>Midfielder</v>
      </c>
    </row>
    <row r="267" spans="1:43" x14ac:dyDescent="0.35">
      <c r="A267" t="s">
        <v>244</v>
      </c>
      <c r="B267" t="s">
        <v>43</v>
      </c>
      <c r="C267" t="s">
        <v>1134</v>
      </c>
      <c r="D267">
        <v>1984</v>
      </c>
      <c r="E267">
        <v>33</v>
      </c>
      <c r="F267" t="s">
        <v>103</v>
      </c>
      <c r="G267" t="s">
        <v>245</v>
      </c>
      <c r="H267">
        <v>4400000</v>
      </c>
      <c r="I267">
        <v>3300000</v>
      </c>
      <c r="J267" t="s">
        <v>55</v>
      </c>
      <c r="K267">
        <v>26</v>
      </c>
      <c r="L267">
        <v>1921</v>
      </c>
      <c r="M267">
        <v>0</v>
      </c>
      <c r="N267">
        <v>882</v>
      </c>
      <c r="O267">
        <v>7</v>
      </c>
      <c r="P267">
        <v>5</v>
      </c>
      <c r="Q267">
        <v>0</v>
      </c>
      <c r="R267">
        <v>4</v>
      </c>
      <c r="S267">
        <v>7</v>
      </c>
      <c r="T267">
        <v>25</v>
      </c>
      <c r="U267">
        <v>5</v>
      </c>
      <c r="V267">
        <v>0</v>
      </c>
      <c r="W267">
        <v>15</v>
      </c>
      <c r="X267">
        <v>0</v>
      </c>
      <c r="Y267">
        <v>0</v>
      </c>
      <c r="Z267">
        <v>0</v>
      </c>
      <c r="AA267">
        <v>0</v>
      </c>
      <c r="AB267">
        <v>6</v>
      </c>
      <c r="AC267">
        <v>20</v>
      </c>
      <c r="AD267">
        <v>85</v>
      </c>
      <c r="AE267">
        <v>139</v>
      </c>
      <c r="AF267">
        <v>4</v>
      </c>
      <c r="AG267">
        <v>21</v>
      </c>
      <c r="AH267">
        <v>15</v>
      </c>
      <c r="AI267">
        <v>0</v>
      </c>
      <c r="AJ267">
        <v>41</v>
      </c>
      <c r="AK267">
        <v>0</v>
      </c>
      <c r="AL267">
        <v>0</v>
      </c>
      <c r="AM267">
        <v>40</v>
      </c>
      <c r="AN267">
        <v>16</v>
      </c>
      <c r="AO267">
        <v>15</v>
      </c>
      <c r="AQ267" t="str">
        <f t="shared" si="4"/>
        <v>Midfielder</v>
      </c>
    </row>
    <row r="268" spans="1:43" x14ac:dyDescent="0.35">
      <c r="A268" t="s">
        <v>246</v>
      </c>
      <c r="B268" t="s">
        <v>43</v>
      </c>
      <c r="C268" t="s">
        <v>1135</v>
      </c>
      <c r="D268">
        <v>1989</v>
      </c>
      <c r="E268">
        <v>28</v>
      </c>
      <c r="F268" t="s">
        <v>58</v>
      </c>
      <c r="G268" t="s">
        <v>146</v>
      </c>
      <c r="H268">
        <v>1350000</v>
      </c>
      <c r="I268">
        <v>1350000</v>
      </c>
      <c r="J268" t="s">
        <v>52</v>
      </c>
      <c r="K268">
        <v>23</v>
      </c>
      <c r="L268">
        <v>1594</v>
      </c>
      <c r="M268">
        <v>0</v>
      </c>
      <c r="N268">
        <v>619</v>
      </c>
      <c r="O268">
        <v>0</v>
      </c>
      <c r="P268">
        <v>1</v>
      </c>
      <c r="Q268">
        <v>0</v>
      </c>
      <c r="R268">
        <v>4</v>
      </c>
      <c r="S268">
        <v>9</v>
      </c>
      <c r="T268">
        <v>2</v>
      </c>
      <c r="U268">
        <v>2</v>
      </c>
      <c r="V268">
        <v>0</v>
      </c>
      <c r="W268">
        <v>20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15</v>
      </c>
      <c r="AE268">
        <v>73</v>
      </c>
      <c r="AF268">
        <v>8</v>
      </c>
      <c r="AG268">
        <v>34</v>
      </c>
      <c r="AH268">
        <v>13</v>
      </c>
      <c r="AI268">
        <v>0</v>
      </c>
      <c r="AJ268">
        <v>43</v>
      </c>
      <c r="AK268">
        <v>1</v>
      </c>
      <c r="AL268">
        <v>0</v>
      </c>
      <c r="AM268">
        <v>55</v>
      </c>
      <c r="AN268">
        <v>12</v>
      </c>
      <c r="AO268">
        <v>12</v>
      </c>
      <c r="AQ268" t="str">
        <f t="shared" si="4"/>
        <v>Defensive Forward</v>
      </c>
    </row>
    <row r="269" spans="1:43" x14ac:dyDescent="0.35">
      <c r="A269" t="s">
        <v>246</v>
      </c>
      <c r="B269" t="s">
        <v>46</v>
      </c>
      <c r="C269" t="s">
        <v>1136</v>
      </c>
      <c r="D269">
        <v>1989</v>
      </c>
      <c r="E269">
        <v>29</v>
      </c>
      <c r="F269" t="s">
        <v>58</v>
      </c>
      <c r="G269" t="s">
        <v>146</v>
      </c>
      <c r="H269">
        <v>1350000</v>
      </c>
      <c r="I269">
        <v>1800000</v>
      </c>
      <c r="J269" t="s">
        <v>52</v>
      </c>
      <c r="K269">
        <v>29</v>
      </c>
      <c r="L269">
        <v>2056</v>
      </c>
      <c r="M269">
        <v>0</v>
      </c>
      <c r="N269">
        <v>840</v>
      </c>
      <c r="O269">
        <v>2</v>
      </c>
      <c r="P269">
        <v>0</v>
      </c>
      <c r="Q269">
        <v>0</v>
      </c>
      <c r="R269">
        <v>6</v>
      </c>
      <c r="S269">
        <v>6</v>
      </c>
      <c r="T269">
        <v>18</v>
      </c>
      <c r="U269">
        <v>6</v>
      </c>
      <c r="V269">
        <v>1</v>
      </c>
      <c r="W269">
        <v>14</v>
      </c>
      <c r="X269">
        <v>0</v>
      </c>
      <c r="Y269">
        <v>0</v>
      </c>
      <c r="Z269">
        <v>0</v>
      </c>
      <c r="AA269">
        <v>2</v>
      </c>
      <c r="AB269">
        <v>0</v>
      </c>
      <c r="AC269">
        <v>12</v>
      </c>
      <c r="AD269">
        <v>34</v>
      </c>
      <c r="AE269">
        <v>140</v>
      </c>
      <c r="AF269">
        <v>3</v>
      </c>
      <c r="AG269">
        <v>22</v>
      </c>
      <c r="AH269">
        <v>14</v>
      </c>
      <c r="AI269">
        <v>0</v>
      </c>
      <c r="AJ269">
        <v>34</v>
      </c>
      <c r="AK269">
        <v>0</v>
      </c>
      <c r="AL269">
        <v>0</v>
      </c>
      <c r="AM269">
        <v>53</v>
      </c>
      <c r="AN269">
        <v>26</v>
      </c>
      <c r="AO269">
        <v>33</v>
      </c>
      <c r="AQ269" t="str">
        <f t="shared" si="4"/>
        <v>Defensive Forward</v>
      </c>
    </row>
    <row r="270" spans="1:43" x14ac:dyDescent="0.35">
      <c r="A270" t="s">
        <v>247</v>
      </c>
      <c r="B270" t="s">
        <v>46</v>
      </c>
      <c r="C270" t="s">
        <v>1137</v>
      </c>
      <c r="D270">
        <v>1997</v>
      </c>
      <c r="E270">
        <v>20</v>
      </c>
      <c r="F270" t="s">
        <v>84</v>
      </c>
      <c r="G270" t="s">
        <v>62</v>
      </c>
      <c r="H270">
        <v>7200000</v>
      </c>
      <c r="I270">
        <v>11700000</v>
      </c>
      <c r="J270" t="s">
        <v>52</v>
      </c>
      <c r="K270">
        <v>13</v>
      </c>
      <c r="L270">
        <v>850</v>
      </c>
      <c r="M270">
        <v>0</v>
      </c>
      <c r="N270">
        <v>405</v>
      </c>
      <c r="O270">
        <v>1</v>
      </c>
      <c r="P270">
        <v>1</v>
      </c>
      <c r="Q270">
        <v>0</v>
      </c>
      <c r="R270">
        <v>3</v>
      </c>
      <c r="S270">
        <v>2</v>
      </c>
      <c r="T270">
        <v>2</v>
      </c>
      <c r="U270">
        <v>0</v>
      </c>
      <c r="V270">
        <v>0</v>
      </c>
      <c r="W270">
        <v>25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0</v>
      </c>
      <c r="AE270">
        <v>1</v>
      </c>
      <c r="AF270">
        <v>5</v>
      </c>
      <c r="AG270">
        <v>14</v>
      </c>
      <c r="AH270">
        <v>7</v>
      </c>
      <c r="AI270">
        <v>0</v>
      </c>
      <c r="AJ270">
        <v>9</v>
      </c>
      <c r="AK270">
        <v>1</v>
      </c>
      <c r="AL270">
        <v>0</v>
      </c>
      <c r="AM270">
        <v>57</v>
      </c>
      <c r="AN270">
        <v>31</v>
      </c>
      <c r="AO270">
        <v>19</v>
      </c>
      <c r="AQ270" t="str">
        <f t="shared" si="4"/>
        <v>Defensive Forward</v>
      </c>
    </row>
    <row r="271" spans="1:43" x14ac:dyDescent="0.35">
      <c r="A271" t="s">
        <v>248</v>
      </c>
      <c r="B271" t="s">
        <v>47</v>
      </c>
      <c r="C271" t="s">
        <v>1138</v>
      </c>
      <c r="D271">
        <v>1989</v>
      </c>
      <c r="E271">
        <v>26</v>
      </c>
      <c r="F271" t="s">
        <v>129</v>
      </c>
      <c r="G271" t="s">
        <v>51</v>
      </c>
      <c r="H271">
        <v>18000000</v>
      </c>
      <c r="I271">
        <v>16200000</v>
      </c>
      <c r="J271" t="s">
        <v>52</v>
      </c>
      <c r="K271">
        <v>18</v>
      </c>
      <c r="L271">
        <v>1215</v>
      </c>
      <c r="M271">
        <v>1</v>
      </c>
      <c r="N271">
        <v>464</v>
      </c>
      <c r="O271">
        <v>1</v>
      </c>
      <c r="P271">
        <v>0</v>
      </c>
      <c r="Q271">
        <v>0</v>
      </c>
      <c r="R271">
        <v>5</v>
      </c>
      <c r="S271">
        <v>1</v>
      </c>
      <c r="T271">
        <v>7</v>
      </c>
      <c r="U271">
        <v>1</v>
      </c>
      <c r="V271">
        <v>0</v>
      </c>
      <c r="W271">
        <v>77</v>
      </c>
      <c r="X271">
        <v>1</v>
      </c>
      <c r="Y271">
        <v>0</v>
      </c>
      <c r="Z271">
        <v>0</v>
      </c>
      <c r="AA271">
        <v>1</v>
      </c>
      <c r="AB271">
        <v>0</v>
      </c>
      <c r="AC271">
        <v>0</v>
      </c>
      <c r="AD271">
        <v>0</v>
      </c>
      <c r="AE271">
        <v>0</v>
      </c>
      <c r="AF271">
        <v>9</v>
      </c>
      <c r="AG271">
        <v>13</v>
      </c>
      <c r="AH271">
        <v>8</v>
      </c>
      <c r="AI271">
        <v>0</v>
      </c>
      <c r="AJ271">
        <v>12</v>
      </c>
      <c r="AK271">
        <v>2</v>
      </c>
      <c r="AL271">
        <v>0</v>
      </c>
      <c r="AM271">
        <v>126</v>
      </c>
      <c r="AN271">
        <v>48</v>
      </c>
      <c r="AO271">
        <v>18</v>
      </c>
      <c r="AQ271" t="str">
        <f t="shared" si="4"/>
        <v>Defensive Forward</v>
      </c>
    </row>
    <row r="272" spans="1:43" x14ac:dyDescent="0.35">
      <c r="A272" t="s">
        <v>248</v>
      </c>
      <c r="B272" t="s">
        <v>43</v>
      </c>
      <c r="C272" t="s">
        <v>1139</v>
      </c>
      <c r="D272">
        <v>1989</v>
      </c>
      <c r="E272">
        <v>28</v>
      </c>
      <c r="F272" t="s">
        <v>129</v>
      </c>
      <c r="G272" t="s">
        <v>51</v>
      </c>
      <c r="H272">
        <v>16200000</v>
      </c>
      <c r="I272">
        <v>16200000</v>
      </c>
      <c r="J272" t="s">
        <v>52</v>
      </c>
      <c r="K272">
        <v>29</v>
      </c>
      <c r="L272">
        <v>2535</v>
      </c>
      <c r="M272">
        <v>4</v>
      </c>
      <c r="N272">
        <v>1137</v>
      </c>
      <c r="O272">
        <v>0</v>
      </c>
      <c r="P272">
        <v>4</v>
      </c>
      <c r="Q272">
        <v>0</v>
      </c>
      <c r="R272">
        <v>1</v>
      </c>
      <c r="S272">
        <v>0</v>
      </c>
      <c r="T272">
        <v>13</v>
      </c>
      <c r="U272">
        <v>6</v>
      </c>
      <c r="V272">
        <v>0</v>
      </c>
      <c r="W272">
        <v>89</v>
      </c>
      <c r="X272">
        <v>2</v>
      </c>
      <c r="Y272">
        <v>0</v>
      </c>
      <c r="Z272">
        <v>0</v>
      </c>
      <c r="AA272">
        <v>2</v>
      </c>
      <c r="AB272">
        <v>0</v>
      </c>
      <c r="AC272">
        <v>7</v>
      </c>
      <c r="AD272">
        <v>0</v>
      </c>
      <c r="AE272">
        <v>0</v>
      </c>
      <c r="AF272">
        <v>28</v>
      </c>
      <c r="AG272">
        <v>63</v>
      </c>
      <c r="AH272">
        <v>24</v>
      </c>
      <c r="AI272">
        <v>0</v>
      </c>
      <c r="AJ272">
        <v>40</v>
      </c>
      <c r="AK272">
        <v>0</v>
      </c>
      <c r="AL272">
        <v>0</v>
      </c>
      <c r="AM272">
        <v>159</v>
      </c>
      <c r="AN272">
        <v>108</v>
      </c>
      <c r="AO272">
        <v>52</v>
      </c>
      <c r="AQ272" t="str">
        <f t="shared" si="4"/>
        <v>Defensive Forward</v>
      </c>
    </row>
    <row r="273" spans="1:43" x14ac:dyDescent="0.35">
      <c r="A273" t="s">
        <v>248</v>
      </c>
      <c r="B273" t="s">
        <v>46</v>
      </c>
      <c r="C273" t="s">
        <v>1140</v>
      </c>
      <c r="D273">
        <v>1989</v>
      </c>
      <c r="E273">
        <v>28</v>
      </c>
      <c r="F273" t="s">
        <v>129</v>
      </c>
      <c r="G273" t="s">
        <v>51</v>
      </c>
      <c r="H273">
        <v>16200000</v>
      </c>
      <c r="I273">
        <v>18000000</v>
      </c>
      <c r="J273" t="s">
        <v>52</v>
      </c>
      <c r="K273">
        <v>24</v>
      </c>
      <c r="L273">
        <v>2128</v>
      </c>
      <c r="M273">
        <v>0</v>
      </c>
      <c r="N273">
        <v>954</v>
      </c>
      <c r="O273">
        <v>0</v>
      </c>
      <c r="P273">
        <v>0</v>
      </c>
      <c r="Q273">
        <v>0</v>
      </c>
      <c r="R273">
        <v>0</v>
      </c>
      <c r="S273">
        <v>1</v>
      </c>
      <c r="T273">
        <v>11</v>
      </c>
      <c r="U273">
        <v>2</v>
      </c>
      <c r="V273">
        <v>0</v>
      </c>
      <c r="W273">
        <v>57</v>
      </c>
      <c r="X273">
        <v>0</v>
      </c>
      <c r="Y273">
        <v>0</v>
      </c>
      <c r="Z273">
        <v>0</v>
      </c>
      <c r="AA273">
        <v>2</v>
      </c>
      <c r="AB273">
        <v>1</v>
      </c>
      <c r="AC273">
        <v>9</v>
      </c>
      <c r="AD273">
        <v>0</v>
      </c>
      <c r="AE273">
        <v>0</v>
      </c>
      <c r="AF273">
        <v>25</v>
      </c>
      <c r="AG273">
        <v>26</v>
      </c>
      <c r="AH273">
        <v>22</v>
      </c>
      <c r="AI273">
        <v>0</v>
      </c>
      <c r="AJ273">
        <v>30</v>
      </c>
      <c r="AK273">
        <v>0</v>
      </c>
      <c r="AL273">
        <v>1</v>
      </c>
      <c r="AM273">
        <v>106</v>
      </c>
      <c r="AN273">
        <v>102</v>
      </c>
      <c r="AO273">
        <v>57</v>
      </c>
      <c r="AQ273" t="str">
        <f t="shared" si="4"/>
        <v>Defensive Forward</v>
      </c>
    </row>
    <row r="274" spans="1:43" x14ac:dyDescent="0.35">
      <c r="A274" t="s">
        <v>248</v>
      </c>
      <c r="B274" t="s">
        <v>39</v>
      </c>
      <c r="C274" t="s">
        <v>1141</v>
      </c>
      <c r="D274">
        <v>1989</v>
      </c>
      <c r="E274">
        <v>25</v>
      </c>
      <c r="F274" t="s">
        <v>129</v>
      </c>
      <c r="G274" t="s">
        <v>51</v>
      </c>
      <c r="H274">
        <v>12600000</v>
      </c>
      <c r="I274">
        <v>18000000</v>
      </c>
      <c r="J274" t="s">
        <v>52</v>
      </c>
      <c r="K274">
        <v>35</v>
      </c>
      <c r="L274">
        <v>3150</v>
      </c>
      <c r="M274">
        <v>0</v>
      </c>
      <c r="N274">
        <v>1533</v>
      </c>
      <c r="O274">
        <v>1</v>
      </c>
      <c r="P274">
        <v>8</v>
      </c>
      <c r="Q274">
        <v>0</v>
      </c>
      <c r="R274">
        <v>0</v>
      </c>
      <c r="S274">
        <v>0</v>
      </c>
      <c r="T274">
        <v>18</v>
      </c>
      <c r="U274">
        <v>2</v>
      </c>
      <c r="V274">
        <v>2</v>
      </c>
      <c r="W274">
        <v>105</v>
      </c>
      <c r="X274">
        <v>0</v>
      </c>
      <c r="Y274">
        <v>0</v>
      </c>
      <c r="Z274">
        <v>0</v>
      </c>
      <c r="AA274">
        <v>0</v>
      </c>
      <c r="AB274">
        <v>1</v>
      </c>
      <c r="AC274">
        <v>2</v>
      </c>
      <c r="AD274">
        <v>0</v>
      </c>
      <c r="AE274">
        <v>0</v>
      </c>
      <c r="AF274">
        <v>19</v>
      </c>
      <c r="AG274">
        <v>97</v>
      </c>
      <c r="AH274">
        <v>47</v>
      </c>
      <c r="AI274">
        <v>0</v>
      </c>
      <c r="AJ274">
        <v>55</v>
      </c>
      <c r="AK274">
        <v>0</v>
      </c>
      <c r="AL274">
        <v>0</v>
      </c>
      <c r="AM274">
        <v>180</v>
      </c>
      <c r="AN274">
        <v>124</v>
      </c>
      <c r="AO274">
        <v>70</v>
      </c>
      <c r="AQ274" t="str">
        <f t="shared" si="4"/>
        <v>Defensive Forward</v>
      </c>
    </row>
    <row r="275" spans="1:43" x14ac:dyDescent="0.35">
      <c r="A275" t="s">
        <v>249</v>
      </c>
      <c r="B275" t="s">
        <v>43</v>
      </c>
      <c r="C275" t="s">
        <v>1142</v>
      </c>
      <c r="D275">
        <v>1991</v>
      </c>
      <c r="E275">
        <v>26</v>
      </c>
      <c r="F275" t="s">
        <v>56</v>
      </c>
      <c r="G275" t="s">
        <v>250</v>
      </c>
      <c r="H275">
        <v>11000000</v>
      </c>
      <c r="I275">
        <v>16200000</v>
      </c>
      <c r="J275" t="s">
        <v>42</v>
      </c>
      <c r="K275">
        <v>24</v>
      </c>
      <c r="L275">
        <v>1633</v>
      </c>
      <c r="M275">
        <v>10</v>
      </c>
      <c r="N275">
        <v>415</v>
      </c>
      <c r="O275">
        <v>1</v>
      </c>
      <c r="P275">
        <v>1</v>
      </c>
      <c r="Q275">
        <v>0</v>
      </c>
      <c r="R275">
        <v>4</v>
      </c>
      <c r="S275">
        <v>13</v>
      </c>
      <c r="T275">
        <v>39</v>
      </c>
      <c r="U275">
        <v>24</v>
      </c>
      <c r="V275">
        <v>1</v>
      </c>
      <c r="W275">
        <v>13</v>
      </c>
      <c r="X275">
        <v>3</v>
      </c>
      <c r="Y275">
        <v>0</v>
      </c>
      <c r="Z275">
        <v>0</v>
      </c>
      <c r="AA275">
        <v>27</v>
      </c>
      <c r="AB275">
        <v>1</v>
      </c>
      <c r="AC275">
        <v>15</v>
      </c>
      <c r="AD275">
        <v>0</v>
      </c>
      <c r="AE275">
        <v>5</v>
      </c>
      <c r="AF275">
        <v>4</v>
      </c>
      <c r="AG275">
        <v>0</v>
      </c>
      <c r="AH275">
        <v>18</v>
      </c>
      <c r="AI275">
        <v>0</v>
      </c>
      <c r="AJ275">
        <v>7</v>
      </c>
      <c r="AK275">
        <v>0</v>
      </c>
      <c r="AL275">
        <v>0</v>
      </c>
      <c r="AM275">
        <v>16</v>
      </c>
      <c r="AN275">
        <v>83</v>
      </c>
      <c r="AO275">
        <v>105</v>
      </c>
      <c r="AQ275" t="str">
        <f t="shared" si="4"/>
        <v>Forward</v>
      </c>
    </row>
    <row r="276" spans="1:43" x14ac:dyDescent="0.35">
      <c r="A276" t="s">
        <v>249</v>
      </c>
      <c r="B276" t="s">
        <v>46</v>
      </c>
      <c r="C276" t="s">
        <v>1143</v>
      </c>
      <c r="D276">
        <v>1991</v>
      </c>
      <c r="E276">
        <v>26</v>
      </c>
      <c r="F276" t="s">
        <v>56</v>
      </c>
      <c r="G276" t="s">
        <v>250</v>
      </c>
      <c r="H276">
        <v>16200000</v>
      </c>
      <c r="I276">
        <v>16200000</v>
      </c>
      <c r="J276" t="s">
        <v>42</v>
      </c>
      <c r="K276">
        <v>38</v>
      </c>
      <c r="L276">
        <v>2594</v>
      </c>
      <c r="M276">
        <v>10</v>
      </c>
      <c r="N276">
        <v>599</v>
      </c>
      <c r="O276">
        <v>2</v>
      </c>
      <c r="P276">
        <v>2</v>
      </c>
      <c r="Q276">
        <v>0</v>
      </c>
      <c r="R276">
        <v>9</v>
      </c>
      <c r="S276">
        <v>16</v>
      </c>
      <c r="T276">
        <v>59</v>
      </c>
      <c r="U276">
        <v>23</v>
      </c>
      <c r="V276">
        <v>5</v>
      </c>
      <c r="W276">
        <v>16</v>
      </c>
      <c r="X276">
        <v>6</v>
      </c>
      <c r="Y276">
        <v>0</v>
      </c>
      <c r="Z276">
        <v>0</v>
      </c>
      <c r="AA276">
        <v>53</v>
      </c>
      <c r="AB276">
        <v>4</v>
      </c>
      <c r="AC276">
        <v>36</v>
      </c>
      <c r="AD276">
        <v>0</v>
      </c>
      <c r="AE276">
        <v>12</v>
      </c>
      <c r="AF276">
        <v>4</v>
      </c>
      <c r="AG276">
        <v>3</v>
      </c>
      <c r="AH276">
        <v>26</v>
      </c>
      <c r="AI276">
        <v>0</v>
      </c>
      <c r="AJ276">
        <v>13</v>
      </c>
      <c r="AK276">
        <v>0</v>
      </c>
      <c r="AL276">
        <v>0</v>
      </c>
      <c r="AM276">
        <v>26</v>
      </c>
      <c r="AN276">
        <v>132</v>
      </c>
      <c r="AO276">
        <v>170</v>
      </c>
      <c r="AQ276" t="str">
        <f t="shared" si="4"/>
        <v>Forward</v>
      </c>
    </row>
    <row r="277" spans="1:43" x14ac:dyDescent="0.35">
      <c r="A277" t="s">
        <v>251</v>
      </c>
      <c r="B277" t="s">
        <v>46</v>
      </c>
      <c r="C277" t="s">
        <v>1144</v>
      </c>
      <c r="D277">
        <v>1992</v>
      </c>
      <c r="E277">
        <v>26</v>
      </c>
      <c r="F277" t="s">
        <v>117</v>
      </c>
      <c r="G277" t="s">
        <v>69</v>
      </c>
      <c r="H277">
        <v>6600000</v>
      </c>
      <c r="I277">
        <v>6600000</v>
      </c>
      <c r="J277" t="s">
        <v>42</v>
      </c>
      <c r="K277">
        <v>28</v>
      </c>
      <c r="L277">
        <v>1488</v>
      </c>
      <c r="M277">
        <v>1</v>
      </c>
      <c r="N277">
        <v>383</v>
      </c>
      <c r="O277">
        <v>0</v>
      </c>
      <c r="P277">
        <v>2</v>
      </c>
      <c r="Q277">
        <v>0</v>
      </c>
      <c r="R277">
        <v>13</v>
      </c>
      <c r="S277">
        <v>7</v>
      </c>
      <c r="T277">
        <v>28</v>
      </c>
      <c r="U277">
        <v>14</v>
      </c>
      <c r="V277">
        <v>0</v>
      </c>
      <c r="W277">
        <v>3</v>
      </c>
      <c r="X277">
        <v>0</v>
      </c>
      <c r="Y277">
        <v>0</v>
      </c>
      <c r="Z277">
        <v>0</v>
      </c>
      <c r="AA277">
        <v>4</v>
      </c>
      <c r="AB277">
        <v>3</v>
      </c>
      <c r="AC277">
        <v>14</v>
      </c>
      <c r="AD277">
        <v>3</v>
      </c>
      <c r="AE277">
        <v>42</v>
      </c>
      <c r="AF277">
        <v>3</v>
      </c>
      <c r="AG277">
        <v>7</v>
      </c>
      <c r="AH277">
        <v>13</v>
      </c>
      <c r="AI277">
        <v>0</v>
      </c>
      <c r="AJ277">
        <v>24</v>
      </c>
      <c r="AK277">
        <v>0</v>
      </c>
      <c r="AL277">
        <v>0</v>
      </c>
      <c r="AM277">
        <v>14</v>
      </c>
      <c r="AN277">
        <v>10</v>
      </c>
      <c r="AO277">
        <v>59</v>
      </c>
      <c r="AQ277" t="str">
        <f t="shared" si="4"/>
        <v>Forward</v>
      </c>
    </row>
    <row r="278" spans="1:43" x14ac:dyDescent="0.35">
      <c r="A278" t="s">
        <v>251</v>
      </c>
      <c r="B278" t="s">
        <v>43</v>
      </c>
      <c r="C278" t="s">
        <v>1145</v>
      </c>
      <c r="D278">
        <v>1992</v>
      </c>
      <c r="E278">
        <v>25</v>
      </c>
      <c r="F278" t="s">
        <v>117</v>
      </c>
      <c r="G278" t="s">
        <v>69</v>
      </c>
      <c r="H278">
        <v>29700000</v>
      </c>
      <c r="I278">
        <v>34100000</v>
      </c>
      <c r="J278" t="s">
        <v>55</v>
      </c>
      <c r="K278">
        <v>28</v>
      </c>
      <c r="L278">
        <v>1781</v>
      </c>
      <c r="M278">
        <v>2</v>
      </c>
      <c r="N278">
        <v>448</v>
      </c>
      <c r="O278">
        <v>2</v>
      </c>
      <c r="P278">
        <v>1</v>
      </c>
      <c r="Q278">
        <v>0</v>
      </c>
      <c r="R278">
        <v>9</v>
      </c>
      <c r="S278">
        <v>7</v>
      </c>
      <c r="T278">
        <v>35</v>
      </c>
      <c r="U278">
        <v>12</v>
      </c>
      <c r="V278">
        <v>0</v>
      </c>
      <c r="W278">
        <v>10</v>
      </c>
      <c r="X278">
        <v>0</v>
      </c>
      <c r="Y278">
        <v>0</v>
      </c>
      <c r="Z278">
        <v>0</v>
      </c>
      <c r="AA278">
        <v>6</v>
      </c>
      <c r="AB278">
        <v>1</v>
      </c>
      <c r="AC278">
        <v>23</v>
      </c>
      <c r="AD278">
        <v>4</v>
      </c>
      <c r="AE278">
        <v>57</v>
      </c>
      <c r="AF278">
        <v>5</v>
      </c>
      <c r="AG278">
        <v>13</v>
      </c>
      <c r="AH278">
        <v>10</v>
      </c>
      <c r="AI278">
        <v>0</v>
      </c>
      <c r="AJ278">
        <v>17</v>
      </c>
      <c r="AK278">
        <v>0</v>
      </c>
      <c r="AL278">
        <v>0</v>
      </c>
      <c r="AM278">
        <v>20</v>
      </c>
      <c r="AN278">
        <v>13</v>
      </c>
      <c r="AO278">
        <v>68</v>
      </c>
      <c r="AQ278" t="str">
        <f t="shared" si="4"/>
        <v>Midfielder</v>
      </c>
    </row>
    <row r="279" spans="1:43" x14ac:dyDescent="0.35">
      <c r="A279" t="s">
        <v>252</v>
      </c>
      <c r="B279" t="s">
        <v>39</v>
      </c>
      <c r="C279" t="s">
        <v>1146</v>
      </c>
      <c r="D279">
        <v>1990</v>
      </c>
      <c r="E279">
        <v>24</v>
      </c>
      <c r="F279" t="s">
        <v>80</v>
      </c>
      <c r="G279" t="s">
        <v>95</v>
      </c>
      <c r="H279">
        <v>22000000</v>
      </c>
      <c r="I279">
        <v>24300000</v>
      </c>
      <c r="J279" t="s">
        <v>42</v>
      </c>
      <c r="K279">
        <v>29</v>
      </c>
      <c r="L279">
        <v>1518</v>
      </c>
      <c r="M279">
        <v>9</v>
      </c>
      <c r="N279">
        <v>516</v>
      </c>
      <c r="O279">
        <v>3</v>
      </c>
      <c r="P279">
        <v>2</v>
      </c>
      <c r="Q279">
        <v>0</v>
      </c>
      <c r="R279">
        <v>15</v>
      </c>
      <c r="S279">
        <v>3</v>
      </c>
      <c r="T279">
        <v>61</v>
      </c>
      <c r="U279">
        <v>20</v>
      </c>
      <c r="V279">
        <v>1</v>
      </c>
      <c r="W279">
        <v>12</v>
      </c>
      <c r="X279">
        <v>3</v>
      </c>
      <c r="Y279">
        <v>1</v>
      </c>
      <c r="Z279">
        <v>0</v>
      </c>
      <c r="AA279">
        <v>17</v>
      </c>
      <c r="AB279">
        <v>1</v>
      </c>
      <c r="AC279">
        <v>9</v>
      </c>
      <c r="AD279">
        <v>1</v>
      </c>
      <c r="AE279">
        <v>1</v>
      </c>
      <c r="AF279">
        <v>0</v>
      </c>
      <c r="AG279">
        <v>0</v>
      </c>
      <c r="AH279">
        <v>29</v>
      </c>
      <c r="AI279">
        <v>0</v>
      </c>
      <c r="AJ279">
        <v>8</v>
      </c>
      <c r="AK279">
        <v>0</v>
      </c>
      <c r="AL279">
        <v>0</v>
      </c>
      <c r="AM279">
        <v>13</v>
      </c>
      <c r="AN279">
        <v>130</v>
      </c>
      <c r="AO279">
        <v>96</v>
      </c>
      <c r="AQ279" t="str">
        <f t="shared" si="4"/>
        <v>Forward</v>
      </c>
    </row>
    <row r="280" spans="1:43" x14ac:dyDescent="0.35">
      <c r="A280" t="s">
        <v>252</v>
      </c>
      <c r="B280" t="s">
        <v>47</v>
      </c>
      <c r="C280" t="s">
        <v>1147</v>
      </c>
      <c r="D280">
        <v>1990</v>
      </c>
      <c r="E280">
        <v>25</v>
      </c>
      <c r="F280" t="s">
        <v>64</v>
      </c>
      <c r="G280" t="s">
        <v>95</v>
      </c>
      <c r="H280">
        <v>24300000</v>
      </c>
      <c r="I280">
        <v>25200000</v>
      </c>
      <c r="J280" t="s">
        <v>42</v>
      </c>
      <c r="K280">
        <v>36</v>
      </c>
      <c r="L280">
        <v>3137</v>
      </c>
      <c r="M280">
        <v>15</v>
      </c>
      <c r="N280">
        <v>920</v>
      </c>
      <c r="O280">
        <v>2</v>
      </c>
      <c r="P280">
        <v>10</v>
      </c>
      <c r="Q280">
        <v>0</v>
      </c>
      <c r="R280">
        <v>0</v>
      </c>
      <c r="S280">
        <v>7</v>
      </c>
      <c r="T280">
        <v>105</v>
      </c>
      <c r="U280">
        <v>40</v>
      </c>
      <c r="V280">
        <v>4</v>
      </c>
      <c r="W280">
        <v>39</v>
      </c>
      <c r="X280">
        <v>7</v>
      </c>
      <c r="Y280">
        <v>2</v>
      </c>
      <c r="Z280">
        <v>0</v>
      </c>
      <c r="AA280">
        <v>36</v>
      </c>
      <c r="AB280">
        <v>1</v>
      </c>
      <c r="AC280">
        <v>12</v>
      </c>
      <c r="AD280">
        <v>0</v>
      </c>
      <c r="AE280">
        <v>0</v>
      </c>
      <c r="AF280">
        <v>1</v>
      </c>
      <c r="AG280">
        <v>6</v>
      </c>
      <c r="AH280">
        <v>81</v>
      </c>
      <c r="AI280">
        <v>0</v>
      </c>
      <c r="AJ280">
        <v>9</v>
      </c>
      <c r="AK280">
        <v>0</v>
      </c>
      <c r="AL280">
        <v>0</v>
      </c>
      <c r="AM280">
        <v>48</v>
      </c>
      <c r="AN280">
        <v>322</v>
      </c>
      <c r="AO280">
        <v>215</v>
      </c>
      <c r="AQ280" t="str">
        <f t="shared" si="4"/>
        <v>Forward</v>
      </c>
    </row>
    <row r="281" spans="1:43" x14ac:dyDescent="0.35">
      <c r="A281" t="s">
        <v>252</v>
      </c>
      <c r="B281" t="s">
        <v>43</v>
      </c>
      <c r="C281" t="s">
        <v>1148</v>
      </c>
      <c r="D281">
        <v>1990</v>
      </c>
      <c r="E281">
        <v>27</v>
      </c>
      <c r="F281" t="s">
        <v>64</v>
      </c>
      <c r="G281" t="s">
        <v>95</v>
      </c>
      <c r="H281">
        <v>25200000</v>
      </c>
      <c r="I281">
        <v>19800000</v>
      </c>
      <c r="J281" t="s">
        <v>42</v>
      </c>
      <c r="K281">
        <v>31</v>
      </c>
      <c r="L281">
        <v>2236</v>
      </c>
      <c r="M281">
        <v>3</v>
      </c>
      <c r="N281">
        <v>672</v>
      </c>
      <c r="O281">
        <v>5</v>
      </c>
      <c r="P281">
        <v>6</v>
      </c>
      <c r="Q281">
        <v>0</v>
      </c>
      <c r="R281">
        <v>7</v>
      </c>
      <c r="S281">
        <v>3</v>
      </c>
      <c r="T281">
        <v>60</v>
      </c>
      <c r="U281">
        <v>21</v>
      </c>
      <c r="V281">
        <v>0</v>
      </c>
      <c r="W281">
        <v>31</v>
      </c>
      <c r="X281">
        <v>2</v>
      </c>
      <c r="Y281">
        <v>1</v>
      </c>
      <c r="Z281">
        <v>0</v>
      </c>
      <c r="AA281">
        <v>12</v>
      </c>
      <c r="AB281">
        <v>3</v>
      </c>
      <c r="AC281">
        <v>39</v>
      </c>
      <c r="AD281">
        <v>0</v>
      </c>
      <c r="AE281">
        <v>3</v>
      </c>
      <c r="AF281">
        <v>3</v>
      </c>
      <c r="AG281">
        <v>3</v>
      </c>
      <c r="AH281">
        <v>48</v>
      </c>
      <c r="AI281">
        <v>0</v>
      </c>
      <c r="AJ281">
        <v>11</v>
      </c>
      <c r="AK281">
        <v>0</v>
      </c>
      <c r="AL281">
        <v>0</v>
      </c>
      <c r="AM281">
        <v>43</v>
      </c>
      <c r="AN281">
        <v>242</v>
      </c>
      <c r="AO281">
        <v>185</v>
      </c>
      <c r="AQ281" t="str">
        <f t="shared" si="4"/>
        <v>Forward</v>
      </c>
    </row>
    <row r="282" spans="1:43" x14ac:dyDescent="0.35">
      <c r="A282" t="s">
        <v>252</v>
      </c>
      <c r="B282" t="s">
        <v>46</v>
      </c>
      <c r="C282" t="s">
        <v>1149</v>
      </c>
      <c r="D282">
        <v>1990</v>
      </c>
      <c r="E282">
        <v>27</v>
      </c>
      <c r="F282" t="s">
        <v>64</v>
      </c>
      <c r="G282" t="s">
        <v>95</v>
      </c>
      <c r="H282">
        <v>19800000</v>
      </c>
      <c r="I282">
        <v>13500000</v>
      </c>
      <c r="J282" t="s">
        <v>42</v>
      </c>
      <c r="K282">
        <v>16</v>
      </c>
      <c r="L282">
        <v>813</v>
      </c>
      <c r="M282">
        <v>1</v>
      </c>
      <c r="N282">
        <v>241</v>
      </c>
      <c r="O282">
        <v>1</v>
      </c>
      <c r="P282">
        <v>1</v>
      </c>
      <c r="Q282">
        <v>0</v>
      </c>
      <c r="R282">
        <v>7</v>
      </c>
      <c r="S282">
        <v>6</v>
      </c>
      <c r="T282">
        <v>26</v>
      </c>
      <c r="U282">
        <v>8</v>
      </c>
      <c r="V282">
        <v>2</v>
      </c>
      <c r="W282">
        <v>11</v>
      </c>
      <c r="X282">
        <v>1</v>
      </c>
      <c r="Y282">
        <v>0</v>
      </c>
      <c r="Z282">
        <v>0</v>
      </c>
      <c r="AA282">
        <v>10</v>
      </c>
      <c r="AB282">
        <v>0</v>
      </c>
      <c r="AC282">
        <v>18</v>
      </c>
      <c r="AD282">
        <v>0</v>
      </c>
      <c r="AE282">
        <v>1</v>
      </c>
      <c r="AF282">
        <v>2</v>
      </c>
      <c r="AG282">
        <v>0</v>
      </c>
      <c r="AH282">
        <v>18</v>
      </c>
      <c r="AI282">
        <v>0</v>
      </c>
      <c r="AJ282">
        <v>5</v>
      </c>
      <c r="AK282">
        <v>0</v>
      </c>
      <c r="AL282">
        <v>0</v>
      </c>
      <c r="AM282">
        <v>14</v>
      </c>
      <c r="AN282">
        <v>90</v>
      </c>
      <c r="AO282">
        <v>60</v>
      </c>
      <c r="AQ282" t="str">
        <f t="shared" si="4"/>
        <v>Forward</v>
      </c>
    </row>
    <row r="283" spans="1:43" x14ac:dyDescent="0.35">
      <c r="A283" t="s">
        <v>253</v>
      </c>
      <c r="B283" t="s">
        <v>39</v>
      </c>
      <c r="C283" t="s">
        <v>1150</v>
      </c>
      <c r="D283">
        <v>1992</v>
      </c>
      <c r="E283">
        <v>23</v>
      </c>
      <c r="F283" t="s">
        <v>191</v>
      </c>
      <c r="G283" t="s">
        <v>152</v>
      </c>
      <c r="H283">
        <v>34100000</v>
      </c>
      <c r="I283">
        <v>44000000</v>
      </c>
      <c r="J283" t="s">
        <v>55</v>
      </c>
      <c r="K283">
        <v>35</v>
      </c>
      <c r="L283">
        <v>2938</v>
      </c>
      <c r="M283">
        <v>6</v>
      </c>
      <c r="N283">
        <v>1841</v>
      </c>
      <c r="O283">
        <v>13</v>
      </c>
      <c r="P283">
        <v>2</v>
      </c>
      <c r="Q283">
        <v>0</v>
      </c>
      <c r="R283">
        <v>2</v>
      </c>
      <c r="S283">
        <v>10</v>
      </c>
      <c r="T283">
        <v>100</v>
      </c>
      <c r="U283">
        <v>42</v>
      </c>
      <c r="V283">
        <v>4</v>
      </c>
      <c r="W283">
        <v>10</v>
      </c>
      <c r="X283">
        <v>0</v>
      </c>
      <c r="Y283">
        <v>0</v>
      </c>
      <c r="Z283">
        <v>2</v>
      </c>
      <c r="AA283">
        <v>0</v>
      </c>
      <c r="AB283">
        <v>12</v>
      </c>
      <c r="AC283">
        <v>2</v>
      </c>
      <c r="AD283">
        <v>126</v>
      </c>
      <c r="AE283">
        <v>183</v>
      </c>
      <c r="AF283">
        <v>0</v>
      </c>
      <c r="AG283">
        <v>34</v>
      </c>
      <c r="AH283">
        <v>13</v>
      </c>
      <c r="AI283">
        <v>0</v>
      </c>
      <c r="AJ283">
        <v>47</v>
      </c>
      <c r="AK283">
        <v>0</v>
      </c>
      <c r="AL283">
        <v>0</v>
      </c>
      <c r="AM283">
        <v>25</v>
      </c>
      <c r="AN283">
        <v>17</v>
      </c>
      <c r="AO283">
        <v>31</v>
      </c>
      <c r="AQ283" t="str">
        <f t="shared" si="4"/>
        <v>Midfielder</v>
      </c>
    </row>
    <row r="284" spans="1:43" x14ac:dyDescent="0.35">
      <c r="A284" t="s">
        <v>253</v>
      </c>
      <c r="B284" t="s">
        <v>47</v>
      </c>
      <c r="C284" t="s">
        <v>1151</v>
      </c>
      <c r="D284">
        <v>1992</v>
      </c>
      <c r="E284">
        <v>24</v>
      </c>
      <c r="F284" t="s">
        <v>191</v>
      </c>
      <c r="G284" t="s">
        <v>152</v>
      </c>
      <c r="H284">
        <v>44000000</v>
      </c>
      <c r="I284">
        <v>88000000</v>
      </c>
      <c r="J284" t="s">
        <v>55</v>
      </c>
      <c r="K284">
        <v>36</v>
      </c>
      <c r="L284">
        <v>3164</v>
      </c>
      <c r="M284">
        <v>8</v>
      </c>
      <c r="N284">
        <v>1977</v>
      </c>
      <c r="O284">
        <v>15</v>
      </c>
      <c r="P284">
        <v>0</v>
      </c>
      <c r="Q284">
        <v>0</v>
      </c>
      <c r="R284">
        <v>0</v>
      </c>
      <c r="S284">
        <v>10</v>
      </c>
      <c r="T284">
        <v>133</v>
      </c>
      <c r="U284">
        <v>45</v>
      </c>
      <c r="V284">
        <v>5</v>
      </c>
      <c r="W284">
        <v>6</v>
      </c>
      <c r="X284">
        <v>0</v>
      </c>
      <c r="Y284">
        <v>0</v>
      </c>
      <c r="Z284">
        <v>0</v>
      </c>
      <c r="AA284">
        <v>2</v>
      </c>
      <c r="AB284">
        <v>20</v>
      </c>
      <c r="AC284">
        <v>3</v>
      </c>
      <c r="AD284">
        <v>195</v>
      </c>
      <c r="AE284">
        <v>245</v>
      </c>
      <c r="AF284">
        <v>0</v>
      </c>
      <c r="AG284">
        <v>21</v>
      </c>
      <c r="AH284">
        <v>20</v>
      </c>
      <c r="AI284">
        <v>0</v>
      </c>
      <c r="AJ284">
        <v>45</v>
      </c>
      <c r="AK284">
        <v>0</v>
      </c>
      <c r="AL284">
        <v>0</v>
      </c>
      <c r="AM284">
        <v>20</v>
      </c>
      <c r="AN284">
        <v>21</v>
      </c>
      <c r="AO284">
        <v>35</v>
      </c>
      <c r="AQ284" t="str">
        <f t="shared" si="4"/>
        <v>Midfielder</v>
      </c>
    </row>
    <row r="285" spans="1:43" x14ac:dyDescent="0.35">
      <c r="A285" t="s">
        <v>253</v>
      </c>
      <c r="B285" t="s">
        <v>43</v>
      </c>
      <c r="C285" t="s">
        <v>1152</v>
      </c>
      <c r="D285">
        <v>1992</v>
      </c>
      <c r="E285">
        <v>25</v>
      </c>
      <c r="F285" t="s">
        <v>191</v>
      </c>
      <c r="G285" t="s">
        <v>152</v>
      </c>
      <c r="H285">
        <v>88000000</v>
      </c>
      <c r="I285">
        <v>110000000</v>
      </c>
      <c r="J285" t="s">
        <v>55</v>
      </c>
      <c r="K285">
        <v>37</v>
      </c>
      <c r="L285">
        <v>3226</v>
      </c>
      <c r="M285">
        <v>10</v>
      </c>
      <c r="N285">
        <v>2258</v>
      </c>
      <c r="O285">
        <v>10</v>
      </c>
      <c r="P285">
        <v>0</v>
      </c>
      <c r="Q285">
        <v>0</v>
      </c>
      <c r="R285">
        <v>0</v>
      </c>
      <c r="S285">
        <v>8</v>
      </c>
      <c r="T285">
        <v>97</v>
      </c>
      <c r="U285">
        <v>39</v>
      </c>
      <c r="V285">
        <v>1</v>
      </c>
      <c r="W285">
        <v>3</v>
      </c>
      <c r="X285">
        <v>0</v>
      </c>
      <c r="Y285">
        <v>0</v>
      </c>
      <c r="Z285">
        <v>0</v>
      </c>
      <c r="AA285">
        <v>1</v>
      </c>
      <c r="AB285">
        <v>24</v>
      </c>
      <c r="AC285">
        <v>58</v>
      </c>
      <c r="AD285">
        <v>125</v>
      </c>
      <c r="AE285">
        <v>222</v>
      </c>
      <c r="AF285">
        <v>1</v>
      </c>
      <c r="AG285">
        <v>31</v>
      </c>
      <c r="AH285">
        <v>14</v>
      </c>
      <c r="AI285">
        <v>0</v>
      </c>
      <c r="AJ285">
        <v>51</v>
      </c>
      <c r="AK285">
        <v>0</v>
      </c>
      <c r="AL285">
        <v>0</v>
      </c>
      <c r="AM285">
        <v>17</v>
      </c>
      <c r="AN285">
        <v>18</v>
      </c>
      <c r="AO285">
        <v>27</v>
      </c>
      <c r="AQ285" t="str">
        <f t="shared" si="4"/>
        <v>Midfielder</v>
      </c>
    </row>
    <row r="286" spans="1:43" x14ac:dyDescent="0.35">
      <c r="A286" t="s">
        <v>253</v>
      </c>
      <c r="B286" t="s">
        <v>46</v>
      </c>
      <c r="C286" t="s">
        <v>1153</v>
      </c>
      <c r="D286">
        <v>1992</v>
      </c>
      <c r="E286">
        <v>26</v>
      </c>
      <c r="F286" t="s">
        <v>191</v>
      </c>
      <c r="G286" t="s">
        <v>152</v>
      </c>
      <c r="H286">
        <v>4400000</v>
      </c>
      <c r="I286">
        <v>4400000</v>
      </c>
      <c r="J286" t="s">
        <v>55</v>
      </c>
      <c r="K286">
        <v>35</v>
      </c>
      <c r="L286">
        <v>2771</v>
      </c>
      <c r="M286">
        <v>8</v>
      </c>
      <c r="N286">
        <v>1872</v>
      </c>
      <c r="O286">
        <v>12</v>
      </c>
      <c r="P286">
        <v>3</v>
      </c>
      <c r="Q286">
        <v>0</v>
      </c>
      <c r="R286">
        <v>5</v>
      </c>
      <c r="S286">
        <v>3</v>
      </c>
      <c r="T286">
        <v>83</v>
      </c>
      <c r="U286">
        <v>30</v>
      </c>
      <c r="V286">
        <v>3</v>
      </c>
      <c r="W286">
        <v>3</v>
      </c>
      <c r="X286">
        <v>0</v>
      </c>
      <c r="Y286">
        <v>0</v>
      </c>
      <c r="Z286">
        <v>1</v>
      </c>
      <c r="AA286">
        <v>2</v>
      </c>
      <c r="AB286">
        <v>24</v>
      </c>
      <c r="AC286">
        <v>53</v>
      </c>
      <c r="AD286">
        <v>67</v>
      </c>
      <c r="AE286">
        <v>117</v>
      </c>
      <c r="AF286">
        <v>3</v>
      </c>
      <c r="AG286">
        <v>15</v>
      </c>
      <c r="AH286">
        <v>17</v>
      </c>
      <c r="AI286">
        <v>0</v>
      </c>
      <c r="AJ286">
        <v>41</v>
      </c>
      <c r="AK286">
        <v>0</v>
      </c>
      <c r="AL286">
        <v>0</v>
      </c>
      <c r="AM286">
        <v>7</v>
      </c>
      <c r="AN286">
        <v>13</v>
      </c>
      <c r="AO286">
        <v>34</v>
      </c>
      <c r="AQ286" t="str">
        <f t="shared" si="4"/>
        <v>Midfielder</v>
      </c>
    </row>
    <row r="287" spans="1:43" x14ac:dyDescent="0.35">
      <c r="A287" t="s">
        <v>254</v>
      </c>
      <c r="B287" t="s">
        <v>43</v>
      </c>
      <c r="C287" t="s">
        <v>1154</v>
      </c>
      <c r="D287">
        <v>1986</v>
      </c>
      <c r="E287">
        <v>31</v>
      </c>
      <c r="F287" t="s">
        <v>99</v>
      </c>
      <c r="G287" t="s">
        <v>112</v>
      </c>
      <c r="H287">
        <v>5400000</v>
      </c>
      <c r="I287">
        <v>4500000</v>
      </c>
      <c r="J287" t="s">
        <v>52</v>
      </c>
      <c r="K287">
        <v>25</v>
      </c>
      <c r="L287">
        <v>1918</v>
      </c>
      <c r="M287">
        <v>0</v>
      </c>
      <c r="N287">
        <v>896</v>
      </c>
      <c r="O287">
        <v>1</v>
      </c>
      <c r="P287">
        <v>1</v>
      </c>
      <c r="Q287">
        <v>0</v>
      </c>
      <c r="R287">
        <v>4</v>
      </c>
      <c r="S287">
        <v>1</v>
      </c>
      <c r="T287">
        <v>11</v>
      </c>
      <c r="U287">
        <v>0</v>
      </c>
      <c r="V287">
        <v>0</v>
      </c>
      <c r="W287">
        <v>35</v>
      </c>
      <c r="X287">
        <v>0</v>
      </c>
      <c r="Y287">
        <v>0</v>
      </c>
      <c r="Z287">
        <v>0</v>
      </c>
      <c r="AA287">
        <v>0</v>
      </c>
      <c r="AB287">
        <v>1</v>
      </c>
      <c r="AC287">
        <v>11</v>
      </c>
      <c r="AD287">
        <v>13</v>
      </c>
      <c r="AE287">
        <v>71</v>
      </c>
      <c r="AF287">
        <v>3</v>
      </c>
      <c r="AG287">
        <v>58</v>
      </c>
      <c r="AH287">
        <v>12</v>
      </c>
      <c r="AI287">
        <v>0</v>
      </c>
      <c r="AJ287">
        <v>41</v>
      </c>
      <c r="AK287">
        <v>0</v>
      </c>
      <c r="AL287">
        <v>1</v>
      </c>
      <c r="AM287">
        <v>70</v>
      </c>
      <c r="AN287">
        <v>61</v>
      </c>
      <c r="AO287">
        <v>37</v>
      </c>
      <c r="AQ287" t="str">
        <f t="shared" si="4"/>
        <v>Defensive Forward</v>
      </c>
    </row>
    <row r="288" spans="1:43" x14ac:dyDescent="0.35">
      <c r="A288" t="s">
        <v>254</v>
      </c>
      <c r="B288" t="s">
        <v>39</v>
      </c>
      <c r="C288" t="s">
        <v>1155</v>
      </c>
      <c r="D288">
        <v>1986</v>
      </c>
      <c r="E288">
        <v>29</v>
      </c>
      <c r="F288" t="s">
        <v>99</v>
      </c>
      <c r="G288" t="s">
        <v>112</v>
      </c>
      <c r="H288">
        <v>2700000</v>
      </c>
      <c r="I288">
        <v>5400000</v>
      </c>
      <c r="J288" t="s">
        <v>52</v>
      </c>
      <c r="K288">
        <v>30</v>
      </c>
      <c r="L288">
        <v>2710</v>
      </c>
      <c r="M288">
        <v>0</v>
      </c>
      <c r="N288">
        <v>1180</v>
      </c>
      <c r="O288">
        <v>4</v>
      </c>
      <c r="P288">
        <v>4</v>
      </c>
      <c r="Q288">
        <v>0</v>
      </c>
      <c r="R288">
        <v>2</v>
      </c>
      <c r="S288">
        <v>1</v>
      </c>
      <c r="T288">
        <v>19</v>
      </c>
      <c r="U288">
        <v>8</v>
      </c>
      <c r="V288">
        <v>0</v>
      </c>
      <c r="W288">
        <v>67</v>
      </c>
      <c r="X288">
        <v>0</v>
      </c>
      <c r="Y288">
        <v>0</v>
      </c>
      <c r="Z288">
        <v>0</v>
      </c>
      <c r="AA288">
        <v>0</v>
      </c>
      <c r="AB288">
        <v>4</v>
      </c>
      <c r="AC288">
        <v>0</v>
      </c>
      <c r="AD288">
        <v>67</v>
      </c>
      <c r="AE288">
        <v>127</v>
      </c>
      <c r="AF288">
        <v>11</v>
      </c>
      <c r="AG288">
        <v>98</v>
      </c>
      <c r="AH288">
        <v>33</v>
      </c>
      <c r="AI288">
        <v>0</v>
      </c>
      <c r="AJ288">
        <v>99</v>
      </c>
      <c r="AK288">
        <v>0</v>
      </c>
      <c r="AL288">
        <v>0</v>
      </c>
      <c r="AM288">
        <v>122</v>
      </c>
      <c r="AN288">
        <v>49</v>
      </c>
      <c r="AO288">
        <v>34</v>
      </c>
      <c r="AQ288" t="str">
        <f t="shared" si="4"/>
        <v>Defensive Forward</v>
      </c>
    </row>
    <row r="289" spans="1:43" x14ac:dyDescent="0.35">
      <c r="A289" t="s">
        <v>254</v>
      </c>
      <c r="B289" t="s">
        <v>47</v>
      </c>
      <c r="C289" t="s">
        <v>1156</v>
      </c>
      <c r="D289">
        <v>1986</v>
      </c>
      <c r="E289">
        <v>30</v>
      </c>
      <c r="F289" t="s">
        <v>99</v>
      </c>
      <c r="G289" t="s">
        <v>112</v>
      </c>
      <c r="H289">
        <v>5400000</v>
      </c>
      <c r="I289">
        <v>5400000</v>
      </c>
      <c r="J289" t="s">
        <v>52</v>
      </c>
      <c r="K289">
        <v>36</v>
      </c>
      <c r="L289">
        <v>3103</v>
      </c>
      <c r="M289">
        <v>2</v>
      </c>
      <c r="N289">
        <v>1294</v>
      </c>
      <c r="O289">
        <v>4</v>
      </c>
      <c r="P289">
        <v>10</v>
      </c>
      <c r="Q289">
        <v>0</v>
      </c>
      <c r="R289">
        <v>1</v>
      </c>
      <c r="S289">
        <v>2</v>
      </c>
      <c r="T289">
        <v>21</v>
      </c>
      <c r="U289">
        <v>6</v>
      </c>
      <c r="V289">
        <v>1</v>
      </c>
      <c r="W289">
        <v>95</v>
      </c>
      <c r="X289">
        <v>0</v>
      </c>
      <c r="Y289">
        <v>0</v>
      </c>
      <c r="Z289">
        <v>0</v>
      </c>
      <c r="AA289">
        <v>1</v>
      </c>
      <c r="AB289">
        <v>0</v>
      </c>
      <c r="AC289">
        <v>1</v>
      </c>
      <c r="AD289">
        <v>21</v>
      </c>
      <c r="AE289">
        <v>96</v>
      </c>
      <c r="AF289">
        <v>13</v>
      </c>
      <c r="AG289">
        <v>71</v>
      </c>
      <c r="AH289">
        <v>29</v>
      </c>
      <c r="AI289">
        <v>1</v>
      </c>
      <c r="AJ289">
        <v>97</v>
      </c>
      <c r="AK289">
        <v>0</v>
      </c>
      <c r="AL289">
        <v>0</v>
      </c>
      <c r="AM289">
        <v>143</v>
      </c>
      <c r="AN289">
        <v>69</v>
      </c>
      <c r="AO289">
        <v>61</v>
      </c>
      <c r="AQ289" t="str">
        <f t="shared" si="4"/>
        <v>Defensive Forward</v>
      </c>
    </row>
    <row r="290" spans="1:43" x14ac:dyDescent="0.35">
      <c r="A290" t="s">
        <v>255</v>
      </c>
      <c r="B290" t="s">
        <v>43</v>
      </c>
      <c r="C290" t="s">
        <v>1157</v>
      </c>
      <c r="D290">
        <v>1991</v>
      </c>
      <c r="E290">
        <v>26</v>
      </c>
      <c r="F290" t="s">
        <v>66</v>
      </c>
      <c r="G290" t="s">
        <v>95</v>
      </c>
      <c r="H290">
        <v>4950000</v>
      </c>
      <c r="I290">
        <v>6300000</v>
      </c>
      <c r="J290" t="s">
        <v>52</v>
      </c>
      <c r="K290">
        <v>28</v>
      </c>
      <c r="L290">
        <v>2332</v>
      </c>
      <c r="M290">
        <v>2</v>
      </c>
      <c r="N290">
        <v>903</v>
      </c>
      <c r="O290">
        <v>0</v>
      </c>
      <c r="P290">
        <v>5</v>
      </c>
      <c r="Q290">
        <v>0</v>
      </c>
      <c r="R290">
        <v>1</v>
      </c>
      <c r="S290">
        <v>3</v>
      </c>
      <c r="T290">
        <v>10</v>
      </c>
      <c r="U290">
        <v>5</v>
      </c>
      <c r="V290">
        <v>0</v>
      </c>
      <c r="W290">
        <v>99</v>
      </c>
      <c r="X290">
        <v>2</v>
      </c>
      <c r="Y290">
        <v>0</v>
      </c>
      <c r="Z290">
        <v>0</v>
      </c>
      <c r="AA290">
        <v>0</v>
      </c>
      <c r="AB290">
        <v>0</v>
      </c>
      <c r="AC290">
        <v>5</v>
      </c>
      <c r="AD290">
        <v>0</v>
      </c>
      <c r="AE290">
        <v>1</v>
      </c>
      <c r="AF290">
        <v>23</v>
      </c>
      <c r="AG290">
        <v>34</v>
      </c>
      <c r="AH290">
        <v>31</v>
      </c>
      <c r="AI290">
        <v>1</v>
      </c>
      <c r="AJ290">
        <v>42</v>
      </c>
      <c r="AK290">
        <v>0</v>
      </c>
      <c r="AL290">
        <v>1</v>
      </c>
      <c r="AM290">
        <v>173</v>
      </c>
      <c r="AN290">
        <v>103</v>
      </c>
      <c r="AO290">
        <v>46</v>
      </c>
      <c r="AQ290" t="str">
        <f t="shared" si="4"/>
        <v>Defensive Forward</v>
      </c>
    </row>
    <row r="291" spans="1:43" x14ac:dyDescent="0.35">
      <c r="A291" t="s">
        <v>255</v>
      </c>
      <c r="B291" t="s">
        <v>46</v>
      </c>
      <c r="C291" t="s">
        <v>1158</v>
      </c>
      <c r="D291">
        <v>1991</v>
      </c>
      <c r="E291">
        <v>27</v>
      </c>
      <c r="F291" t="s">
        <v>66</v>
      </c>
      <c r="G291" t="s">
        <v>95</v>
      </c>
      <c r="H291">
        <v>6300000</v>
      </c>
      <c r="I291">
        <v>7200000</v>
      </c>
      <c r="J291" t="s">
        <v>52</v>
      </c>
      <c r="K291">
        <v>21</v>
      </c>
      <c r="L291">
        <v>1587</v>
      </c>
      <c r="M291">
        <v>0</v>
      </c>
      <c r="N291">
        <v>550</v>
      </c>
      <c r="O291">
        <v>0</v>
      </c>
      <c r="P291">
        <v>2</v>
      </c>
      <c r="Q291">
        <v>1</v>
      </c>
      <c r="R291">
        <v>2</v>
      </c>
      <c r="S291">
        <v>2</v>
      </c>
      <c r="T291">
        <v>8</v>
      </c>
      <c r="U291">
        <v>2</v>
      </c>
      <c r="V291">
        <v>0</v>
      </c>
      <c r="W291">
        <v>55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6</v>
      </c>
      <c r="AD291">
        <v>0</v>
      </c>
      <c r="AE291">
        <v>1</v>
      </c>
      <c r="AF291">
        <v>16</v>
      </c>
      <c r="AG291">
        <v>38</v>
      </c>
      <c r="AH291">
        <v>22</v>
      </c>
      <c r="AI291">
        <v>1</v>
      </c>
      <c r="AJ291">
        <v>25</v>
      </c>
      <c r="AK291">
        <v>0</v>
      </c>
      <c r="AL291">
        <v>0</v>
      </c>
      <c r="AM291">
        <v>106</v>
      </c>
      <c r="AN291">
        <v>60</v>
      </c>
      <c r="AO291">
        <v>46</v>
      </c>
      <c r="AQ291" t="str">
        <f t="shared" si="4"/>
        <v>Defensive Forward</v>
      </c>
    </row>
    <row r="292" spans="1:43" x14ac:dyDescent="0.35">
      <c r="A292" t="s">
        <v>255</v>
      </c>
      <c r="B292" t="s">
        <v>47</v>
      </c>
      <c r="C292" t="s">
        <v>1159</v>
      </c>
      <c r="D292">
        <v>1991</v>
      </c>
      <c r="E292">
        <v>25</v>
      </c>
      <c r="F292" t="s">
        <v>66</v>
      </c>
      <c r="G292" t="s">
        <v>95</v>
      </c>
      <c r="H292">
        <v>5400000</v>
      </c>
      <c r="I292">
        <v>4950000</v>
      </c>
      <c r="J292" t="s">
        <v>52</v>
      </c>
      <c r="K292">
        <v>16</v>
      </c>
      <c r="L292">
        <v>767</v>
      </c>
      <c r="M292">
        <v>2</v>
      </c>
      <c r="N292">
        <v>238</v>
      </c>
      <c r="O292">
        <v>0</v>
      </c>
      <c r="P292">
        <v>1</v>
      </c>
      <c r="Q292">
        <v>0</v>
      </c>
      <c r="R292">
        <v>9</v>
      </c>
      <c r="S292">
        <v>4</v>
      </c>
      <c r="T292">
        <v>7</v>
      </c>
      <c r="U292">
        <v>3</v>
      </c>
      <c r="V292">
        <v>0</v>
      </c>
      <c r="W292">
        <v>29</v>
      </c>
      <c r="X292">
        <v>1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10</v>
      </c>
      <c r="AF292">
        <v>2</v>
      </c>
      <c r="AG292">
        <v>17</v>
      </c>
      <c r="AH292">
        <v>13</v>
      </c>
      <c r="AI292">
        <v>0</v>
      </c>
      <c r="AJ292">
        <v>15</v>
      </c>
      <c r="AK292">
        <v>0</v>
      </c>
      <c r="AL292">
        <v>0</v>
      </c>
      <c r="AM292">
        <v>40</v>
      </c>
      <c r="AN292">
        <v>18</v>
      </c>
      <c r="AO292">
        <v>19</v>
      </c>
      <c r="AQ292" t="str">
        <f t="shared" si="4"/>
        <v>Defensive Forward</v>
      </c>
    </row>
    <row r="293" spans="1:43" x14ac:dyDescent="0.35">
      <c r="A293" t="s">
        <v>256</v>
      </c>
      <c r="B293" t="s">
        <v>43</v>
      </c>
      <c r="C293" t="s">
        <v>1160</v>
      </c>
      <c r="D293">
        <v>1990</v>
      </c>
      <c r="E293">
        <v>27</v>
      </c>
      <c r="F293" t="s">
        <v>58</v>
      </c>
      <c r="G293" t="s">
        <v>146</v>
      </c>
      <c r="H293">
        <v>1800000</v>
      </c>
      <c r="I293">
        <v>5400000</v>
      </c>
      <c r="J293" t="s">
        <v>52</v>
      </c>
      <c r="K293">
        <v>37</v>
      </c>
      <c r="L293">
        <v>3266</v>
      </c>
      <c r="M293">
        <v>0</v>
      </c>
      <c r="N293">
        <v>1389</v>
      </c>
      <c r="O293">
        <v>1</v>
      </c>
      <c r="P293">
        <v>6</v>
      </c>
      <c r="Q293">
        <v>1</v>
      </c>
      <c r="R293">
        <v>0</v>
      </c>
      <c r="S293">
        <v>1</v>
      </c>
      <c r="T293">
        <v>10</v>
      </c>
      <c r="U293">
        <v>0</v>
      </c>
      <c r="V293">
        <v>1</v>
      </c>
      <c r="W293">
        <v>143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10</v>
      </c>
      <c r="AD293">
        <v>0</v>
      </c>
      <c r="AE293">
        <v>4</v>
      </c>
      <c r="AF293">
        <v>30</v>
      </c>
      <c r="AG293">
        <v>75</v>
      </c>
      <c r="AH293">
        <v>30</v>
      </c>
      <c r="AI293">
        <v>2</v>
      </c>
      <c r="AJ293">
        <v>83</v>
      </c>
      <c r="AK293">
        <v>0</v>
      </c>
      <c r="AL293">
        <v>0</v>
      </c>
      <c r="AM293">
        <v>265</v>
      </c>
      <c r="AN293">
        <v>155</v>
      </c>
      <c r="AO293">
        <v>95</v>
      </c>
      <c r="AQ293" t="str">
        <f t="shared" si="4"/>
        <v>Defensive Forward</v>
      </c>
    </row>
    <row r="294" spans="1:43" x14ac:dyDescent="0.35">
      <c r="A294" t="s">
        <v>256</v>
      </c>
      <c r="B294" t="s">
        <v>46</v>
      </c>
      <c r="C294" t="s">
        <v>1161</v>
      </c>
      <c r="D294">
        <v>1990</v>
      </c>
      <c r="E294">
        <v>28</v>
      </c>
      <c r="F294" t="s">
        <v>58</v>
      </c>
      <c r="G294" t="s">
        <v>146</v>
      </c>
      <c r="H294">
        <v>5400000</v>
      </c>
      <c r="I294">
        <v>6300000</v>
      </c>
      <c r="J294" t="s">
        <v>52</v>
      </c>
      <c r="K294">
        <v>37</v>
      </c>
      <c r="L294">
        <v>3262</v>
      </c>
      <c r="M294">
        <v>1</v>
      </c>
      <c r="N294">
        <v>1551</v>
      </c>
      <c r="O294">
        <v>0</v>
      </c>
      <c r="P294">
        <v>4</v>
      </c>
      <c r="Q294">
        <v>1</v>
      </c>
      <c r="R294">
        <v>0</v>
      </c>
      <c r="S294">
        <v>1</v>
      </c>
      <c r="T294">
        <v>13</v>
      </c>
      <c r="U294">
        <v>3</v>
      </c>
      <c r="V294">
        <v>0</v>
      </c>
      <c r="W294">
        <v>61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10</v>
      </c>
      <c r="AD294">
        <v>0</v>
      </c>
      <c r="AE294">
        <v>0</v>
      </c>
      <c r="AF294">
        <v>34</v>
      </c>
      <c r="AG294">
        <v>70</v>
      </c>
      <c r="AH294">
        <v>26</v>
      </c>
      <c r="AI294">
        <v>0</v>
      </c>
      <c r="AJ294">
        <v>61</v>
      </c>
      <c r="AK294">
        <v>1</v>
      </c>
      <c r="AL294">
        <v>0</v>
      </c>
      <c r="AM294">
        <v>134</v>
      </c>
      <c r="AN294">
        <v>137</v>
      </c>
      <c r="AO294">
        <v>109</v>
      </c>
      <c r="AQ294" t="str">
        <f t="shared" si="4"/>
        <v>Defensive Forward</v>
      </c>
    </row>
    <row r="295" spans="1:43" x14ac:dyDescent="0.35">
      <c r="A295" t="s">
        <v>257</v>
      </c>
      <c r="B295" t="s">
        <v>39</v>
      </c>
      <c r="C295" t="s">
        <v>1162</v>
      </c>
      <c r="D295">
        <v>1988</v>
      </c>
      <c r="E295">
        <v>27</v>
      </c>
      <c r="F295" t="s">
        <v>64</v>
      </c>
      <c r="G295" t="s">
        <v>258</v>
      </c>
      <c r="H295">
        <v>1000000</v>
      </c>
      <c r="I295">
        <v>1350000</v>
      </c>
      <c r="J295" t="s">
        <v>42</v>
      </c>
      <c r="K295">
        <v>13</v>
      </c>
      <c r="L295">
        <v>385</v>
      </c>
      <c r="M295">
        <v>1</v>
      </c>
      <c r="N295">
        <v>177</v>
      </c>
      <c r="O295">
        <v>0</v>
      </c>
      <c r="P295">
        <v>0</v>
      </c>
      <c r="Q295">
        <v>0</v>
      </c>
      <c r="R295">
        <v>9</v>
      </c>
      <c r="S295">
        <v>4</v>
      </c>
      <c r="T295">
        <v>5</v>
      </c>
      <c r="U295">
        <v>0</v>
      </c>
      <c r="V295">
        <v>0</v>
      </c>
      <c r="W295">
        <v>1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8</v>
      </c>
      <c r="AE295">
        <v>18</v>
      </c>
      <c r="AF295">
        <v>0</v>
      </c>
      <c r="AG295">
        <v>6</v>
      </c>
      <c r="AH295">
        <v>4</v>
      </c>
      <c r="AI295">
        <v>0</v>
      </c>
      <c r="AJ295">
        <v>15</v>
      </c>
      <c r="AK295">
        <v>0</v>
      </c>
      <c r="AL295">
        <v>0</v>
      </c>
      <c r="AM295">
        <v>3</v>
      </c>
      <c r="AN295">
        <v>5</v>
      </c>
      <c r="AO295">
        <v>8</v>
      </c>
      <c r="AQ295" t="str">
        <f t="shared" si="4"/>
        <v>Forward</v>
      </c>
    </row>
    <row r="296" spans="1:43" x14ac:dyDescent="0.35">
      <c r="A296" t="s">
        <v>257</v>
      </c>
      <c r="B296" t="s">
        <v>47</v>
      </c>
      <c r="C296" t="s">
        <v>1163</v>
      </c>
      <c r="D296">
        <v>1988</v>
      </c>
      <c r="E296">
        <v>28</v>
      </c>
      <c r="F296" t="s">
        <v>64</v>
      </c>
      <c r="G296" t="s">
        <v>258</v>
      </c>
      <c r="H296">
        <v>1350000</v>
      </c>
      <c r="I296">
        <v>1350000</v>
      </c>
      <c r="J296" t="s">
        <v>42</v>
      </c>
      <c r="K296">
        <v>15</v>
      </c>
      <c r="L296">
        <v>466</v>
      </c>
      <c r="M296">
        <v>0</v>
      </c>
      <c r="N296">
        <v>199</v>
      </c>
      <c r="O296">
        <v>1</v>
      </c>
      <c r="P296">
        <v>0</v>
      </c>
      <c r="Q296">
        <v>0</v>
      </c>
      <c r="R296">
        <v>11</v>
      </c>
      <c r="S296">
        <v>4</v>
      </c>
      <c r="T296">
        <v>4</v>
      </c>
      <c r="U296">
        <v>2</v>
      </c>
      <c r="V296">
        <v>0</v>
      </c>
      <c r="W296">
        <v>1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3</v>
      </c>
      <c r="AE296">
        <v>14</v>
      </c>
      <c r="AF296">
        <v>0</v>
      </c>
      <c r="AG296">
        <v>4</v>
      </c>
      <c r="AH296">
        <v>5</v>
      </c>
      <c r="AI296">
        <v>0</v>
      </c>
      <c r="AJ296">
        <v>15</v>
      </c>
      <c r="AK296">
        <v>0</v>
      </c>
      <c r="AL296">
        <v>0</v>
      </c>
      <c r="AM296">
        <v>2</v>
      </c>
      <c r="AN296">
        <v>5</v>
      </c>
      <c r="AO296">
        <v>10</v>
      </c>
      <c r="AQ296" t="str">
        <f t="shared" si="4"/>
        <v>Forward</v>
      </c>
    </row>
    <row r="297" spans="1:43" x14ac:dyDescent="0.35">
      <c r="A297" t="s">
        <v>259</v>
      </c>
      <c r="B297" t="s">
        <v>46</v>
      </c>
      <c r="C297" t="s">
        <v>1164</v>
      </c>
      <c r="D297">
        <v>1989</v>
      </c>
      <c r="E297">
        <v>28</v>
      </c>
      <c r="F297" t="s">
        <v>117</v>
      </c>
      <c r="G297" t="s">
        <v>260</v>
      </c>
      <c r="H297">
        <v>5400000</v>
      </c>
      <c r="I297">
        <v>5400000</v>
      </c>
      <c r="J297" t="s">
        <v>52</v>
      </c>
      <c r="K297">
        <v>11</v>
      </c>
      <c r="L297">
        <v>858</v>
      </c>
      <c r="M297">
        <v>3</v>
      </c>
      <c r="N297">
        <v>304</v>
      </c>
      <c r="O297">
        <v>0</v>
      </c>
      <c r="P297">
        <v>1</v>
      </c>
      <c r="Q297">
        <v>0</v>
      </c>
      <c r="R297">
        <v>2</v>
      </c>
      <c r="S297">
        <v>1</v>
      </c>
      <c r="T297">
        <v>7</v>
      </c>
      <c r="U297">
        <v>3</v>
      </c>
      <c r="V297">
        <v>0</v>
      </c>
      <c r="W297">
        <v>33</v>
      </c>
      <c r="X297">
        <v>3</v>
      </c>
      <c r="Y297">
        <v>0</v>
      </c>
      <c r="Z297">
        <v>0</v>
      </c>
      <c r="AA297">
        <v>0</v>
      </c>
      <c r="AB297">
        <v>0</v>
      </c>
      <c r="AC297">
        <v>4</v>
      </c>
      <c r="AD297">
        <v>0</v>
      </c>
      <c r="AE297">
        <v>3</v>
      </c>
      <c r="AF297">
        <v>7</v>
      </c>
      <c r="AG297">
        <v>12</v>
      </c>
      <c r="AH297">
        <v>6</v>
      </c>
      <c r="AI297">
        <v>0</v>
      </c>
      <c r="AJ297">
        <v>20</v>
      </c>
      <c r="AK297">
        <v>0</v>
      </c>
      <c r="AL297">
        <v>0</v>
      </c>
      <c r="AM297">
        <v>57</v>
      </c>
      <c r="AN297">
        <v>43</v>
      </c>
      <c r="AO297">
        <v>23</v>
      </c>
      <c r="AQ297" t="str">
        <f t="shared" si="4"/>
        <v>Defensive Forward</v>
      </c>
    </row>
    <row r="298" spans="1:43" x14ac:dyDescent="0.35">
      <c r="A298" t="s">
        <v>259</v>
      </c>
      <c r="B298" t="s">
        <v>39</v>
      </c>
      <c r="C298" t="s">
        <v>1165</v>
      </c>
      <c r="D298">
        <v>1989</v>
      </c>
      <c r="E298">
        <v>25</v>
      </c>
      <c r="F298" t="s">
        <v>89</v>
      </c>
      <c r="G298" t="s">
        <v>260</v>
      </c>
      <c r="H298">
        <v>4500000</v>
      </c>
      <c r="I298">
        <v>4050000</v>
      </c>
      <c r="J298" t="s">
        <v>52</v>
      </c>
      <c r="K298">
        <v>18</v>
      </c>
      <c r="L298">
        <v>1442</v>
      </c>
      <c r="M298">
        <v>1</v>
      </c>
      <c r="N298">
        <v>559</v>
      </c>
      <c r="O298">
        <v>0</v>
      </c>
      <c r="P298">
        <v>6</v>
      </c>
      <c r="Q298">
        <v>0</v>
      </c>
      <c r="R298">
        <v>2</v>
      </c>
      <c r="S298">
        <v>0</v>
      </c>
      <c r="T298">
        <v>10</v>
      </c>
      <c r="U298">
        <v>2</v>
      </c>
      <c r="V298">
        <v>0</v>
      </c>
      <c r="W298">
        <v>70</v>
      </c>
      <c r="X298">
        <v>1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0</v>
      </c>
      <c r="AE298">
        <v>1</v>
      </c>
      <c r="AF298">
        <v>13</v>
      </c>
      <c r="AG298">
        <v>47</v>
      </c>
      <c r="AH298">
        <v>14</v>
      </c>
      <c r="AI298">
        <v>0</v>
      </c>
      <c r="AJ298">
        <v>24</v>
      </c>
      <c r="AK298">
        <v>2</v>
      </c>
      <c r="AL298">
        <v>0</v>
      </c>
      <c r="AM298">
        <v>127</v>
      </c>
      <c r="AN298">
        <v>50</v>
      </c>
      <c r="AO298">
        <v>30</v>
      </c>
      <c r="AQ298" t="str">
        <f t="shared" si="4"/>
        <v>Defensive Forward</v>
      </c>
    </row>
    <row r="299" spans="1:43" x14ac:dyDescent="0.35">
      <c r="A299" t="s">
        <v>259</v>
      </c>
      <c r="B299" t="s">
        <v>43</v>
      </c>
      <c r="C299" t="s">
        <v>1166</v>
      </c>
      <c r="D299">
        <v>1989</v>
      </c>
      <c r="E299">
        <v>28</v>
      </c>
      <c r="F299" t="s">
        <v>117</v>
      </c>
      <c r="G299" t="s">
        <v>260</v>
      </c>
      <c r="H299">
        <v>4500000</v>
      </c>
      <c r="I299">
        <v>5400000</v>
      </c>
      <c r="J299" t="s">
        <v>52</v>
      </c>
      <c r="K299">
        <v>20</v>
      </c>
      <c r="L299">
        <v>1745</v>
      </c>
      <c r="M299">
        <v>2</v>
      </c>
      <c r="N299">
        <v>699</v>
      </c>
      <c r="O299">
        <v>1</v>
      </c>
      <c r="P299">
        <v>3</v>
      </c>
      <c r="Q299">
        <v>0</v>
      </c>
      <c r="R299">
        <v>1</v>
      </c>
      <c r="S299">
        <v>0</v>
      </c>
      <c r="T299">
        <v>11</v>
      </c>
      <c r="U299">
        <v>3</v>
      </c>
      <c r="V299">
        <v>0</v>
      </c>
      <c r="W299">
        <v>65</v>
      </c>
      <c r="X299">
        <v>2</v>
      </c>
      <c r="Y299">
        <v>0</v>
      </c>
      <c r="Z299">
        <v>0</v>
      </c>
      <c r="AA299">
        <v>0</v>
      </c>
      <c r="AB299">
        <v>1</v>
      </c>
      <c r="AC299">
        <v>8</v>
      </c>
      <c r="AD299">
        <v>0</v>
      </c>
      <c r="AE299">
        <v>2</v>
      </c>
      <c r="AF299">
        <v>10</v>
      </c>
      <c r="AG299">
        <v>17</v>
      </c>
      <c r="AH299">
        <v>17</v>
      </c>
      <c r="AI299">
        <v>0</v>
      </c>
      <c r="AJ299">
        <v>25</v>
      </c>
      <c r="AK299">
        <v>0</v>
      </c>
      <c r="AL299">
        <v>0</v>
      </c>
      <c r="AM299">
        <v>140</v>
      </c>
      <c r="AN299">
        <v>41</v>
      </c>
      <c r="AO299">
        <v>37</v>
      </c>
      <c r="AQ299" t="str">
        <f t="shared" si="4"/>
        <v>Defensive Forward</v>
      </c>
    </row>
    <row r="300" spans="1:43" x14ac:dyDescent="0.35">
      <c r="A300" t="s">
        <v>261</v>
      </c>
      <c r="B300" t="s">
        <v>39</v>
      </c>
      <c r="C300" t="s">
        <v>1167</v>
      </c>
      <c r="D300">
        <v>1987</v>
      </c>
      <c r="E300">
        <v>28</v>
      </c>
      <c r="F300" t="s">
        <v>103</v>
      </c>
      <c r="G300" t="s">
        <v>262</v>
      </c>
      <c r="H300">
        <v>4400000</v>
      </c>
      <c r="I300">
        <v>4400000</v>
      </c>
      <c r="J300" t="s">
        <v>55</v>
      </c>
      <c r="K300">
        <v>34</v>
      </c>
      <c r="L300">
        <v>2854</v>
      </c>
      <c r="M300">
        <v>0</v>
      </c>
      <c r="N300">
        <v>1092</v>
      </c>
      <c r="O300">
        <v>0</v>
      </c>
      <c r="P300">
        <v>8</v>
      </c>
      <c r="Q300">
        <v>0</v>
      </c>
      <c r="R300">
        <v>0</v>
      </c>
      <c r="S300">
        <v>8</v>
      </c>
      <c r="T300">
        <v>9</v>
      </c>
      <c r="U300">
        <v>0</v>
      </c>
      <c r="V300">
        <v>0</v>
      </c>
      <c r="W300">
        <v>35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8</v>
      </c>
      <c r="AF300">
        <v>15</v>
      </c>
      <c r="AG300">
        <v>118</v>
      </c>
      <c r="AH300">
        <v>62</v>
      </c>
      <c r="AI300">
        <v>0</v>
      </c>
      <c r="AJ300">
        <v>108</v>
      </c>
      <c r="AK300">
        <v>0</v>
      </c>
      <c r="AL300">
        <v>0</v>
      </c>
      <c r="AM300">
        <v>66</v>
      </c>
      <c r="AN300">
        <v>47</v>
      </c>
      <c r="AO300">
        <v>39</v>
      </c>
      <c r="AQ300" t="str">
        <f t="shared" si="4"/>
        <v>Midfielder</v>
      </c>
    </row>
    <row r="301" spans="1:43" x14ac:dyDescent="0.35">
      <c r="A301" t="s">
        <v>261</v>
      </c>
      <c r="B301" t="s">
        <v>47</v>
      </c>
      <c r="C301" t="s">
        <v>1168</v>
      </c>
      <c r="D301">
        <v>1987</v>
      </c>
      <c r="E301">
        <v>29</v>
      </c>
      <c r="F301" t="s">
        <v>103</v>
      </c>
      <c r="G301" t="s">
        <v>262</v>
      </c>
      <c r="H301">
        <v>4400000</v>
      </c>
      <c r="I301">
        <v>3850000</v>
      </c>
      <c r="J301" t="s">
        <v>55</v>
      </c>
      <c r="K301">
        <v>33</v>
      </c>
      <c r="L301">
        <v>2417</v>
      </c>
      <c r="M301">
        <v>0</v>
      </c>
      <c r="N301">
        <v>933</v>
      </c>
      <c r="O301">
        <v>0</v>
      </c>
      <c r="P301">
        <v>9</v>
      </c>
      <c r="Q301">
        <v>0</v>
      </c>
      <c r="R301">
        <v>6</v>
      </c>
      <c r="S301">
        <v>6</v>
      </c>
      <c r="T301">
        <v>9</v>
      </c>
      <c r="U301">
        <v>0</v>
      </c>
      <c r="V301">
        <v>0</v>
      </c>
      <c r="W301">
        <v>32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2</v>
      </c>
      <c r="AF301">
        <v>18</v>
      </c>
      <c r="AG301">
        <v>54</v>
      </c>
      <c r="AH301">
        <v>39</v>
      </c>
      <c r="AI301">
        <v>0</v>
      </c>
      <c r="AJ301">
        <v>94</v>
      </c>
      <c r="AK301">
        <v>0</v>
      </c>
      <c r="AL301">
        <v>0</v>
      </c>
      <c r="AM301">
        <v>58</v>
      </c>
      <c r="AN301">
        <v>46</v>
      </c>
      <c r="AO301">
        <v>30</v>
      </c>
      <c r="AQ301" t="str">
        <f t="shared" si="4"/>
        <v>Midfielder</v>
      </c>
    </row>
    <row r="302" spans="1:43" x14ac:dyDescent="0.35">
      <c r="A302" t="s">
        <v>261</v>
      </c>
      <c r="B302" t="s">
        <v>43</v>
      </c>
      <c r="C302" t="s">
        <v>1169</v>
      </c>
      <c r="D302">
        <v>1987</v>
      </c>
      <c r="E302">
        <v>30</v>
      </c>
      <c r="F302" t="s">
        <v>103</v>
      </c>
      <c r="G302" t="s">
        <v>262</v>
      </c>
      <c r="H302">
        <v>3000000</v>
      </c>
      <c r="I302">
        <v>3500000</v>
      </c>
      <c r="J302" t="s">
        <v>55</v>
      </c>
      <c r="K302">
        <v>16</v>
      </c>
      <c r="L302">
        <v>900</v>
      </c>
      <c r="M302">
        <v>0</v>
      </c>
      <c r="N302">
        <v>374</v>
      </c>
      <c r="O302">
        <v>0</v>
      </c>
      <c r="P302">
        <v>5</v>
      </c>
      <c r="Q302">
        <v>0</v>
      </c>
      <c r="R302">
        <v>7</v>
      </c>
      <c r="S302">
        <v>3</v>
      </c>
      <c r="T302">
        <v>1</v>
      </c>
      <c r="U302">
        <v>1</v>
      </c>
      <c r="V302">
        <v>0</v>
      </c>
      <c r="W302">
        <v>12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6</v>
      </c>
      <c r="AG302">
        <v>16</v>
      </c>
      <c r="AH302">
        <v>25</v>
      </c>
      <c r="AI302">
        <v>0</v>
      </c>
      <c r="AJ302">
        <v>36</v>
      </c>
      <c r="AK302">
        <v>0</v>
      </c>
      <c r="AL302">
        <v>0</v>
      </c>
      <c r="AM302">
        <v>25</v>
      </c>
      <c r="AN302">
        <v>18</v>
      </c>
      <c r="AO302">
        <v>28</v>
      </c>
      <c r="AQ302" t="str">
        <f t="shared" si="4"/>
        <v>Midfielder</v>
      </c>
    </row>
    <row r="303" spans="1:43" x14ac:dyDescent="0.35">
      <c r="A303" t="s">
        <v>263</v>
      </c>
      <c r="B303" t="s">
        <v>43</v>
      </c>
      <c r="C303" t="s">
        <v>1170</v>
      </c>
      <c r="D303">
        <v>1991</v>
      </c>
      <c r="E303">
        <v>26</v>
      </c>
      <c r="F303" t="s">
        <v>58</v>
      </c>
      <c r="G303" t="s">
        <v>146</v>
      </c>
      <c r="H303">
        <v>1100000</v>
      </c>
      <c r="I303">
        <v>1350000</v>
      </c>
      <c r="J303" t="s">
        <v>42</v>
      </c>
      <c r="K303">
        <v>26</v>
      </c>
      <c r="L303">
        <v>1272</v>
      </c>
      <c r="M303">
        <v>0</v>
      </c>
      <c r="N303">
        <v>422</v>
      </c>
      <c r="O303">
        <v>4</v>
      </c>
      <c r="P303">
        <v>4</v>
      </c>
      <c r="Q303">
        <v>0</v>
      </c>
      <c r="R303">
        <v>13</v>
      </c>
      <c r="S303">
        <v>5</v>
      </c>
      <c r="T303">
        <v>16</v>
      </c>
      <c r="U303">
        <v>4</v>
      </c>
      <c r="V303">
        <v>0</v>
      </c>
      <c r="W303">
        <v>2</v>
      </c>
      <c r="X303">
        <v>0</v>
      </c>
      <c r="Y303">
        <v>0</v>
      </c>
      <c r="Z303">
        <v>0</v>
      </c>
      <c r="AA303">
        <v>3</v>
      </c>
      <c r="AB303">
        <v>0</v>
      </c>
      <c r="AC303">
        <v>12</v>
      </c>
      <c r="AD303">
        <v>1</v>
      </c>
      <c r="AE303">
        <v>22</v>
      </c>
      <c r="AF303">
        <v>4</v>
      </c>
      <c r="AG303">
        <v>11</v>
      </c>
      <c r="AH303">
        <v>14</v>
      </c>
      <c r="AI303">
        <v>0</v>
      </c>
      <c r="AJ303">
        <v>22</v>
      </c>
      <c r="AK303">
        <v>0</v>
      </c>
      <c r="AL303">
        <v>0</v>
      </c>
      <c r="AM303">
        <v>13</v>
      </c>
      <c r="AN303">
        <v>15</v>
      </c>
      <c r="AO303">
        <v>26</v>
      </c>
      <c r="AQ303" t="str">
        <f t="shared" si="4"/>
        <v>Forward</v>
      </c>
    </row>
    <row r="304" spans="1:43" x14ac:dyDescent="0.35">
      <c r="A304" t="s">
        <v>264</v>
      </c>
      <c r="B304" t="s">
        <v>39</v>
      </c>
      <c r="C304" t="s">
        <v>1171</v>
      </c>
      <c r="D304">
        <v>1993</v>
      </c>
      <c r="E304">
        <v>22</v>
      </c>
      <c r="F304" t="s">
        <v>64</v>
      </c>
      <c r="G304" t="s">
        <v>51</v>
      </c>
      <c r="H304">
        <v>4500000</v>
      </c>
      <c r="I304">
        <v>5400000</v>
      </c>
      <c r="J304" t="s">
        <v>42</v>
      </c>
      <c r="K304">
        <v>21</v>
      </c>
      <c r="L304">
        <v>1324</v>
      </c>
      <c r="M304">
        <v>5</v>
      </c>
      <c r="N304">
        <v>387</v>
      </c>
      <c r="O304">
        <v>3</v>
      </c>
      <c r="P304">
        <v>1</v>
      </c>
      <c r="Q304">
        <v>0</v>
      </c>
      <c r="R304">
        <v>6</v>
      </c>
      <c r="S304">
        <v>10</v>
      </c>
      <c r="T304">
        <v>34</v>
      </c>
      <c r="U304">
        <v>9</v>
      </c>
      <c r="V304">
        <v>2</v>
      </c>
      <c r="W304">
        <v>15</v>
      </c>
      <c r="X304">
        <v>0</v>
      </c>
      <c r="Y304">
        <v>1</v>
      </c>
      <c r="Z304">
        <v>0</v>
      </c>
      <c r="AA304">
        <v>2</v>
      </c>
      <c r="AB304">
        <v>0</v>
      </c>
      <c r="AC304">
        <v>4</v>
      </c>
      <c r="AD304">
        <v>0</v>
      </c>
      <c r="AE304">
        <v>11</v>
      </c>
      <c r="AF304">
        <v>3</v>
      </c>
      <c r="AG304">
        <v>4</v>
      </c>
      <c r="AH304">
        <v>32</v>
      </c>
      <c r="AI304">
        <v>0</v>
      </c>
      <c r="AJ304">
        <v>13</v>
      </c>
      <c r="AK304">
        <v>0</v>
      </c>
      <c r="AL304">
        <v>0</v>
      </c>
      <c r="AM304">
        <v>20</v>
      </c>
      <c r="AN304">
        <v>55</v>
      </c>
      <c r="AO304">
        <v>103</v>
      </c>
      <c r="AQ304" t="str">
        <f t="shared" si="4"/>
        <v>Forward</v>
      </c>
    </row>
    <row r="305" spans="1:43" x14ac:dyDescent="0.35">
      <c r="A305" t="s">
        <v>265</v>
      </c>
      <c r="B305" t="s">
        <v>46</v>
      </c>
      <c r="C305" t="s">
        <v>1172</v>
      </c>
      <c r="D305">
        <v>1993</v>
      </c>
      <c r="E305">
        <v>25</v>
      </c>
      <c r="F305" t="s">
        <v>90</v>
      </c>
      <c r="G305" t="s">
        <v>51</v>
      </c>
      <c r="H305">
        <v>4500000</v>
      </c>
      <c r="I305">
        <v>9000000</v>
      </c>
      <c r="J305" t="s">
        <v>52</v>
      </c>
      <c r="K305">
        <v>38</v>
      </c>
      <c r="L305">
        <v>3420</v>
      </c>
      <c r="M305">
        <v>0</v>
      </c>
      <c r="N305">
        <v>1688</v>
      </c>
      <c r="O305">
        <v>0</v>
      </c>
      <c r="P305">
        <v>5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60</v>
      </c>
      <c r="X305">
        <v>0</v>
      </c>
      <c r="Y305">
        <v>0</v>
      </c>
      <c r="Z305">
        <v>0</v>
      </c>
      <c r="AA305">
        <v>0</v>
      </c>
      <c r="AB305">
        <v>3</v>
      </c>
      <c r="AC305">
        <v>0</v>
      </c>
      <c r="AD305">
        <v>0</v>
      </c>
      <c r="AE305">
        <v>0</v>
      </c>
      <c r="AF305">
        <v>27</v>
      </c>
      <c r="AG305">
        <v>30</v>
      </c>
      <c r="AH305">
        <v>10</v>
      </c>
      <c r="AI305">
        <v>0</v>
      </c>
      <c r="AJ305">
        <v>31</v>
      </c>
      <c r="AK305">
        <v>0</v>
      </c>
      <c r="AL305">
        <v>3</v>
      </c>
      <c r="AM305">
        <v>127</v>
      </c>
      <c r="AN305">
        <v>34</v>
      </c>
      <c r="AO305">
        <v>23</v>
      </c>
      <c r="AQ305" t="str">
        <f t="shared" si="4"/>
        <v>Defensive Forward</v>
      </c>
    </row>
    <row r="306" spans="1:43" x14ac:dyDescent="0.35">
      <c r="A306" t="s">
        <v>266</v>
      </c>
      <c r="B306" t="s">
        <v>39</v>
      </c>
      <c r="C306" t="s">
        <v>1173</v>
      </c>
      <c r="D306">
        <v>1989</v>
      </c>
      <c r="E306">
        <v>26</v>
      </c>
      <c r="F306" t="s">
        <v>66</v>
      </c>
      <c r="G306" t="s">
        <v>245</v>
      </c>
      <c r="H306">
        <v>900000</v>
      </c>
      <c r="I306">
        <v>3600000</v>
      </c>
      <c r="J306" t="s">
        <v>52</v>
      </c>
      <c r="K306">
        <v>35</v>
      </c>
      <c r="L306">
        <v>3033</v>
      </c>
      <c r="M306">
        <v>1</v>
      </c>
      <c r="N306">
        <v>1032</v>
      </c>
      <c r="O306">
        <v>0</v>
      </c>
      <c r="P306">
        <v>3</v>
      </c>
      <c r="Q306">
        <v>0</v>
      </c>
      <c r="R306">
        <v>1</v>
      </c>
      <c r="S306">
        <v>1</v>
      </c>
      <c r="T306">
        <v>5</v>
      </c>
      <c r="U306">
        <v>2</v>
      </c>
      <c r="V306">
        <v>0</v>
      </c>
      <c r="W306">
        <v>95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3</v>
      </c>
      <c r="AF306">
        <v>25</v>
      </c>
      <c r="AG306">
        <v>63</v>
      </c>
      <c r="AH306">
        <v>9</v>
      </c>
      <c r="AI306">
        <v>0</v>
      </c>
      <c r="AJ306">
        <v>45</v>
      </c>
      <c r="AK306">
        <v>0</v>
      </c>
      <c r="AL306">
        <v>1</v>
      </c>
      <c r="AM306">
        <v>171</v>
      </c>
      <c r="AN306">
        <v>68</v>
      </c>
      <c r="AO306">
        <v>42</v>
      </c>
      <c r="AQ306" t="str">
        <f t="shared" si="4"/>
        <v>Defensive Forward</v>
      </c>
    </row>
    <row r="307" spans="1:43" x14ac:dyDescent="0.35">
      <c r="A307" t="s">
        <v>266</v>
      </c>
      <c r="B307" t="s">
        <v>47</v>
      </c>
      <c r="C307" t="s">
        <v>1174</v>
      </c>
      <c r="D307">
        <v>1989</v>
      </c>
      <c r="E307">
        <v>27</v>
      </c>
      <c r="F307" t="s">
        <v>66</v>
      </c>
      <c r="G307" t="s">
        <v>245</v>
      </c>
      <c r="H307">
        <v>3600000</v>
      </c>
      <c r="I307">
        <v>3600000</v>
      </c>
      <c r="J307" t="s">
        <v>52</v>
      </c>
      <c r="K307">
        <v>15</v>
      </c>
      <c r="L307">
        <v>1161</v>
      </c>
      <c r="M307">
        <v>0</v>
      </c>
      <c r="N307">
        <v>364</v>
      </c>
      <c r="O307">
        <v>1</v>
      </c>
      <c r="P307">
        <v>3</v>
      </c>
      <c r="Q307">
        <v>0</v>
      </c>
      <c r="R307">
        <v>2</v>
      </c>
      <c r="S307">
        <v>2</v>
      </c>
      <c r="T307">
        <v>3</v>
      </c>
      <c r="U307">
        <v>1</v>
      </c>
      <c r="V307">
        <v>0</v>
      </c>
      <c r="W307">
        <v>25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4</v>
      </c>
      <c r="AF307">
        <v>14</v>
      </c>
      <c r="AG307">
        <v>18</v>
      </c>
      <c r="AH307">
        <v>13</v>
      </c>
      <c r="AI307">
        <v>0</v>
      </c>
      <c r="AJ307">
        <v>23</v>
      </c>
      <c r="AK307">
        <v>0</v>
      </c>
      <c r="AL307">
        <v>0</v>
      </c>
      <c r="AM307">
        <v>52</v>
      </c>
      <c r="AN307">
        <v>23</v>
      </c>
      <c r="AO307">
        <v>15</v>
      </c>
      <c r="AQ307" t="str">
        <f t="shared" si="4"/>
        <v>Defensive Forward</v>
      </c>
    </row>
    <row r="308" spans="1:43" x14ac:dyDescent="0.35">
      <c r="A308" t="s">
        <v>266</v>
      </c>
      <c r="B308" t="s">
        <v>46</v>
      </c>
      <c r="C308" t="s">
        <v>1175</v>
      </c>
      <c r="D308">
        <v>1989</v>
      </c>
      <c r="E308">
        <v>29</v>
      </c>
      <c r="F308" t="s">
        <v>66</v>
      </c>
      <c r="G308" t="s">
        <v>245</v>
      </c>
      <c r="H308">
        <v>3150000</v>
      </c>
      <c r="I308">
        <v>4500000</v>
      </c>
      <c r="J308" t="s">
        <v>52</v>
      </c>
      <c r="K308">
        <v>36</v>
      </c>
      <c r="L308">
        <v>3098</v>
      </c>
      <c r="M308">
        <v>3</v>
      </c>
      <c r="N308">
        <v>1280</v>
      </c>
      <c r="O308">
        <v>0</v>
      </c>
      <c r="P308">
        <v>2</v>
      </c>
      <c r="Q308">
        <v>0</v>
      </c>
      <c r="R308">
        <v>1</v>
      </c>
      <c r="S308">
        <v>4</v>
      </c>
      <c r="T308">
        <v>13</v>
      </c>
      <c r="U308">
        <v>5</v>
      </c>
      <c r="V308">
        <v>0</v>
      </c>
      <c r="W308">
        <v>76</v>
      </c>
      <c r="X308">
        <v>3</v>
      </c>
      <c r="Y308">
        <v>0</v>
      </c>
      <c r="Z308">
        <v>0</v>
      </c>
      <c r="AA308">
        <v>0</v>
      </c>
      <c r="AB308">
        <v>0</v>
      </c>
      <c r="AC308">
        <v>8</v>
      </c>
      <c r="AD308">
        <v>0</v>
      </c>
      <c r="AE308">
        <v>3</v>
      </c>
      <c r="AF308">
        <v>30</v>
      </c>
      <c r="AG308">
        <v>38</v>
      </c>
      <c r="AH308">
        <v>16</v>
      </c>
      <c r="AI308">
        <v>2</v>
      </c>
      <c r="AJ308">
        <v>50</v>
      </c>
      <c r="AK308">
        <v>1</v>
      </c>
      <c r="AL308">
        <v>2</v>
      </c>
      <c r="AM308">
        <v>179</v>
      </c>
      <c r="AN308">
        <v>86</v>
      </c>
      <c r="AO308">
        <v>79</v>
      </c>
      <c r="AQ308" t="str">
        <f t="shared" si="4"/>
        <v>Defensive Forward</v>
      </c>
    </row>
    <row r="309" spans="1:43" x14ac:dyDescent="0.35">
      <c r="A309" t="s">
        <v>267</v>
      </c>
      <c r="B309" t="s">
        <v>43</v>
      </c>
      <c r="C309" t="s">
        <v>1176</v>
      </c>
      <c r="D309">
        <v>1990</v>
      </c>
      <c r="E309">
        <v>27</v>
      </c>
      <c r="F309" t="s">
        <v>103</v>
      </c>
      <c r="G309" t="s">
        <v>51</v>
      </c>
      <c r="H309">
        <v>7200000</v>
      </c>
      <c r="I309">
        <v>5400000</v>
      </c>
      <c r="J309" t="s">
        <v>52</v>
      </c>
      <c r="K309">
        <v>28</v>
      </c>
      <c r="L309">
        <v>2509</v>
      </c>
      <c r="M309">
        <v>2</v>
      </c>
      <c r="N309">
        <v>906</v>
      </c>
      <c r="O309">
        <v>0</v>
      </c>
      <c r="P309">
        <v>6</v>
      </c>
      <c r="Q309">
        <v>0</v>
      </c>
      <c r="R309">
        <v>0</v>
      </c>
      <c r="S309">
        <v>1</v>
      </c>
      <c r="T309">
        <v>16</v>
      </c>
      <c r="U309">
        <v>4</v>
      </c>
      <c r="V309">
        <v>0</v>
      </c>
      <c r="W309">
        <v>81</v>
      </c>
      <c r="X309">
        <v>2</v>
      </c>
      <c r="Y309">
        <v>0</v>
      </c>
      <c r="Z309">
        <v>0</v>
      </c>
      <c r="AA309">
        <v>4</v>
      </c>
      <c r="AB309">
        <v>0</v>
      </c>
      <c r="AC309">
        <v>12</v>
      </c>
      <c r="AD309">
        <v>0</v>
      </c>
      <c r="AE309">
        <v>42</v>
      </c>
      <c r="AF309">
        <v>26</v>
      </c>
      <c r="AG309">
        <v>52</v>
      </c>
      <c r="AH309">
        <v>35</v>
      </c>
      <c r="AI309">
        <v>0</v>
      </c>
      <c r="AJ309">
        <v>38</v>
      </c>
      <c r="AK309">
        <v>0</v>
      </c>
      <c r="AL309">
        <v>0</v>
      </c>
      <c r="AM309">
        <v>132</v>
      </c>
      <c r="AN309">
        <v>117</v>
      </c>
      <c r="AO309">
        <v>68</v>
      </c>
      <c r="AQ309" t="str">
        <f t="shared" si="4"/>
        <v>Defensive Forward</v>
      </c>
    </row>
    <row r="310" spans="1:43" x14ac:dyDescent="0.35">
      <c r="A310" t="s">
        <v>267</v>
      </c>
      <c r="B310" t="s">
        <v>39</v>
      </c>
      <c r="C310" t="s">
        <v>1177</v>
      </c>
      <c r="D310">
        <v>1990</v>
      </c>
      <c r="E310">
        <v>25</v>
      </c>
      <c r="F310" t="s">
        <v>103</v>
      </c>
      <c r="G310" t="s">
        <v>51</v>
      </c>
      <c r="H310">
        <v>2700000</v>
      </c>
      <c r="I310">
        <v>5400000</v>
      </c>
      <c r="J310" t="s">
        <v>52</v>
      </c>
      <c r="K310">
        <v>38</v>
      </c>
      <c r="L310">
        <v>3385</v>
      </c>
      <c r="M310">
        <v>4</v>
      </c>
      <c r="N310">
        <v>1115</v>
      </c>
      <c r="O310">
        <v>0</v>
      </c>
      <c r="P310">
        <v>3</v>
      </c>
      <c r="Q310">
        <v>0</v>
      </c>
      <c r="R310">
        <v>0</v>
      </c>
      <c r="S310">
        <v>1</v>
      </c>
      <c r="T310">
        <v>38</v>
      </c>
      <c r="U310">
        <v>8</v>
      </c>
      <c r="V310">
        <v>1</v>
      </c>
      <c r="W310">
        <v>108</v>
      </c>
      <c r="X310">
        <v>3</v>
      </c>
      <c r="Y310">
        <v>0</v>
      </c>
      <c r="Z310">
        <v>0</v>
      </c>
      <c r="AA310">
        <v>3</v>
      </c>
      <c r="AB310">
        <v>0</v>
      </c>
      <c r="AC310">
        <v>6</v>
      </c>
      <c r="AD310">
        <v>0</v>
      </c>
      <c r="AE310">
        <v>130</v>
      </c>
      <c r="AF310">
        <v>26</v>
      </c>
      <c r="AG310">
        <v>86</v>
      </c>
      <c r="AH310">
        <v>28</v>
      </c>
      <c r="AI310">
        <v>0</v>
      </c>
      <c r="AJ310">
        <v>59</v>
      </c>
      <c r="AK310">
        <v>0</v>
      </c>
      <c r="AL310">
        <v>1</v>
      </c>
      <c r="AM310">
        <v>162</v>
      </c>
      <c r="AN310">
        <v>119</v>
      </c>
      <c r="AO310">
        <v>73</v>
      </c>
      <c r="AQ310" t="str">
        <f t="shared" si="4"/>
        <v>Defensive Forward</v>
      </c>
    </row>
    <row r="311" spans="1:43" x14ac:dyDescent="0.35">
      <c r="A311" t="s">
        <v>267</v>
      </c>
      <c r="B311" t="s">
        <v>47</v>
      </c>
      <c r="C311" t="s">
        <v>1178</v>
      </c>
      <c r="D311">
        <v>1990</v>
      </c>
      <c r="E311">
        <v>26</v>
      </c>
      <c r="F311" t="s">
        <v>103</v>
      </c>
      <c r="G311" t="s">
        <v>51</v>
      </c>
      <c r="H311">
        <v>5400000</v>
      </c>
      <c r="I311">
        <v>7200000</v>
      </c>
      <c r="J311" t="s">
        <v>52</v>
      </c>
      <c r="K311">
        <v>37</v>
      </c>
      <c r="L311">
        <v>3278</v>
      </c>
      <c r="M311">
        <v>4</v>
      </c>
      <c r="N311">
        <v>1017</v>
      </c>
      <c r="O311">
        <v>0</v>
      </c>
      <c r="P311">
        <v>10</v>
      </c>
      <c r="Q311">
        <v>0</v>
      </c>
      <c r="R311">
        <v>0</v>
      </c>
      <c r="S311">
        <v>2</v>
      </c>
      <c r="T311">
        <v>21</v>
      </c>
      <c r="U311">
        <v>8</v>
      </c>
      <c r="V311">
        <v>1</v>
      </c>
      <c r="W311">
        <v>96</v>
      </c>
      <c r="X311">
        <v>3</v>
      </c>
      <c r="Y311">
        <v>0</v>
      </c>
      <c r="Z311">
        <v>0</v>
      </c>
      <c r="AA311">
        <v>2</v>
      </c>
      <c r="AB311">
        <v>1</v>
      </c>
      <c r="AC311">
        <v>1</v>
      </c>
      <c r="AD311">
        <v>0</v>
      </c>
      <c r="AE311">
        <v>85</v>
      </c>
      <c r="AF311">
        <v>29</v>
      </c>
      <c r="AG311">
        <v>58</v>
      </c>
      <c r="AH311">
        <v>53</v>
      </c>
      <c r="AI311">
        <v>0</v>
      </c>
      <c r="AJ311">
        <v>58</v>
      </c>
      <c r="AK311">
        <v>0</v>
      </c>
      <c r="AL311">
        <v>0</v>
      </c>
      <c r="AM311">
        <v>149</v>
      </c>
      <c r="AN311">
        <v>131</v>
      </c>
      <c r="AO311">
        <v>93</v>
      </c>
      <c r="AQ311" t="str">
        <f t="shared" si="4"/>
        <v>Defensive Forward</v>
      </c>
    </row>
    <row r="312" spans="1:43" x14ac:dyDescent="0.35">
      <c r="A312" t="s">
        <v>268</v>
      </c>
      <c r="B312" t="s">
        <v>39</v>
      </c>
      <c r="C312" t="s">
        <v>1179</v>
      </c>
      <c r="D312">
        <v>1986</v>
      </c>
      <c r="E312">
        <v>28</v>
      </c>
      <c r="F312" t="s">
        <v>103</v>
      </c>
      <c r="G312" t="s">
        <v>51</v>
      </c>
      <c r="H312">
        <v>6600000</v>
      </c>
      <c r="I312">
        <v>6600000</v>
      </c>
      <c r="J312" t="s">
        <v>55</v>
      </c>
      <c r="K312">
        <v>34</v>
      </c>
      <c r="L312">
        <v>2033</v>
      </c>
      <c r="M312">
        <v>3</v>
      </c>
      <c r="N312">
        <v>616</v>
      </c>
      <c r="O312">
        <v>3</v>
      </c>
      <c r="P312">
        <v>5</v>
      </c>
      <c r="Q312">
        <v>0</v>
      </c>
      <c r="R312">
        <v>14</v>
      </c>
      <c r="S312">
        <v>11</v>
      </c>
      <c r="T312">
        <v>46</v>
      </c>
      <c r="U312">
        <v>12</v>
      </c>
      <c r="V312">
        <v>2</v>
      </c>
      <c r="W312">
        <v>8</v>
      </c>
      <c r="X312">
        <v>0</v>
      </c>
      <c r="Y312">
        <v>0</v>
      </c>
      <c r="Z312">
        <v>1</v>
      </c>
      <c r="AA312">
        <v>8</v>
      </c>
      <c r="AB312">
        <v>2</v>
      </c>
      <c r="AC312">
        <v>3</v>
      </c>
      <c r="AD312">
        <v>53</v>
      </c>
      <c r="AE312">
        <v>113</v>
      </c>
      <c r="AF312">
        <v>2</v>
      </c>
      <c r="AG312">
        <v>30</v>
      </c>
      <c r="AH312">
        <v>38</v>
      </c>
      <c r="AI312">
        <v>0</v>
      </c>
      <c r="AJ312">
        <v>51</v>
      </c>
      <c r="AK312">
        <v>0</v>
      </c>
      <c r="AL312">
        <v>0</v>
      </c>
      <c r="AM312">
        <v>24</v>
      </c>
      <c r="AN312">
        <v>33</v>
      </c>
      <c r="AO312">
        <v>45</v>
      </c>
      <c r="AQ312" t="str">
        <f t="shared" si="4"/>
        <v>Midfielder</v>
      </c>
    </row>
    <row r="313" spans="1:43" x14ac:dyDescent="0.35">
      <c r="A313" t="s">
        <v>269</v>
      </c>
      <c r="B313" t="s">
        <v>47</v>
      </c>
      <c r="C313" t="s">
        <v>1180</v>
      </c>
      <c r="D313">
        <v>1986</v>
      </c>
      <c r="E313">
        <v>29</v>
      </c>
      <c r="F313" t="s">
        <v>48</v>
      </c>
      <c r="G313" t="s">
        <v>72</v>
      </c>
      <c r="H313">
        <v>4400000</v>
      </c>
      <c r="I313">
        <v>3150000</v>
      </c>
      <c r="J313" t="s">
        <v>42</v>
      </c>
      <c r="K313">
        <v>23</v>
      </c>
      <c r="L313">
        <v>1361</v>
      </c>
      <c r="M313">
        <v>4</v>
      </c>
      <c r="N313">
        <v>383</v>
      </c>
      <c r="O313">
        <v>0</v>
      </c>
      <c r="P313">
        <v>4</v>
      </c>
      <c r="Q313">
        <v>0</v>
      </c>
      <c r="R313">
        <v>7</v>
      </c>
      <c r="S313">
        <v>12</v>
      </c>
      <c r="T313">
        <v>21</v>
      </c>
      <c r="U313">
        <v>10</v>
      </c>
      <c r="V313">
        <v>0</v>
      </c>
      <c r="W313">
        <v>9</v>
      </c>
      <c r="X313">
        <v>1</v>
      </c>
      <c r="Y313">
        <v>0</v>
      </c>
      <c r="Z313">
        <v>0</v>
      </c>
      <c r="AA313">
        <v>4</v>
      </c>
      <c r="AB313">
        <v>0</v>
      </c>
      <c r="AC313">
        <v>2</v>
      </c>
      <c r="AD313">
        <v>0</v>
      </c>
      <c r="AE313">
        <v>25</v>
      </c>
      <c r="AF313">
        <v>3</v>
      </c>
      <c r="AG313">
        <v>10</v>
      </c>
      <c r="AH313">
        <v>21</v>
      </c>
      <c r="AI313">
        <v>0</v>
      </c>
      <c r="AJ313">
        <v>35</v>
      </c>
      <c r="AK313">
        <v>0</v>
      </c>
      <c r="AL313">
        <v>0</v>
      </c>
      <c r="AM313">
        <v>15</v>
      </c>
      <c r="AN313">
        <v>47</v>
      </c>
      <c r="AO313">
        <v>39</v>
      </c>
      <c r="AQ313" t="str">
        <f t="shared" si="4"/>
        <v>Forward</v>
      </c>
    </row>
    <row r="314" spans="1:43" x14ac:dyDescent="0.35">
      <c r="A314" t="s">
        <v>270</v>
      </c>
      <c r="B314" t="s">
        <v>43</v>
      </c>
      <c r="C314" t="s">
        <v>1181</v>
      </c>
      <c r="D314">
        <v>1989</v>
      </c>
      <c r="E314">
        <v>28</v>
      </c>
      <c r="F314" t="s">
        <v>54</v>
      </c>
      <c r="G314" t="s">
        <v>271</v>
      </c>
      <c r="H314">
        <v>1800000</v>
      </c>
      <c r="I314">
        <v>1800000</v>
      </c>
      <c r="J314" t="s">
        <v>52</v>
      </c>
      <c r="K314">
        <v>21</v>
      </c>
      <c r="L314">
        <v>1831</v>
      </c>
      <c r="M314">
        <v>0</v>
      </c>
      <c r="N314">
        <v>780</v>
      </c>
      <c r="O314">
        <v>2</v>
      </c>
      <c r="P314">
        <v>1</v>
      </c>
      <c r="Q314">
        <v>0</v>
      </c>
      <c r="R314">
        <v>1</v>
      </c>
      <c r="S314">
        <v>1</v>
      </c>
      <c r="T314">
        <v>1</v>
      </c>
      <c r="U314">
        <v>1</v>
      </c>
      <c r="V314">
        <v>0</v>
      </c>
      <c r="W314">
        <v>49</v>
      </c>
      <c r="X314">
        <v>0</v>
      </c>
      <c r="Y314">
        <v>0</v>
      </c>
      <c r="Z314">
        <v>0</v>
      </c>
      <c r="AA314">
        <v>2</v>
      </c>
      <c r="AB314">
        <v>1</v>
      </c>
      <c r="AC314">
        <v>0</v>
      </c>
      <c r="AD314">
        <v>0</v>
      </c>
      <c r="AE314">
        <v>45</v>
      </c>
      <c r="AF314">
        <v>4</v>
      </c>
      <c r="AG314">
        <v>42</v>
      </c>
      <c r="AH314">
        <v>26</v>
      </c>
      <c r="AI314">
        <v>0</v>
      </c>
      <c r="AJ314">
        <v>61</v>
      </c>
      <c r="AK314">
        <v>0</v>
      </c>
      <c r="AL314">
        <v>0</v>
      </c>
      <c r="AM314">
        <v>117</v>
      </c>
      <c r="AN314">
        <v>23</v>
      </c>
      <c r="AO314">
        <v>35</v>
      </c>
      <c r="AQ314" t="str">
        <f t="shared" si="4"/>
        <v>Defensive Forward</v>
      </c>
    </row>
    <row r="315" spans="1:43" x14ac:dyDescent="0.35">
      <c r="A315" t="s">
        <v>270</v>
      </c>
      <c r="B315" t="s">
        <v>39</v>
      </c>
      <c r="C315" t="s">
        <v>1182</v>
      </c>
      <c r="D315">
        <v>1989</v>
      </c>
      <c r="E315">
        <v>25</v>
      </c>
      <c r="F315" t="s">
        <v>220</v>
      </c>
      <c r="G315" t="s">
        <v>271</v>
      </c>
      <c r="H315">
        <v>1100000</v>
      </c>
      <c r="I315">
        <v>1800000</v>
      </c>
      <c r="J315" t="s">
        <v>52</v>
      </c>
      <c r="K315">
        <v>15</v>
      </c>
      <c r="L315">
        <v>1084</v>
      </c>
      <c r="M315">
        <v>1</v>
      </c>
      <c r="N315">
        <v>428</v>
      </c>
      <c r="O315">
        <v>1</v>
      </c>
      <c r="P315">
        <v>1</v>
      </c>
      <c r="Q315">
        <v>0</v>
      </c>
      <c r="R315">
        <v>4</v>
      </c>
      <c r="S315">
        <v>1</v>
      </c>
      <c r="T315">
        <v>3</v>
      </c>
      <c r="U315">
        <v>0</v>
      </c>
      <c r="V315">
        <v>0</v>
      </c>
      <c r="W315">
        <v>6</v>
      </c>
      <c r="X315">
        <v>0</v>
      </c>
      <c r="Y315">
        <v>0</v>
      </c>
      <c r="Z315">
        <v>0</v>
      </c>
      <c r="AA315">
        <v>2</v>
      </c>
      <c r="AB315">
        <v>1</v>
      </c>
      <c r="AC315">
        <v>0</v>
      </c>
      <c r="AD315">
        <v>0</v>
      </c>
      <c r="AE315">
        <v>37</v>
      </c>
      <c r="AF315">
        <v>3</v>
      </c>
      <c r="AG315">
        <v>24</v>
      </c>
      <c r="AH315">
        <v>15</v>
      </c>
      <c r="AI315">
        <v>0</v>
      </c>
      <c r="AJ315">
        <v>37</v>
      </c>
      <c r="AK315">
        <v>1</v>
      </c>
      <c r="AL315">
        <v>0</v>
      </c>
      <c r="AM315">
        <v>34</v>
      </c>
      <c r="AN315">
        <v>6</v>
      </c>
      <c r="AO315">
        <v>10</v>
      </c>
      <c r="AQ315" t="str">
        <f t="shared" si="4"/>
        <v>Defensive Forward</v>
      </c>
    </row>
    <row r="316" spans="1:43" x14ac:dyDescent="0.35">
      <c r="A316" t="s">
        <v>272</v>
      </c>
      <c r="B316" t="s">
        <v>47</v>
      </c>
      <c r="C316" t="s">
        <v>1183</v>
      </c>
      <c r="D316">
        <v>1985</v>
      </c>
      <c r="E316">
        <v>31</v>
      </c>
      <c r="F316" t="s">
        <v>71</v>
      </c>
      <c r="G316" t="s">
        <v>51</v>
      </c>
      <c r="H316">
        <v>3850000</v>
      </c>
      <c r="I316">
        <v>2750000</v>
      </c>
      <c r="J316" t="s">
        <v>52</v>
      </c>
      <c r="K316">
        <v>26</v>
      </c>
      <c r="L316">
        <v>2137</v>
      </c>
      <c r="M316">
        <v>0</v>
      </c>
      <c r="N316">
        <v>857</v>
      </c>
      <c r="O316">
        <v>2</v>
      </c>
      <c r="P316">
        <v>4</v>
      </c>
      <c r="Q316">
        <v>0</v>
      </c>
      <c r="R316">
        <v>1</v>
      </c>
      <c r="S316">
        <v>5</v>
      </c>
      <c r="T316">
        <v>10</v>
      </c>
      <c r="U316">
        <v>3</v>
      </c>
      <c r="V316">
        <v>1</v>
      </c>
      <c r="W316">
        <v>101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4</v>
      </c>
      <c r="AF316">
        <v>35</v>
      </c>
      <c r="AG316">
        <v>92</v>
      </c>
      <c r="AH316">
        <v>12</v>
      </c>
      <c r="AI316">
        <v>0</v>
      </c>
      <c r="AJ316">
        <v>40</v>
      </c>
      <c r="AK316">
        <v>2</v>
      </c>
      <c r="AL316">
        <v>1</v>
      </c>
      <c r="AM316">
        <v>173</v>
      </c>
      <c r="AN316">
        <v>74</v>
      </c>
      <c r="AO316">
        <v>52</v>
      </c>
      <c r="AQ316" t="str">
        <f t="shared" si="4"/>
        <v>Defensive Forward</v>
      </c>
    </row>
    <row r="317" spans="1:43" x14ac:dyDescent="0.35">
      <c r="A317" t="s">
        <v>273</v>
      </c>
      <c r="B317" t="s">
        <v>46</v>
      </c>
      <c r="C317" t="s">
        <v>1184</v>
      </c>
      <c r="D317">
        <v>1992</v>
      </c>
      <c r="E317">
        <v>25</v>
      </c>
      <c r="F317" t="s">
        <v>74</v>
      </c>
      <c r="G317" t="s">
        <v>260</v>
      </c>
      <c r="H317">
        <v>2700000</v>
      </c>
      <c r="I317">
        <v>3150000</v>
      </c>
      <c r="J317" t="s">
        <v>52</v>
      </c>
      <c r="K317">
        <v>28</v>
      </c>
      <c r="L317">
        <v>1945</v>
      </c>
      <c r="M317">
        <v>0</v>
      </c>
      <c r="N317">
        <v>884</v>
      </c>
      <c r="O317">
        <v>1</v>
      </c>
      <c r="P317">
        <v>7</v>
      </c>
      <c r="Q317">
        <v>0</v>
      </c>
      <c r="R317">
        <v>9</v>
      </c>
      <c r="S317">
        <v>4</v>
      </c>
      <c r="T317">
        <v>12</v>
      </c>
      <c r="U317">
        <v>3</v>
      </c>
      <c r="V317">
        <v>0</v>
      </c>
      <c r="W317">
        <v>49</v>
      </c>
      <c r="X317">
        <v>0</v>
      </c>
      <c r="Y317">
        <v>0</v>
      </c>
      <c r="Z317">
        <v>0</v>
      </c>
      <c r="AA317">
        <v>2</v>
      </c>
      <c r="AB317">
        <v>0</v>
      </c>
      <c r="AC317">
        <v>9</v>
      </c>
      <c r="AD317">
        <v>0</v>
      </c>
      <c r="AE317">
        <v>90</v>
      </c>
      <c r="AF317">
        <v>11</v>
      </c>
      <c r="AG317">
        <v>29</v>
      </c>
      <c r="AH317">
        <v>29</v>
      </c>
      <c r="AI317">
        <v>0</v>
      </c>
      <c r="AJ317">
        <v>41</v>
      </c>
      <c r="AK317">
        <v>0</v>
      </c>
      <c r="AL317">
        <v>0</v>
      </c>
      <c r="AM317">
        <v>80</v>
      </c>
      <c r="AN317">
        <v>56</v>
      </c>
      <c r="AO317">
        <v>32</v>
      </c>
      <c r="AQ317" t="str">
        <f t="shared" si="4"/>
        <v>Defensive Forward</v>
      </c>
    </row>
    <row r="318" spans="1:43" x14ac:dyDescent="0.35">
      <c r="A318" t="s">
        <v>274</v>
      </c>
      <c r="B318" t="s">
        <v>46</v>
      </c>
      <c r="C318" t="s">
        <v>1185</v>
      </c>
      <c r="D318">
        <v>1989</v>
      </c>
      <c r="E318">
        <v>29</v>
      </c>
      <c r="F318" t="s">
        <v>134</v>
      </c>
      <c r="G318" t="s">
        <v>51</v>
      </c>
      <c r="H318">
        <v>5500000</v>
      </c>
      <c r="I318">
        <v>6600000</v>
      </c>
      <c r="J318" t="s">
        <v>55</v>
      </c>
      <c r="K318">
        <v>30</v>
      </c>
      <c r="L318">
        <v>2487</v>
      </c>
      <c r="M318">
        <v>0</v>
      </c>
      <c r="N318">
        <v>1353</v>
      </c>
      <c r="O318">
        <v>0</v>
      </c>
      <c r="P318">
        <v>6</v>
      </c>
      <c r="Q318">
        <v>1</v>
      </c>
      <c r="R318">
        <v>0</v>
      </c>
      <c r="S318">
        <v>2</v>
      </c>
      <c r="T318">
        <v>11</v>
      </c>
      <c r="U318">
        <v>0</v>
      </c>
      <c r="V318">
        <v>0</v>
      </c>
      <c r="W318">
        <v>29</v>
      </c>
      <c r="X318">
        <v>0</v>
      </c>
      <c r="Y318">
        <v>0</v>
      </c>
      <c r="Z318">
        <v>0</v>
      </c>
      <c r="AA318">
        <v>0</v>
      </c>
      <c r="AB318">
        <v>1</v>
      </c>
      <c r="AC318">
        <v>11</v>
      </c>
      <c r="AD318">
        <v>0</v>
      </c>
      <c r="AE318">
        <v>2</v>
      </c>
      <c r="AF318">
        <v>12</v>
      </c>
      <c r="AG318">
        <v>46</v>
      </c>
      <c r="AH318">
        <v>44</v>
      </c>
      <c r="AI318">
        <v>0</v>
      </c>
      <c r="AJ318">
        <v>84</v>
      </c>
      <c r="AK318">
        <v>0</v>
      </c>
      <c r="AL318">
        <v>0</v>
      </c>
      <c r="AM318">
        <v>46</v>
      </c>
      <c r="AN318">
        <v>26</v>
      </c>
      <c r="AO318">
        <v>23</v>
      </c>
      <c r="AQ318" t="str">
        <f t="shared" si="4"/>
        <v>Midfielder</v>
      </c>
    </row>
    <row r="319" spans="1:43" x14ac:dyDescent="0.35">
      <c r="A319" t="s">
        <v>274</v>
      </c>
      <c r="B319" t="s">
        <v>43</v>
      </c>
      <c r="C319" t="s">
        <v>1186</v>
      </c>
      <c r="D319">
        <v>1989</v>
      </c>
      <c r="E319">
        <v>28</v>
      </c>
      <c r="F319" t="s">
        <v>134</v>
      </c>
      <c r="G319" t="s">
        <v>51</v>
      </c>
      <c r="H319">
        <v>1650000</v>
      </c>
      <c r="I319">
        <v>3300000</v>
      </c>
      <c r="J319" t="s">
        <v>55</v>
      </c>
      <c r="K319">
        <v>36</v>
      </c>
      <c r="L319">
        <v>3240</v>
      </c>
      <c r="M319">
        <v>0</v>
      </c>
      <c r="N319">
        <v>1757</v>
      </c>
      <c r="O319">
        <v>3</v>
      </c>
      <c r="P319">
        <v>6</v>
      </c>
      <c r="Q319">
        <v>0</v>
      </c>
      <c r="R319">
        <v>0</v>
      </c>
      <c r="S319">
        <v>0</v>
      </c>
      <c r="T319">
        <v>19</v>
      </c>
      <c r="U319">
        <v>2</v>
      </c>
      <c r="V319">
        <v>1</v>
      </c>
      <c r="W319">
        <v>36</v>
      </c>
      <c r="X319">
        <v>0</v>
      </c>
      <c r="Y319">
        <v>0</v>
      </c>
      <c r="Z319">
        <v>0</v>
      </c>
      <c r="AA319">
        <v>0</v>
      </c>
      <c r="AB319">
        <v>3</v>
      </c>
      <c r="AC319">
        <v>17</v>
      </c>
      <c r="AD319">
        <v>0</v>
      </c>
      <c r="AE319">
        <v>0</v>
      </c>
      <c r="AF319">
        <v>16</v>
      </c>
      <c r="AG319">
        <v>63</v>
      </c>
      <c r="AH319">
        <v>50</v>
      </c>
      <c r="AI319">
        <v>0</v>
      </c>
      <c r="AJ319">
        <v>104</v>
      </c>
      <c r="AK319">
        <v>0</v>
      </c>
      <c r="AL319">
        <v>0</v>
      </c>
      <c r="AM319">
        <v>67</v>
      </c>
      <c r="AN319">
        <v>28</v>
      </c>
      <c r="AO319">
        <v>30</v>
      </c>
      <c r="AQ319" t="str">
        <f t="shared" si="4"/>
        <v>Midfielder</v>
      </c>
    </row>
    <row r="320" spans="1:43" x14ac:dyDescent="0.35">
      <c r="A320" t="s">
        <v>275</v>
      </c>
      <c r="B320" t="s">
        <v>47</v>
      </c>
      <c r="C320" t="s">
        <v>1187</v>
      </c>
      <c r="D320">
        <v>1990</v>
      </c>
      <c r="E320">
        <v>26</v>
      </c>
      <c r="F320" t="s">
        <v>129</v>
      </c>
      <c r="G320" t="s">
        <v>216</v>
      </c>
      <c r="H320">
        <v>19800000</v>
      </c>
      <c r="I320">
        <v>19800000</v>
      </c>
      <c r="J320" t="s">
        <v>52</v>
      </c>
      <c r="K320">
        <v>23</v>
      </c>
      <c r="L320">
        <v>1829</v>
      </c>
      <c r="M320">
        <v>1</v>
      </c>
      <c r="N320">
        <v>1040</v>
      </c>
      <c r="O320">
        <v>2</v>
      </c>
      <c r="P320">
        <v>2</v>
      </c>
      <c r="Q320">
        <v>0</v>
      </c>
      <c r="R320">
        <v>3</v>
      </c>
      <c r="S320">
        <v>2</v>
      </c>
      <c r="T320">
        <v>9</v>
      </c>
      <c r="U320">
        <v>2</v>
      </c>
      <c r="V320">
        <v>0</v>
      </c>
      <c r="W320">
        <v>49</v>
      </c>
      <c r="X320">
        <v>0</v>
      </c>
      <c r="Y320">
        <v>0</v>
      </c>
      <c r="Z320">
        <v>0</v>
      </c>
      <c r="AA320">
        <v>0</v>
      </c>
      <c r="AB320">
        <v>1</v>
      </c>
      <c r="AC320">
        <v>0</v>
      </c>
      <c r="AD320">
        <v>45</v>
      </c>
      <c r="AE320">
        <v>87</v>
      </c>
      <c r="AF320">
        <v>9</v>
      </c>
      <c r="AG320">
        <v>44</v>
      </c>
      <c r="AH320">
        <v>14</v>
      </c>
      <c r="AI320">
        <v>0</v>
      </c>
      <c r="AJ320">
        <v>45</v>
      </c>
      <c r="AK320">
        <v>0</v>
      </c>
      <c r="AL320">
        <v>0</v>
      </c>
      <c r="AM320">
        <v>108</v>
      </c>
      <c r="AN320">
        <v>25</v>
      </c>
      <c r="AO320">
        <v>22</v>
      </c>
      <c r="AQ320" t="str">
        <f t="shared" si="4"/>
        <v>Defensive Forward</v>
      </c>
    </row>
    <row r="321" spans="1:43" x14ac:dyDescent="0.35">
      <c r="A321" t="s">
        <v>275</v>
      </c>
      <c r="B321" t="s">
        <v>39</v>
      </c>
      <c r="C321" t="s">
        <v>1188</v>
      </c>
      <c r="D321">
        <v>1990</v>
      </c>
      <c r="E321">
        <v>25</v>
      </c>
      <c r="F321" t="s">
        <v>129</v>
      </c>
      <c r="G321" t="s">
        <v>216</v>
      </c>
      <c r="H321">
        <v>15300000</v>
      </c>
      <c r="I321">
        <v>19800000</v>
      </c>
      <c r="J321" t="s">
        <v>52</v>
      </c>
      <c r="K321">
        <v>35</v>
      </c>
      <c r="L321">
        <v>3117</v>
      </c>
      <c r="M321">
        <v>1</v>
      </c>
      <c r="N321">
        <v>2029</v>
      </c>
      <c r="O321">
        <v>0</v>
      </c>
      <c r="P321">
        <v>2</v>
      </c>
      <c r="Q321">
        <v>0</v>
      </c>
      <c r="R321">
        <v>0</v>
      </c>
      <c r="S321">
        <v>3</v>
      </c>
      <c r="T321">
        <v>4</v>
      </c>
      <c r="U321">
        <v>2</v>
      </c>
      <c r="V321">
        <v>0</v>
      </c>
      <c r="W321">
        <v>63</v>
      </c>
      <c r="X321">
        <v>0</v>
      </c>
      <c r="Y321">
        <v>0</v>
      </c>
      <c r="Z321">
        <v>0</v>
      </c>
      <c r="AA321">
        <v>0</v>
      </c>
      <c r="AB321">
        <v>1</v>
      </c>
      <c r="AC321">
        <v>0</v>
      </c>
      <c r="AD321">
        <v>109</v>
      </c>
      <c r="AE321">
        <v>125</v>
      </c>
      <c r="AF321">
        <v>20</v>
      </c>
      <c r="AG321">
        <v>80</v>
      </c>
      <c r="AH321">
        <v>27</v>
      </c>
      <c r="AI321">
        <v>0</v>
      </c>
      <c r="AJ321">
        <v>95</v>
      </c>
      <c r="AK321">
        <v>0</v>
      </c>
      <c r="AL321">
        <v>0</v>
      </c>
      <c r="AM321">
        <v>119</v>
      </c>
      <c r="AN321">
        <v>34</v>
      </c>
      <c r="AO321">
        <v>55</v>
      </c>
      <c r="AQ321" t="str">
        <f t="shared" si="4"/>
        <v>Defensive Forward</v>
      </c>
    </row>
    <row r="322" spans="1:43" x14ac:dyDescent="0.35">
      <c r="A322" t="s">
        <v>276</v>
      </c>
      <c r="B322" t="s">
        <v>39</v>
      </c>
      <c r="C322" t="s">
        <v>1189</v>
      </c>
      <c r="D322">
        <v>1985</v>
      </c>
      <c r="E322">
        <v>30</v>
      </c>
      <c r="F322" t="s">
        <v>78</v>
      </c>
      <c r="G322" t="s">
        <v>132</v>
      </c>
      <c r="H322">
        <v>5000000</v>
      </c>
      <c r="I322">
        <v>2700000</v>
      </c>
      <c r="J322" t="s">
        <v>42</v>
      </c>
      <c r="K322">
        <v>11</v>
      </c>
      <c r="L322">
        <v>567</v>
      </c>
      <c r="M322">
        <v>1</v>
      </c>
      <c r="N322">
        <v>187</v>
      </c>
      <c r="O322">
        <v>0</v>
      </c>
      <c r="P322">
        <v>2</v>
      </c>
      <c r="Q322">
        <v>0</v>
      </c>
      <c r="R322">
        <v>6</v>
      </c>
      <c r="S322">
        <v>1</v>
      </c>
      <c r="T322">
        <v>9</v>
      </c>
      <c r="U322">
        <v>4</v>
      </c>
      <c r="V322">
        <v>0</v>
      </c>
      <c r="W322">
        <v>5</v>
      </c>
      <c r="X322">
        <v>0</v>
      </c>
      <c r="Y322">
        <v>0</v>
      </c>
      <c r="Z322">
        <v>0</v>
      </c>
      <c r="AA322">
        <v>5</v>
      </c>
      <c r="AB322">
        <v>2</v>
      </c>
      <c r="AC322">
        <v>0</v>
      </c>
      <c r="AD322">
        <v>0</v>
      </c>
      <c r="AE322">
        <v>7</v>
      </c>
      <c r="AF322">
        <v>0</v>
      </c>
      <c r="AG322">
        <v>7</v>
      </c>
      <c r="AH322">
        <v>20</v>
      </c>
      <c r="AI322">
        <v>0</v>
      </c>
      <c r="AJ322">
        <v>12</v>
      </c>
      <c r="AK322">
        <v>0</v>
      </c>
      <c r="AL322">
        <v>0</v>
      </c>
      <c r="AM322">
        <v>6</v>
      </c>
      <c r="AN322">
        <v>21</v>
      </c>
      <c r="AO322">
        <v>34</v>
      </c>
      <c r="AQ322" t="str">
        <f t="shared" ref="AQ322:AQ385" si="5">IF(J322 = "FW", REPLACE(J322,1,2,"Forward"),IF(J322 = "DF", "Defensive Forward", "Midfielder"))</f>
        <v>Forward</v>
      </c>
    </row>
    <row r="323" spans="1:43" x14ac:dyDescent="0.35">
      <c r="A323" t="s">
        <v>277</v>
      </c>
      <c r="B323" t="s">
        <v>39</v>
      </c>
      <c r="C323" t="s">
        <v>1190</v>
      </c>
      <c r="D323">
        <v>1981</v>
      </c>
      <c r="E323">
        <v>34</v>
      </c>
      <c r="F323" t="s">
        <v>64</v>
      </c>
      <c r="G323" t="s">
        <v>260</v>
      </c>
      <c r="H323">
        <v>900000</v>
      </c>
      <c r="I323">
        <v>1350000</v>
      </c>
      <c r="J323" t="s">
        <v>52</v>
      </c>
      <c r="K323">
        <v>32</v>
      </c>
      <c r="L323">
        <v>2880</v>
      </c>
      <c r="M323">
        <v>2</v>
      </c>
      <c r="N323">
        <v>1055</v>
      </c>
      <c r="O323">
        <v>3</v>
      </c>
      <c r="P323">
        <v>2</v>
      </c>
      <c r="Q323">
        <v>0</v>
      </c>
      <c r="R323">
        <v>0</v>
      </c>
      <c r="S323">
        <v>0</v>
      </c>
      <c r="T323">
        <v>21</v>
      </c>
      <c r="U323">
        <v>7</v>
      </c>
      <c r="V323">
        <v>1</v>
      </c>
      <c r="W323">
        <v>128</v>
      </c>
      <c r="X323">
        <v>1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0</v>
      </c>
      <c r="AE323">
        <v>7</v>
      </c>
      <c r="AF323">
        <v>36</v>
      </c>
      <c r="AG323">
        <v>56</v>
      </c>
      <c r="AH323">
        <v>18</v>
      </c>
      <c r="AI323">
        <v>1</v>
      </c>
      <c r="AJ323">
        <v>31</v>
      </c>
      <c r="AK323">
        <v>0</v>
      </c>
      <c r="AL323">
        <v>2</v>
      </c>
      <c r="AM323">
        <v>204</v>
      </c>
      <c r="AN323">
        <v>96</v>
      </c>
      <c r="AO323">
        <v>61</v>
      </c>
      <c r="AQ323" t="str">
        <f t="shared" si="5"/>
        <v>Defensive Forward</v>
      </c>
    </row>
    <row r="324" spans="1:43" x14ac:dyDescent="0.35">
      <c r="A324" t="s">
        <v>277</v>
      </c>
      <c r="B324" t="s">
        <v>47</v>
      </c>
      <c r="C324" t="s">
        <v>1191</v>
      </c>
      <c r="D324">
        <v>1981</v>
      </c>
      <c r="E324">
        <v>35</v>
      </c>
      <c r="F324" t="s">
        <v>64</v>
      </c>
      <c r="G324" t="s">
        <v>260</v>
      </c>
      <c r="H324">
        <v>1350000</v>
      </c>
      <c r="I324">
        <v>900000</v>
      </c>
      <c r="J324" t="s">
        <v>52</v>
      </c>
      <c r="K324">
        <v>30</v>
      </c>
      <c r="L324">
        <v>2007</v>
      </c>
      <c r="M324">
        <v>0</v>
      </c>
      <c r="N324">
        <v>889</v>
      </c>
      <c r="O324">
        <v>2</v>
      </c>
      <c r="P324">
        <v>8</v>
      </c>
      <c r="Q324">
        <v>0</v>
      </c>
      <c r="R324">
        <v>9</v>
      </c>
      <c r="S324">
        <v>2</v>
      </c>
      <c r="T324">
        <v>5</v>
      </c>
      <c r="U324">
        <v>1</v>
      </c>
      <c r="V324">
        <v>0</v>
      </c>
      <c r="W324">
        <v>89</v>
      </c>
      <c r="X324">
        <v>0</v>
      </c>
      <c r="Y324">
        <v>0</v>
      </c>
      <c r="Z324">
        <v>0</v>
      </c>
      <c r="AA324">
        <v>0</v>
      </c>
      <c r="AB324">
        <v>1</v>
      </c>
      <c r="AC324">
        <v>0</v>
      </c>
      <c r="AD324">
        <v>0</v>
      </c>
      <c r="AE324">
        <v>5</v>
      </c>
      <c r="AF324">
        <v>21</v>
      </c>
      <c r="AG324">
        <v>35</v>
      </c>
      <c r="AH324">
        <v>26</v>
      </c>
      <c r="AI324">
        <v>2</v>
      </c>
      <c r="AJ324">
        <v>25</v>
      </c>
      <c r="AK324">
        <v>0</v>
      </c>
      <c r="AL324">
        <v>0</v>
      </c>
      <c r="AM324">
        <v>150</v>
      </c>
      <c r="AN324">
        <v>59</v>
      </c>
      <c r="AO324">
        <v>55</v>
      </c>
      <c r="AQ324" t="str">
        <f t="shared" si="5"/>
        <v>Defensive Forward</v>
      </c>
    </row>
    <row r="325" spans="1:43" x14ac:dyDescent="0.35">
      <c r="A325" t="s">
        <v>278</v>
      </c>
      <c r="B325" t="s">
        <v>39</v>
      </c>
      <c r="C325" t="s">
        <v>1192</v>
      </c>
      <c r="D325">
        <v>1990</v>
      </c>
      <c r="E325">
        <v>25</v>
      </c>
      <c r="F325" t="s">
        <v>84</v>
      </c>
      <c r="G325" t="s">
        <v>51</v>
      </c>
      <c r="H325">
        <v>3300000</v>
      </c>
      <c r="I325">
        <v>3300000</v>
      </c>
      <c r="J325" t="s">
        <v>55</v>
      </c>
      <c r="K325">
        <v>34</v>
      </c>
      <c r="L325">
        <v>2441</v>
      </c>
      <c r="M325">
        <v>3</v>
      </c>
      <c r="N325">
        <v>1194</v>
      </c>
      <c r="O325">
        <v>1</v>
      </c>
      <c r="P325">
        <v>6</v>
      </c>
      <c r="Q325">
        <v>0</v>
      </c>
      <c r="R325">
        <v>6</v>
      </c>
      <c r="S325">
        <v>7</v>
      </c>
      <c r="T325">
        <v>40</v>
      </c>
      <c r="U325">
        <v>11</v>
      </c>
      <c r="V325">
        <v>1</v>
      </c>
      <c r="W325">
        <v>9</v>
      </c>
      <c r="X325">
        <v>1</v>
      </c>
      <c r="Y325">
        <v>0</v>
      </c>
      <c r="Z325">
        <v>0</v>
      </c>
      <c r="AA325">
        <v>1</v>
      </c>
      <c r="AB325">
        <v>3</v>
      </c>
      <c r="AC325">
        <v>4</v>
      </c>
      <c r="AD325">
        <v>2</v>
      </c>
      <c r="AE325">
        <v>6</v>
      </c>
      <c r="AF325">
        <v>12</v>
      </c>
      <c r="AG325">
        <v>52</v>
      </c>
      <c r="AH325">
        <v>31</v>
      </c>
      <c r="AI325">
        <v>0</v>
      </c>
      <c r="AJ325">
        <v>73</v>
      </c>
      <c r="AK325">
        <v>0</v>
      </c>
      <c r="AL325">
        <v>0</v>
      </c>
      <c r="AM325">
        <v>21</v>
      </c>
      <c r="AN325">
        <v>35</v>
      </c>
      <c r="AO325">
        <v>43</v>
      </c>
      <c r="AQ325" t="str">
        <f t="shared" si="5"/>
        <v>Midfielder</v>
      </c>
    </row>
    <row r="326" spans="1:43" x14ac:dyDescent="0.35">
      <c r="A326" t="s">
        <v>278</v>
      </c>
      <c r="B326" t="s">
        <v>47</v>
      </c>
      <c r="C326" t="s">
        <v>1193</v>
      </c>
      <c r="D326">
        <v>1990</v>
      </c>
      <c r="E326">
        <v>26</v>
      </c>
      <c r="F326" t="s">
        <v>84</v>
      </c>
      <c r="G326" t="s">
        <v>51</v>
      </c>
      <c r="H326">
        <v>3850000</v>
      </c>
      <c r="I326">
        <v>3850000</v>
      </c>
      <c r="J326" t="s">
        <v>55</v>
      </c>
      <c r="K326">
        <v>27</v>
      </c>
      <c r="L326">
        <v>1357</v>
      </c>
      <c r="M326">
        <v>2</v>
      </c>
      <c r="N326">
        <v>825</v>
      </c>
      <c r="O326">
        <v>0</v>
      </c>
      <c r="P326">
        <v>6</v>
      </c>
      <c r="Q326">
        <v>0</v>
      </c>
      <c r="R326">
        <v>13</v>
      </c>
      <c r="S326">
        <v>4</v>
      </c>
      <c r="T326">
        <v>16</v>
      </c>
      <c r="U326">
        <v>4</v>
      </c>
      <c r="V326">
        <v>0</v>
      </c>
      <c r="W326">
        <v>9</v>
      </c>
      <c r="X326">
        <v>0</v>
      </c>
      <c r="Y326">
        <v>0</v>
      </c>
      <c r="Z326">
        <v>0</v>
      </c>
      <c r="AA326">
        <v>1</v>
      </c>
      <c r="AB326">
        <v>1</v>
      </c>
      <c r="AC326">
        <v>0</v>
      </c>
      <c r="AD326">
        <v>0</v>
      </c>
      <c r="AE326">
        <v>7</v>
      </c>
      <c r="AF326">
        <v>4</v>
      </c>
      <c r="AG326">
        <v>28</v>
      </c>
      <c r="AH326">
        <v>25</v>
      </c>
      <c r="AI326">
        <v>0</v>
      </c>
      <c r="AJ326">
        <v>50</v>
      </c>
      <c r="AK326">
        <v>0</v>
      </c>
      <c r="AL326">
        <v>0</v>
      </c>
      <c r="AM326">
        <v>18</v>
      </c>
      <c r="AN326">
        <v>14</v>
      </c>
      <c r="AO326">
        <v>32</v>
      </c>
      <c r="AQ326" t="str">
        <f t="shared" si="5"/>
        <v>Midfielder</v>
      </c>
    </row>
    <row r="327" spans="1:43" x14ac:dyDescent="0.35">
      <c r="A327" t="s">
        <v>278</v>
      </c>
      <c r="B327" t="s">
        <v>46</v>
      </c>
      <c r="C327" t="s">
        <v>1194</v>
      </c>
      <c r="D327">
        <v>1990</v>
      </c>
      <c r="E327">
        <v>28</v>
      </c>
      <c r="F327" t="s">
        <v>84</v>
      </c>
      <c r="G327" t="s">
        <v>51</v>
      </c>
      <c r="H327">
        <v>3300000</v>
      </c>
      <c r="I327">
        <v>3850000</v>
      </c>
      <c r="J327" t="s">
        <v>55</v>
      </c>
      <c r="K327">
        <v>25</v>
      </c>
      <c r="L327">
        <v>1738</v>
      </c>
      <c r="M327">
        <v>2</v>
      </c>
      <c r="N327">
        <v>970</v>
      </c>
      <c r="O327">
        <v>1</v>
      </c>
      <c r="P327">
        <v>8</v>
      </c>
      <c r="Q327">
        <v>0</v>
      </c>
      <c r="R327">
        <v>6</v>
      </c>
      <c r="S327">
        <v>4</v>
      </c>
      <c r="T327">
        <v>21</v>
      </c>
      <c r="U327">
        <v>7</v>
      </c>
      <c r="V327">
        <v>1</v>
      </c>
      <c r="W327">
        <v>22</v>
      </c>
      <c r="X327">
        <v>0</v>
      </c>
      <c r="Y327">
        <v>0</v>
      </c>
      <c r="Z327">
        <v>0</v>
      </c>
      <c r="AA327">
        <v>2</v>
      </c>
      <c r="AB327">
        <v>3</v>
      </c>
      <c r="AC327">
        <v>14</v>
      </c>
      <c r="AD327">
        <v>0</v>
      </c>
      <c r="AE327">
        <v>6</v>
      </c>
      <c r="AF327">
        <v>11</v>
      </c>
      <c r="AG327">
        <v>20</v>
      </c>
      <c r="AH327">
        <v>29</v>
      </c>
      <c r="AI327">
        <v>0</v>
      </c>
      <c r="AJ327">
        <v>58</v>
      </c>
      <c r="AK327">
        <v>1</v>
      </c>
      <c r="AL327">
        <v>0</v>
      </c>
      <c r="AM327">
        <v>45</v>
      </c>
      <c r="AN327">
        <v>34</v>
      </c>
      <c r="AO327">
        <v>38</v>
      </c>
      <c r="AQ327" t="str">
        <f t="shared" si="5"/>
        <v>Midfielder</v>
      </c>
    </row>
    <row r="328" spans="1:43" x14ac:dyDescent="0.35">
      <c r="A328" t="s">
        <v>278</v>
      </c>
      <c r="B328" t="s">
        <v>43</v>
      </c>
      <c r="C328" t="s">
        <v>1195</v>
      </c>
      <c r="D328">
        <v>1990</v>
      </c>
      <c r="E328">
        <v>27</v>
      </c>
      <c r="F328" t="s">
        <v>84</v>
      </c>
      <c r="G328" t="s">
        <v>51</v>
      </c>
      <c r="H328">
        <v>4500000</v>
      </c>
      <c r="I328">
        <v>4500000</v>
      </c>
      <c r="J328" t="s">
        <v>55</v>
      </c>
      <c r="K328">
        <v>28</v>
      </c>
      <c r="L328">
        <v>1943</v>
      </c>
      <c r="M328">
        <v>2</v>
      </c>
      <c r="N328">
        <v>1062</v>
      </c>
      <c r="O328">
        <v>1</v>
      </c>
      <c r="P328">
        <v>8</v>
      </c>
      <c r="Q328">
        <v>0</v>
      </c>
      <c r="R328">
        <v>7</v>
      </c>
      <c r="S328">
        <v>2</v>
      </c>
      <c r="T328">
        <v>22</v>
      </c>
      <c r="U328">
        <v>8</v>
      </c>
      <c r="V328">
        <v>0</v>
      </c>
      <c r="W328">
        <v>14</v>
      </c>
      <c r="X328">
        <v>0</v>
      </c>
      <c r="Y328">
        <v>0</v>
      </c>
      <c r="Z328">
        <v>0</v>
      </c>
      <c r="AA328">
        <v>2</v>
      </c>
      <c r="AB328">
        <v>1</v>
      </c>
      <c r="AC328">
        <v>14</v>
      </c>
      <c r="AD328">
        <v>1</v>
      </c>
      <c r="AE328">
        <v>6</v>
      </c>
      <c r="AF328">
        <v>8</v>
      </c>
      <c r="AG328">
        <v>25</v>
      </c>
      <c r="AH328">
        <v>38</v>
      </c>
      <c r="AI328">
        <v>0</v>
      </c>
      <c r="AJ328">
        <v>50</v>
      </c>
      <c r="AK328">
        <v>0</v>
      </c>
      <c r="AL328">
        <v>0</v>
      </c>
      <c r="AM328">
        <v>25</v>
      </c>
      <c r="AN328">
        <v>54</v>
      </c>
      <c r="AO328">
        <v>58</v>
      </c>
      <c r="AQ328" t="str">
        <f t="shared" si="5"/>
        <v>Midfielder</v>
      </c>
    </row>
    <row r="329" spans="1:43" x14ac:dyDescent="0.35">
      <c r="A329" t="s">
        <v>279</v>
      </c>
      <c r="B329" t="s">
        <v>47</v>
      </c>
      <c r="C329" t="s">
        <v>1196</v>
      </c>
      <c r="D329">
        <v>1994</v>
      </c>
      <c r="E329">
        <v>21</v>
      </c>
      <c r="F329" t="s">
        <v>99</v>
      </c>
      <c r="G329" t="s">
        <v>69</v>
      </c>
      <c r="H329">
        <v>3300000</v>
      </c>
      <c r="I329">
        <v>11000000</v>
      </c>
      <c r="J329" t="s">
        <v>55</v>
      </c>
      <c r="K329">
        <v>24</v>
      </c>
      <c r="L329">
        <v>1666</v>
      </c>
      <c r="M329">
        <v>1</v>
      </c>
      <c r="N329">
        <v>782</v>
      </c>
      <c r="O329">
        <v>1</v>
      </c>
      <c r="P329">
        <v>3</v>
      </c>
      <c r="Q329">
        <v>0</v>
      </c>
      <c r="R329">
        <v>7</v>
      </c>
      <c r="S329">
        <v>0</v>
      </c>
      <c r="T329">
        <v>14</v>
      </c>
      <c r="U329">
        <v>5</v>
      </c>
      <c r="V329">
        <v>0</v>
      </c>
      <c r="W329">
        <v>20</v>
      </c>
      <c r="X329">
        <v>1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3</v>
      </c>
      <c r="AF329">
        <v>7</v>
      </c>
      <c r="AG329">
        <v>25</v>
      </c>
      <c r="AH329">
        <v>30</v>
      </c>
      <c r="AI329">
        <v>0</v>
      </c>
      <c r="AJ329">
        <v>41</v>
      </c>
      <c r="AK329">
        <v>0</v>
      </c>
      <c r="AL329">
        <v>0</v>
      </c>
      <c r="AM329">
        <v>33</v>
      </c>
      <c r="AN329">
        <v>33</v>
      </c>
      <c r="AO329">
        <v>32</v>
      </c>
      <c r="AQ329" t="str">
        <f t="shared" si="5"/>
        <v>Midfielder</v>
      </c>
    </row>
    <row r="330" spans="1:43" x14ac:dyDescent="0.35">
      <c r="A330" t="s">
        <v>280</v>
      </c>
      <c r="B330" t="s">
        <v>47</v>
      </c>
      <c r="C330" t="s">
        <v>1197</v>
      </c>
      <c r="D330">
        <v>1990</v>
      </c>
      <c r="E330">
        <v>25</v>
      </c>
      <c r="F330" t="s">
        <v>48</v>
      </c>
      <c r="G330" t="s">
        <v>45</v>
      </c>
      <c r="H330">
        <v>2200000</v>
      </c>
      <c r="I330">
        <v>2200000</v>
      </c>
      <c r="J330" t="s">
        <v>52</v>
      </c>
      <c r="K330">
        <v>14</v>
      </c>
      <c r="L330">
        <v>917</v>
      </c>
      <c r="M330">
        <v>1</v>
      </c>
      <c r="N330">
        <v>380</v>
      </c>
      <c r="O330">
        <v>0</v>
      </c>
      <c r="P330">
        <v>3</v>
      </c>
      <c r="Q330">
        <v>0</v>
      </c>
      <c r="R330">
        <v>3</v>
      </c>
      <c r="S330">
        <v>2</v>
      </c>
      <c r="T330">
        <v>10</v>
      </c>
      <c r="U330">
        <v>5</v>
      </c>
      <c r="V330">
        <v>0</v>
      </c>
      <c r="W330">
        <v>40</v>
      </c>
      <c r="X330">
        <v>1</v>
      </c>
      <c r="Y330">
        <v>0</v>
      </c>
      <c r="Z330">
        <v>0</v>
      </c>
      <c r="AA330">
        <v>1</v>
      </c>
      <c r="AB330">
        <v>1</v>
      </c>
      <c r="AC330">
        <v>1</v>
      </c>
      <c r="AD330">
        <v>0</v>
      </c>
      <c r="AE330">
        <v>6</v>
      </c>
      <c r="AF330">
        <v>6</v>
      </c>
      <c r="AG330">
        <v>27</v>
      </c>
      <c r="AH330">
        <v>15</v>
      </c>
      <c r="AI330">
        <v>0</v>
      </c>
      <c r="AJ330">
        <v>11</v>
      </c>
      <c r="AK330">
        <v>0</v>
      </c>
      <c r="AL330">
        <v>0</v>
      </c>
      <c r="AM330">
        <v>68</v>
      </c>
      <c r="AN330">
        <v>36</v>
      </c>
      <c r="AO330">
        <v>19</v>
      </c>
      <c r="AQ330" t="str">
        <f t="shared" si="5"/>
        <v>Defensive Forward</v>
      </c>
    </row>
    <row r="331" spans="1:43" x14ac:dyDescent="0.35">
      <c r="A331" t="s">
        <v>281</v>
      </c>
      <c r="B331" t="s">
        <v>39</v>
      </c>
      <c r="C331" t="s">
        <v>1198</v>
      </c>
      <c r="D331">
        <v>1990</v>
      </c>
      <c r="E331">
        <v>25</v>
      </c>
      <c r="F331" t="s">
        <v>99</v>
      </c>
      <c r="G331" t="s">
        <v>51</v>
      </c>
      <c r="H331">
        <v>11000000</v>
      </c>
      <c r="I331">
        <v>9900000</v>
      </c>
      <c r="J331" t="s">
        <v>55</v>
      </c>
      <c r="K331">
        <v>35</v>
      </c>
      <c r="L331">
        <v>3038</v>
      </c>
      <c r="M331">
        <v>2</v>
      </c>
      <c r="N331">
        <v>1984</v>
      </c>
      <c r="O331">
        <v>7</v>
      </c>
      <c r="P331">
        <v>3</v>
      </c>
      <c r="Q331">
        <v>1</v>
      </c>
      <c r="R331">
        <v>0</v>
      </c>
      <c r="S331">
        <v>6</v>
      </c>
      <c r="T331">
        <v>41</v>
      </c>
      <c r="U331">
        <v>9</v>
      </c>
      <c r="V331">
        <v>0</v>
      </c>
      <c r="W331">
        <v>45</v>
      </c>
      <c r="X331">
        <v>0</v>
      </c>
      <c r="Y331">
        <v>0</v>
      </c>
      <c r="Z331">
        <v>0</v>
      </c>
      <c r="AA331">
        <v>0</v>
      </c>
      <c r="AB331">
        <v>11</v>
      </c>
      <c r="AC331">
        <v>3</v>
      </c>
      <c r="AD331">
        <v>4</v>
      </c>
      <c r="AE331">
        <v>47</v>
      </c>
      <c r="AF331">
        <v>17</v>
      </c>
      <c r="AG331">
        <v>55</v>
      </c>
      <c r="AH331">
        <v>54</v>
      </c>
      <c r="AI331">
        <v>0</v>
      </c>
      <c r="AJ331">
        <v>106</v>
      </c>
      <c r="AK331">
        <v>0</v>
      </c>
      <c r="AL331">
        <v>0</v>
      </c>
      <c r="AM331">
        <v>68</v>
      </c>
      <c r="AN331">
        <v>29</v>
      </c>
      <c r="AO331">
        <v>44</v>
      </c>
      <c r="AQ331" t="str">
        <f t="shared" si="5"/>
        <v>Midfielder</v>
      </c>
    </row>
    <row r="332" spans="1:43" x14ac:dyDescent="0.35">
      <c r="A332" t="s">
        <v>281</v>
      </c>
      <c r="B332" t="s">
        <v>47</v>
      </c>
      <c r="C332" t="s">
        <v>1199</v>
      </c>
      <c r="D332">
        <v>1990</v>
      </c>
      <c r="E332">
        <v>26</v>
      </c>
      <c r="F332" t="s">
        <v>99</v>
      </c>
      <c r="G332" t="s">
        <v>51</v>
      </c>
      <c r="H332">
        <v>9900000</v>
      </c>
      <c r="I332">
        <v>22000000</v>
      </c>
      <c r="J332" t="s">
        <v>55</v>
      </c>
      <c r="K332">
        <v>29</v>
      </c>
      <c r="L332">
        <v>2467</v>
      </c>
      <c r="M332">
        <v>1</v>
      </c>
      <c r="N332">
        <v>1745</v>
      </c>
      <c r="O332">
        <v>1</v>
      </c>
      <c r="P332">
        <v>6</v>
      </c>
      <c r="Q332">
        <v>0</v>
      </c>
      <c r="R332">
        <v>2</v>
      </c>
      <c r="S332">
        <v>2</v>
      </c>
      <c r="T332">
        <v>31</v>
      </c>
      <c r="U332">
        <v>3</v>
      </c>
      <c r="V332">
        <v>0</v>
      </c>
      <c r="W332">
        <v>31</v>
      </c>
      <c r="X332">
        <v>0</v>
      </c>
      <c r="Y332">
        <v>0</v>
      </c>
      <c r="Z332">
        <v>0</v>
      </c>
      <c r="AA332">
        <v>1</v>
      </c>
      <c r="AB332">
        <v>3</v>
      </c>
      <c r="AC332">
        <v>0</v>
      </c>
      <c r="AD332">
        <v>1</v>
      </c>
      <c r="AE332">
        <v>27</v>
      </c>
      <c r="AF332">
        <v>12</v>
      </c>
      <c r="AG332">
        <v>40</v>
      </c>
      <c r="AH332">
        <v>46</v>
      </c>
      <c r="AI332">
        <v>0</v>
      </c>
      <c r="AJ332">
        <v>84</v>
      </c>
      <c r="AK332">
        <v>1</v>
      </c>
      <c r="AL332">
        <v>0</v>
      </c>
      <c r="AM332">
        <v>52</v>
      </c>
      <c r="AN332">
        <v>38</v>
      </c>
      <c r="AO332">
        <v>45</v>
      </c>
      <c r="AQ332" t="str">
        <f t="shared" si="5"/>
        <v>Midfielder</v>
      </c>
    </row>
    <row r="333" spans="1:43" x14ac:dyDescent="0.35">
      <c r="A333" t="s">
        <v>281</v>
      </c>
      <c r="B333" t="s">
        <v>43</v>
      </c>
      <c r="C333" t="s">
        <v>1200</v>
      </c>
      <c r="D333">
        <v>1990</v>
      </c>
      <c r="E333">
        <v>27</v>
      </c>
      <c r="F333" t="s">
        <v>44</v>
      </c>
      <c r="G333" t="s">
        <v>51</v>
      </c>
      <c r="H333">
        <v>1800000</v>
      </c>
      <c r="I333">
        <v>1800000</v>
      </c>
      <c r="J333" t="s">
        <v>55</v>
      </c>
      <c r="K333">
        <v>12</v>
      </c>
      <c r="L333">
        <v>522</v>
      </c>
      <c r="M333">
        <v>1</v>
      </c>
      <c r="N333">
        <v>385</v>
      </c>
      <c r="O333">
        <v>0</v>
      </c>
      <c r="P333">
        <v>0</v>
      </c>
      <c r="Q333">
        <v>0</v>
      </c>
      <c r="R333">
        <v>7</v>
      </c>
      <c r="S333">
        <v>2</v>
      </c>
      <c r="T333">
        <v>2</v>
      </c>
      <c r="U333">
        <v>2</v>
      </c>
      <c r="V333">
        <v>0</v>
      </c>
      <c r="W333">
        <v>5</v>
      </c>
      <c r="X333">
        <v>0</v>
      </c>
      <c r="Y333">
        <v>0</v>
      </c>
      <c r="Z333">
        <v>0</v>
      </c>
      <c r="AA333">
        <v>0</v>
      </c>
      <c r="AB333">
        <v>3</v>
      </c>
      <c r="AC333">
        <v>0</v>
      </c>
      <c r="AD333">
        <v>0</v>
      </c>
      <c r="AE333">
        <v>2</v>
      </c>
      <c r="AF333">
        <v>2</v>
      </c>
      <c r="AG333">
        <v>8</v>
      </c>
      <c r="AH333">
        <v>10</v>
      </c>
      <c r="AI333">
        <v>0</v>
      </c>
      <c r="AJ333">
        <v>15</v>
      </c>
      <c r="AK333">
        <v>0</v>
      </c>
      <c r="AL333">
        <v>0</v>
      </c>
      <c r="AM333">
        <v>7</v>
      </c>
      <c r="AN333">
        <v>0</v>
      </c>
      <c r="AO333">
        <v>3</v>
      </c>
      <c r="AQ333" t="str">
        <f t="shared" si="5"/>
        <v>Midfielder</v>
      </c>
    </row>
    <row r="334" spans="1:43" x14ac:dyDescent="0.35">
      <c r="A334" t="s">
        <v>282</v>
      </c>
      <c r="B334" t="s">
        <v>43</v>
      </c>
      <c r="C334" t="s">
        <v>1201</v>
      </c>
      <c r="D334">
        <v>1989</v>
      </c>
      <c r="E334">
        <v>28</v>
      </c>
      <c r="F334" t="s">
        <v>80</v>
      </c>
      <c r="G334" t="s">
        <v>51</v>
      </c>
      <c r="H334">
        <v>18000000</v>
      </c>
      <c r="I334">
        <v>13500000</v>
      </c>
      <c r="J334" t="s">
        <v>42</v>
      </c>
      <c r="K334">
        <v>15</v>
      </c>
      <c r="L334">
        <v>547</v>
      </c>
      <c r="M334">
        <v>2</v>
      </c>
      <c r="N334">
        <v>158</v>
      </c>
      <c r="O334">
        <v>1</v>
      </c>
      <c r="P334">
        <v>0</v>
      </c>
      <c r="Q334">
        <v>0</v>
      </c>
      <c r="R334">
        <v>8</v>
      </c>
      <c r="S334">
        <v>6</v>
      </c>
      <c r="T334">
        <v>24</v>
      </c>
      <c r="U334">
        <v>8</v>
      </c>
      <c r="V334">
        <v>0</v>
      </c>
      <c r="W334">
        <v>1</v>
      </c>
      <c r="X334">
        <v>1</v>
      </c>
      <c r="Y334">
        <v>0</v>
      </c>
      <c r="Z334">
        <v>0</v>
      </c>
      <c r="AA334">
        <v>3</v>
      </c>
      <c r="AB334">
        <v>1</v>
      </c>
      <c r="AC334">
        <v>16</v>
      </c>
      <c r="AD334">
        <v>0</v>
      </c>
      <c r="AE334">
        <v>4</v>
      </c>
      <c r="AF334">
        <v>0</v>
      </c>
      <c r="AG334">
        <v>0</v>
      </c>
      <c r="AH334">
        <v>1</v>
      </c>
      <c r="AI334">
        <v>0</v>
      </c>
      <c r="AJ334">
        <v>0</v>
      </c>
      <c r="AK334">
        <v>0</v>
      </c>
      <c r="AL334">
        <v>0</v>
      </c>
      <c r="AM334">
        <v>1</v>
      </c>
      <c r="AN334">
        <v>3</v>
      </c>
      <c r="AO334">
        <v>6</v>
      </c>
      <c r="AQ334" t="str">
        <f t="shared" si="5"/>
        <v>Forward</v>
      </c>
    </row>
    <row r="335" spans="1:43" x14ac:dyDescent="0.35">
      <c r="A335" t="s">
        <v>282</v>
      </c>
      <c r="B335" t="s">
        <v>46</v>
      </c>
      <c r="C335" t="s">
        <v>1202</v>
      </c>
      <c r="D335">
        <v>1989</v>
      </c>
      <c r="E335">
        <v>28</v>
      </c>
      <c r="F335" t="s">
        <v>80</v>
      </c>
      <c r="G335" t="s">
        <v>51</v>
      </c>
      <c r="H335">
        <v>13500000</v>
      </c>
      <c r="I335">
        <v>13500000</v>
      </c>
      <c r="J335" t="s">
        <v>42</v>
      </c>
      <c r="K335">
        <v>18</v>
      </c>
      <c r="L335">
        <v>499</v>
      </c>
      <c r="M335">
        <v>2</v>
      </c>
      <c r="N335">
        <v>190</v>
      </c>
      <c r="O335">
        <v>0</v>
      </c>
      <c r="P335">
        <v>0</v>
      </c>
      <c r="Q335">
        <v>0</v>
      </c>
      <c r="R335">
        <v>14</v>
      </c>
      <c r="S335">
        <v>1</v>
      </c>
      <c r="T335">
        <v>18</v>
      </c>
      <c r="U335">
        <v>6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4</v>
      </c>
      <c r="AB335">
        <v>2</v>
      </c>
      <c r="AC335">
        <v>12</v>
      </c>
      <c r="AD335">
        <v>0</v>
      </c>
      <c r="AE335">
        <v>3</v>
      </c>
      <c r="AF335">
        <v>0</v>
      </c>
      <c r="AG335">
        <v>0</v>
      </c>
      <c r="AH335">
        <v>5</v>
      </c>
      <c r="AI335">
        <v>0</v>
      </c>
      <c r="AJ335">
        <v>3</v>
      </c>
      <c r="AK335">
        <v>0</v>
      </c>
      <c r="AL335">
        <v>0</v>
      </c>
      <c r="AM335">
        <v>0</v>
      </c>
      <c r="AN335">
        <v>4</v>
      </c>
      <c r="AO335">
        <v>18</v>
      </c>
      <c r="AQ335" t="str">
        <f t="shared" si="5"/>
        <v>Forward</v>
      </c>
    </row>
    <row r="336" spans="1:43" x14ac:dyDescent="0.35">
      <c r="A336" t="s">
        <v>282</v>
      </c>
      <c r="B336" t="s">
        <v>47</v>
      </c>
      <c r="C336" t="s">
        <v>1203</v>
      </c>
      <c r="D336">
        <v>1989</v>
      </c>
      <c r="E336">
        <v>26</v>
      </c>
      <c r="F336" t="s">
        <v>80</v>
      </c>
      <c r="G336" t="s">
        <v>51</v>
      </c>
      <c r="H336">
        <v>22000000</v>
      </c>
      <c r="I336">
        <v>18000000</v>
      </c>
      <c r="J336" t="s">
        <v>42</v>
      </c>
      <c r="K336">
        <v>20</v>
      </c>
      <c r="L336">
        <v>769</v>
      </c>
      <c r="M336">
        <v>3</v>
      </c>
      <c r="N336">
        <v>278</v>
      </c>
      <c r="O336">
        <v>1</v>
      </c>
      <c r="P336">
        <v>1</v>
      </c>
      <c r="Q336">
        <v>0</v>
      </c>
      <c r="R336">
        <v>13</v>
      </c>
      <c r="S336">
        <v>7</v>
      </c>
      <c r="T336">
        <v>40</v>
      </c>
      <c r="U336">
        <v>21</v>
      </c>
      <c r="V336">
        <v>4</v>
      </c>
      <c r="W336">
        <v>0</v>
      </c>
      <c r="X336">
        <v>1</v>
      </c>
      <c r="Y336">
        <v>0</v>
      </c>
      <c r="Z336">
        <v>0</v>
      </c>
      <c r="AA336">
        <v>7</v>
      </c>
      <c r="AB336">
        <v>3</v>
      </c>
      <c r="AC336">
        <v>3</v>
      </c>
      <c r="AD336">
        <v>1</v>
      </c>
      <c r="AE336">
        <v>7</v>
      </c>
      <c r="AF336">
        <v>1</v>
      </c>
      <c r="AG336">
        <v>2</v>
      </c>
      <c r="AH336">
        <v>5</v>
      </c>
      <c r="AI336">
        <v>0</v>
      </c>
      <c r="AJ336">
        <v>1</v>
      </c>
      <c r="AK336">
        <v>0</v>
      </c>
      <c r="AL336">
        <v>0</v>
      </c>
      <c r="AM336">
        <v>0</v>
      </c>
      <c r="AN336">
        <v>3</v>
      </c>
      <c r="AO336">
        <v>12</v>
      </c>
      <c r="AQ336" t="str">
        <f t="shared" si="5"/>
        <v>Forward</v>
      </c>
    </row>
    <row r="337" spans="1:43" x14ac:dyDescent="0.35">
      <c r="A337" t="s">
        <v>282</v>
      </c>
      <c r="B337" t="s">
        <v>39</v>
      </c>
      <c r="C337" t="s">
        <v>1204</v>
      </c>
      <c r="D337">
        <v>1989</v>
      </c>
      <c r="E337">
        <v>25</v>
      </c>
      <c r="F337" t="s">
        <v>80</v>
      </c>
      <c r="G337" t="s">
        <v>51</v>
      </c>
      <c r="H337">
        <v>22000000</v>
      </c>
      <c r="I337">
        <v>22000000</v>
      </c>
      <c r="J337" t="s">
        <v>42</v>
      </c>
      <c r="K337">
        <v>14</v>
      </c>
      <c r="L337">
        <v>979</v>
      </c>
      <c r="M337">
        <v>8</v>
      </c>
      <c r="N337">
        <v>317</v>
      </c>
      <c r="O337">
        <v>1</v>
      </c>
      <c r="P337">
        <v>0</v>
      </c>
      <c r="Q337">
        <v>0</v>
      </c>
      <c r="R337">
        <v>3</v>
      </c>
      <c r="S337">
        <v>5</v>
      </c>
      <c r="T337">
        <v>48</v>
      </c>
      <c r="U337">
        <v>23</v>
      </c>
      <c r="V337">
        <v>2</v>
      </c>
      <c r="W337">
        <v>3</v>
      </c>
      <c r="X337">
        <v>3</v>
      </c>
      <c r="Y337">
        <v>0</v>
      </c>
      <c r="Z337">
        <v>0</v>
      </c>
      <c r="AA337">
        <v>7</v>
      </c>
      <c r="AB337">
        <v>4</v>
      </c>
      <c r="AC337">
        <v>5</v>
      </c>
      <c r="AD337">
        <v>0</v>
      </c>
      <c r="AE337">
        <v>11</v>
      </c>
      <c r="AF337">
        <v>0</v>
      </c>
      <c r="AG337">
        <v>3</v>
      </c>
      <c r="AH337">
        <v>2</v>
      </c>
      <c r="AI337">
        <v>0</v>
      </c>
      <c r="AJ337">
        <v>3</v>
      </c>
      <c r="AK337">
        <v>0</v>
      </c>
      <c r="AL337">
        <v>0</v>
      </c>
      <c r="AM337">
        <v>4</v>
      </c>
      <c r="AN337">
        <v>5</v>
      </c>
      <c r="AO337">
        <v>24</v>
      </c>
      <c r="AQ337" t="str">
        <f t="shared" si="5"/>
        <v>Forward</v>
      </c>
    </row>
    <row r="338" spans="1:43" x14ac:dyDescent="0.35">
      <c r="A338" t="s">
        <v>283</v>
      </c>
      <c r="B338" t="s">
        <v>43</v>
      </c>
      <c r="C338" t="s">
        <v>1205</v>
      </c>
      <c r="D338">
        <v>1991</v>
      </c>
      <c r="E338">
        <v>26</v>
      </c>
      <c r="F338" t="s">
        <v>114</v>
      </c>
      <c r="G338" t="s">
        <v>154</v>
      </c>
      <c r="H338">
        <v>14400000</v>
      </c>
      <c r="I338">
        <v>18000000</v>
      </c>
      <c r="J338" t="s">
        <v>52</v>
      </c>
      <c r="K338">
        <v>23</v>
      </c>
      <c r="L338">
        <v>1341</v>
      </c>
      <c r="M338">
        <v>3</v>
      </c>
      <c r="N338">
        <v>1111</v>
      </c>
      <c r="O338">
        <v>2</v>
      </c>
      <c r="P338">
        <v>2</v>
      </c>
      <c r="Q338">
        <v>0</v>
      </c>
      <c r="R338">
        <v>10</v>
      </c>
      <c r="S338">
        <v>2</v>
      </c>
      <c r="T338">
        <v>19</v>
      </c>
      <c r="U338">
        <v>7</v>
      </c>
      <c r="V338">
        <v>1</v>
      </c>
      <c r="W338">
        <v>11</v>
      </c>
      <c r="X338">
        <v>0</v>
      </c>
      <c r="Y338">
        <v>0</v>
      </c>
      <c r="Z338">
        <v>0</v>
      </c>
      <c r="AA338">
        <v>0</v>
      </c>
      <c r="AB338">
        <v>2</v>
      </c>
      <c r="AC338">
        <v>12</v>
      </c>
      <c r="AD338">
        <v>0</v>
      </c>
      <c r="AE338">
        <v>24</v>
      </c>
      <c r="AF338">
        <v>6</v>
      </c>
      <c r="AG338">
        <v>19</v>
      </c>
      <c r="AH338">
        <v>12</v>
      </c>
      <c r="AI338">
        <v>0</v>
      </c>
      <c r="AJ338">
        <v>43</v>
      </c>
      <c r="AK338">
        <v>0</v>
      </c>
      <c r="AL338">
        <v>0</v>
      </c>
      <c r="AM338">
        <v>28</v>
      </c>
      <c r="AN338">
        <v>16</v>
      </c>
      <c r="AO338">
        <v>6</v>
      </c>
      <c r="AQ338" t="str">
        <f t="shared" si="5"/>
        <v>Defensive Forward</v>
      </c>
    </row>
    <row r="339" spans="1:43" x14ac:dyDescent="0.35">
      <c r="A339" t="s">
        <v>283</v>
      </c>
      <c r="B339" t="s">
        <v>46</v>
      </c>
      <c r="C339" t="s">
        <v>1206</v>
      </c>
      <c r="D339">
        <v>1991</v>
      </c>
      <c r="E339">
        <v>27</v>
      </c>
      <c r="F339" t="s">
        <v>114</v>
      </c>
      <c r="G339" t="s">
        <v>154</v>
      </c>
      <c r="H339">
        <v>18000000</v>
      </c>
      <c r="I339">
        <v>18000000</v>
      </c>
      <c r="J339" t="s">
        <v>52</v>
      </c>
      <c r="K339">
        <v>11</v>
      </c>
      <c r="L339">
        <v>806</v>
      </c>
      <c r="M339">
        <v>1</v>
      </c>
      <c r="N339">
        <v>767</v>
      </c>
      <c r="O339">
        <v>0</v>
      </c>
      <c r="P339">
        <v>1</v>
      </c>
      <c r="Q339">
        <v>0</v>
      </c>
      <c r="R339">
        <v>2</v>
      </c>
      <c r="S339">
        <v>1</v>
      </c>
      <c r="T339">
        <v>14</v>
      </c>
      <c r="U339">
        <v>3</v>
      </c>
      <c r="V339">
        <v>0</v>
      </c>
      <c r="W339">
        <v>11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11</v>
      </c>
      <c r="AD339">
        <v>0</v>
      </c>
      <c r="AE339">
        <v>12</v>
      </c>
      <c r="AF339">
        <v>0</v>
      </c>
      <c r="AG339">
        <v>15</v>
      </c>
      <c r="AH339">
        <v>10</v>
      </c>
      <c r="AI339">
        <v>0</v>
      </c>
      <c r="AJ339">
        <v>20</v>
      </c>
      <c r="AK339">
        <v>0</v>
      </c>
      <c r="AL339">
        <v>0</v>
      </c>
      <c r="AM339">
        <v>20</v>
      </c>
      <c r="AN339">
        <v>18</v>
      </c>
      <c r="AO339">
        <v>14</v>
      </c>
      <c r="AQ339" t="str">
        <f t="shared" si="5"/>
        <v>Defensive Forward</v>
      </c>
    </row>
    <row r="340" spans="1:43" x14ac:dyDescent="0.35">
      <c r="A340" t="s">
        <v>284</v>
      </c>
      <c r="B340" t="s">
        <v>39</v>
      </c>
      <c r="C340" t="s">
        <v>1207</v>
      </c>
      <c r="D340">
        <v>1985</v>
      </c>
      <c r="E340">
        <v>29</v>
      </c>
      <c r="F340" t="s">
        <v>78</v>
      </c>
      <c r="G340" t="s">
        <v>51</v>
      </c>
      <c r="H340">
        <v>1350000</v>
      </c>
      <c r="I340">
        <v>1350000</v>
      </c>
      <c r="J340" t="s">
        <v>42</v>
      </c>
      <c r="K340">
        <v>10</v>
      </c>
      <c r="L340">
        <v>358</v>
      </c>
      <c r="M340">
        <v>0</v>
      </c>
      <c r="N340">
        <v>88</v>
      </c>
      <c r="O340">
        <v>0</v>
      </c>
      <c r="P340">
        <v>0</v>
      </c>
      <c r="Q340">
        <v>0</v>
      </c>
      <c r="R340">
        <v>6</v>
      </c>
      <c r="S340">
        <v>4</v>
      </c>
      <c r="T340">
        <v>4</v>
      </c>
      <c r="U340">
        <v>0</v>
      </c>
      <c r="V340">
        <v>0</v>
      </c>
      <c r="W340">
        <v>4</v>
      </c>
      <c r="X340">
        <v>0</v>
      </c>
      <c r="Y340">
        <v>0</v>
      </c>
      <c r="Z340">
        <v>0</v>
      </c>
      <c r="AA340">
        <v>1</v>
      </c>
      <c r="AB340">
        <v>0</v>
      </c>
      <c r="AC340">
        <v>1</v>
      </c>
      <c r="AD340">
        <v>0</v>
      </c>
      <c r="AE340">
        <v>3</v>
      </c>
      <c r="AF340">
        <v>3</v>
      </c>
      <c r="AG340">
        <v>5</v>
      </c>
      <c r="AH340">
        <v>8</v>
      </c>
      <c r="AI340">
        <v>0</v>
      </c>
      <c r="AJ340">
        <v>1</v>
      </c>
      <c r="AK340">
        <v>0</v>
      </c>
      <c r="AL340">
        <v>0</v>
      </c>
      <c r="AM340">
        <v>6</v>
      </c>
      <c r="AN340">
        <v>11</v>
      </c>
      <c r="AO340">
        <v>21</v>
      </c>
      <c r="AQ340" t="str">
        <f t="shared" si="5"/>
        <v>Forward</v>
      </c>
    </row>
    <row r="341" spans="1:43" x14ac:dyDescent="0.35">
      <c r="A341" t="s">
        <v>285</v>
      </c>
      <c r="B341" t="s">
        <v>46</v>
      </c>
      <c r="C341" t="s">
        <v>1208</v>
      </c>
      <c r="D341">
        <v>1992</v>
      </c>
      <c r="E341">
        <v>26</v>
      </c>
      <c r="F341" t="s">
        <v>220</v>
      </c>
      <c r="G341" t="s">
        <v>51</v>
      </c>
      <c r="H341">
        <v>7200000</v>
      </c>
      <c r="I341">
        <v>13500000</v>
      </c>
      <c r="J341" t="s">
        <v>42</v>
      </c>
      <c r="K341">
        <v>24</v>
      </c>
      <c r="L341">
        <v>1666</v>
      </c>
      <c r="M341">
        <v>7</v>
      </c>
      <c r="N341">
        <v>392</v>
      </c>
      <c r="O341">
        <v>3</v>
      </c>
      <c r="P341">
        <v>1</v>
      </c>
      <c r="Q341">
        <v>0</v>
      </c>
      <c r="R341">
        <v>1</v>
      </c>
      <c r="S341">
        <v>18</v>
      </c>
      <c r="T341">
        <v>55</v>
      </c>
      <c r="U341">
        <v>23</v>
      </c>
      <c r="V341">
        <v>1</v>
      </c>
      <c r="W341">
        <v>2</v>
      </c>
      <c r="X341">
        <v>2</v>
      </c>
      <c r="Y341">
        <v>3</v>
      </c>
      <c r="Z341">
        <v>0</v>
      </c>
      <c r="AA341">
        <v>6</v>
      </c>
      <c r="AB341">
        <v>5</v>
      </c>
      <c r="AC341">
        <v>32</v>
      </c>
      <c r="AD341">
        <v>0</v>
      </c>
      <c r="AE341">
        <v>14</v>
      </c>
      <c r="AF341">
        <v>2</v>
      </c>
      <c r="AG341">
        <v>5</v>
      </c>
      <c r="AH341">
        <v>16</v>
      </c>
      <c r="AI341">
        <v>0</v>
      </c>
      <c r="AJ341">
        <v>30</v>
      </c>
      <c r="AK341">
        <v>0</v>
      </c>
      <c r="AL341">
        <v>0</v>
      </c>
      <c r="AM341">
        <v>7</v>
      </c>
      <c r="AN341">
        <v>19</v>
      </c>
      <c r="AO341">
        <v>58</v>
      </c>
      <c r="AQ341" t="str">
        <f t="shared" si="5"/>
        <v>Forward</v>
      </c>
    </row>
    <row r="342" spans="1:43" x14ac:dyDescent="0.35">
      <c r="A342" t="s">
        <v>286</v>
      </c>
      <c r="B342" t="s">
        <v>47</v>
      </c>
      <c r="C342" t="s">
        <v>1209</v>
      </c>
      <c r="D342">
        <v>1990</v>
      </c>
      <c r="E342">
        <v>26</v>
      </c>
      <c r="F342" t="s">
        <v>191</v>
      </c>
      <c r="G342" t="s">
        <v>51</v>
      </c>
      <c r="H342">
        <v>12600000</v>
      </c>
      <c r="I342">
        <v>25200000</v>
      </c>
      <c r="J342" t="s">
        <v>52</v>
      </c>
      <c r="K342">
        <v>18</v>
      </c>
      <c r="L342">
        <v>1533</v>
      </c>
      <c r="M342">
        <v>2</v>
      </c>
      <c r="N342">
        <v>783</v>
      </c>
      <c r="O342">
        <v>2</v>
      </c>
      <c r="P342">
        <v>8</v>
      </c>
      <c r="Q342">
        <v>0</v>
      </c>
      <c r="R342">
        <v>0</v>
      </c>
      <c r="S342">
        <v>3</v>
      </c>
      <c r="T342">
        <v>23</v>
      </c>
      <c r="U342">
        <v>5</v>
      </c>
      <c r="V342">
        <v>0</v>
      </c>
      <c r="W342">
        <v>25</v>
      </c>
      <c r="X342">
        <v>0</v>
      </c>
      <c r="Y342">
        <v>0</v>
      </c>
      <c r="Z342">
        <v>0</v>
      </c>
      <c r="AA342">
        <v>1</v>
      </c>
      <c r="AB342">
        <v>0</v>
      </c>
      <c r="AC342">
        <v>0</v>
      </c>
      <c r="AD342">
        <v>7</v>
      </c>
      <c r="AE342">
        <v>65</v>
      </c>
      <c r="AF342">
        <v>3</v>
      </c>
      <c r="AG342">
        <v>22</v>
      </c>
      <c r="AH342">
        <v>26</v>
      </c>
      <c r="AI342">
        <v>0</v>
      </c>
      <c r="AJ342">
        <v>50</v>
      </c>
      <c r="AK342">
        <v>0</v>
      </c>
      <c r="AL342">
        <v>0</v>
      </c>
      <c r="AM342">
        <v>52</v>
      </c>
      <c r="AN342">
        <v>27</v>
      </c>
      <c r="AO342">
        <v>16</v>
      </c>
      <c r="AQ342" t="str">
        <f t="shared" si="5"/>
        <v>Defensive Forward</v>
      </c>
    </row>
    <row r="343" spans="1:43" x14ac:dyDescent="0.35">
      <c r="A343" t="s">
        <v>286</v>
      </c>
      <c r="B343" t="s">
        <v>43</v>
      </c>
      <c r="C343" t="s">
        <v>1210</v>
      </c>
      <c r="D343">
        <v>1990</v>
      </c>
      <c r="E343">
        <v>27</v>
      </c>
      <c r="F343" t="s">
        <v>191</v>
      </c>
      <c r="G343" t="s">
        <v>51</v>
      </c>
      <c r="H343">
        <v>25200000</v>
      </c>
      <c r="I343">
        <v>27000000</v>
      </c>
      <c r="J343" t="s">
        <v>52</v>
      </c>
      <c r="K343">
        <v>10</v>
      </c>
      <c r="L343">
        <v>801</v>
      </c>
      <c r="M343">
        <v>0</v>
      </c>
      <c r="N343">
        <v>378</v>
      </c>
      <c r="O343">
        <v>1</v>
      </c>
      <c r="P343">
        <v>4</v>
      </c>
      <c r="Q343">
        <v>0</v>
      </c>
      <c r="R343">
        <v>1</v>
      </c>
      <c r="S343">
        <v>3</v>
      </c>
      <c r="T343">
        <v>1</v>
      </c>
      <c r="U343">
        <v>1</v>
      </c>
      <c r="V343">
        <v>0</v>
      </c>
      <c r="W343">
        <v>2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15</v>
      </c>
      <c r="AE343">
        <v>57</v>
      </c>
      <c r="AF343">
        <v>6</v>
      </c>
      <c r="AG343">
        <v>9</v>
      </c>
      <c r="AH343">
        <v>12</v>
      </c>
      <c r="AI343">
        <v>0</v>
      </c>
      <c r="AJ343">
        <v>15</v>
      </c>
      <c r="AK343">
        <v>0</v>
      </c>
      <c r="AL343">
        <v>0</v>
      </c>
      <c r="AM343">
        <v>10</v>
      </c>
      <c r="AN343">
        <v>8</v>
      </c>
      <c r="AO343">
        <v>5</v>
      </c>
      <c r="AQ343" t="str">
        <f t="shared" si="5"/>
        <v>Defensive Forward</v>
      </c>
    </row>
    <row r="344" spans="1:43" x14ac:dyDescent="0.35">
      <c r="A344" t="s">
        <v>286</v>
      </c>
      <c r="B344" t="s">
        <v>46</v>
      </c>
      <c r="C344" t="s">
        <v>1211</v>
      </c>
      <c r="D344">
        <v>1990</v>
      </c>
      <c r="E344">
        <v>28</v>
      </c>
      <c r="F344" t="s">
        <v>191</v>
      </c>
      <c r="G344" t="s">
        <v>51</v>
      </c>
      <c r="H344">
        <v>27000000</v>
      </c>
      <c r="I344">
        <v>22500000</v>
      </c>
      <c r="J344" t="s">
        <v>52</v>
      </c>
      <c r="K344">
        <v>26</v>
      </c>
      <c r="L344">
        <v>1798</v>
      </c>
      <c r="M344">
        <v>0</v>
      </c>
      <c r="N344">
        <v>929</v>
      </c>
      <c r="O344">
        <v>3</v>
      </c>
      <c r="P344">
        <v>5</v>
      </c>
      <c r="Q344">
        <v>0</v>
      </c>
      <c r="R344">
        <v>6</v>
      </c>
      <c r="S344">
        <v>6</v>
      </c>
      <c r="T344">
        <v>15</v>
      </c>
      <c r="U344">
        <v>2</v>
      </c>
      <c r="V344">
        <v>1</v>
      </c>
      <c r="W344">
        <v>12</v>
      </c>
      <c r="X344">
        <v>0</v>
      </c>
      <c r="Y344">
        <v>0</v>
      </c>
      <c r="Z344">
        <v>0</v>
      </c>
      <c r="AA344">
        <v>1</v>
      </c>
      <c r="AB344">
        <v>2</v>
      </c>
      <c r="AC344">
        <v>13</v>
      </c>
      <c r="AD344">
        <v>17</v>
      </c>
      <c r="AE344">
        <v>89</v>
      </c>
      <c r="AF344">
        <v>4</v>
      </c>
      <c r="AG344">
        <v>24</v>
      </c>
      <c r="AH344">
        <v>26</v>
      </c>
      <c r="AI344">
        <v>0</v>
      </c>
      <c r="AJ344">
        <v>49</v>
      </c>
      <c r="AK344">
        <v>1</v>
      </c>
      <c r="AL344">
        <v>0</v>
      </c>
      <c r="AM344">
        <v>20</v>
      </c>
      <c r="AN344">
        <v>27</v>
      </c>
      <c r="AO344">
        <v>17</v>
      </c>
      <c r="AQ344" t="str">
        <f t="shared" si="5"/>
        <v>Defensive Forward</v>
      </c>
    </row>
    <row r="345" spans="1:43" x14ac:dyDescent="0.35">
      <c r="A345" t="s">
        <v>286</v>
      </c>
      <c r="B345" t="s">
        <v>39</v>
      </c>
      <c r="C345" t="s">
        <v>1212</v>
      </c>
      <c r="D345">
        <v>1990</v>
      </c>
      <c r="E345">
        <v>25</v>
      </c>
      <c r="F345" t="s">
        <v>191</v>
      </c>
      <c r="G345" t="s">
        <v>51</v>
      </c>
      <c r="H345">
        <v>9900000</v>
      </c>
      <c r="I345">
        <v>12600000</v>
      </c>
      <c r="J345" t="s">
        <v>52</v>
      </c>
      <c r="K345">
        <v>24</v>
      </c>
      <c r="L345">
        <v>2132</v>
      </c>
      <c r="M345">
        <v>1</v>
      </c>
      <c r="N345">
        <v>1062</v>
      </c>
      <c r="O345">
        <v>3</v>
      </c>
      <c r="P345">
        <v>7</v>
      </c>
      <c r="Q345">
        <v>0</v>
      </c>
      <c r="R345">
        <v>0</v>
      </c>
      <c r="S345">
        <v>3</v>
      </c>
      <c r="T345">
        <v>26</v>
      </c>
      <c r="U345">
        <v>4</v>
      </c>
      <c r="V345">
        <v>0</v>
      </c>
      <c r="W345">
        <v>54</v>
      </c>
      <c r="X345">
        <v>0</v>
      </c>
      <c r="Y345">
        <v>0</v>
      </c>
      <c r="Z345">
        <v>0</v>
      </c>
      <c r="AA345">
        <v>0</v>
      </c>
      <c r="AB345">
        <v>1</v>
      </c>
      <c r="AC345">
        <v>2</v>
      </c>
      <c r="AD345">
        <v>0</v>
      </c>
      <c r="AE345">
        <v>88</v>
      </c>
      <c r="AF345">
        <v>11</v>
      </c>
      <c r="AG345">
        <v>39</v>
      </c>
      <c r="AH345">
        <v>41</v>
      </c>
      <c r="AI345">
        <v>0</v>
      </c>
      <c r="AJ345">
        <v>67</v>
      </c>
      <c r="AK345">
        <v>1</v>
      </c>
      <c r="AL345">
        <v>0</v>
      </c>
      <c r="AM345">
        <v>79</v>
      </c>
      <c r="AN345">
        <v>23</v>
      </c>
      <c r="AO345">
        <v>20</v>
      </c>
      <c r="AQ345" t="str">
        <f t="shared" si="5"/>
        <v>Defensive Forward</v>
      </c>
    </row>
    <row r="346" spans="1:43" x14ac:dyDescent="0.35">
      <c r="A346" t="s">
        <v>287</v>
      </c>
      <c r="B346" t="s">
        <v>39</v>
      </c>
      <c r="C346" t="s">
        <v>1213</v>
      </c>
      <c r="D346">
        <v>1987</v>
      </c>
      <c r="E346">
        <v>28</v>
      </c>
      <c r="F346" t="s">
        <v>99</v>
      </c>
      <c r="G346" t="s">
        <v>51</v>
      </c>
      <c r="H346">
        <v>1800000</v>
      </c>
      <c r="I346">
        <v>4500000</v>
      </c>
      <c r="J346" t="s">
        <v>52</v>
      </c>
      <c r="K346">
        <v>30</v>
      </c>
      <c r="L346">
        <v>2613</v>
      </c>
      <c r="M346">
        <v>0</v>
      </c>
      <c r="N346">
        <v>869</v>
      </c>
      <c r="O346">
        <v>0</v>
      </c>
      <c r="P346">
        <v>3</v>
      </c>
      <c r="Q346">
        <v>0</v>
      </c>
      <c r="R346">
        <v>0</v>
      </c>
      <c r="S346">
        <v>3</v>
      </c>
      <c r="T346">
        <v>7</v>
      </c>
      <c r="U346">
        <v>2</v>
      </c>
      <c r="V346">
        <v>0</v>
      </c>
      <c r="W346">
        <v>65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29</v>
      </c>
      <c r="AF346">
        <v>17</v>
      </c>
      <c r="AG346">
        <v>94</v>
      </c>
      <c r="AH346">
        <v>29</v>
      </c>
      <c r="AI346">
        <v>0</v>
      </c>
      <c r="AJ346">
        <v>52</v>
      </c>
      <c r="AK346">
        <v>0</v>
      </c>
      <c r="AL346">
        <v>0</v>
      </c>
      <c r="AM346">
        <v>125</v>
      </c>
      <c r="AN346">
        <v>59</v>
      </c>
      <c r="AO346">
        <v>53</v>
      </c>
      <c r="AQ346" t="str">
        <f t="shared" si="5"/>
        <v>Defensive Forward</v>
      </c>
    </row>
    <row r="347" spans="1:43" x14ac:dyDescent="0.35">
      <c r="A347" t="s">
        <v>287</v>
      </c>
      <c r="B347" t="s">
        <v>43</v>
      </c>
      <c r="C347" t="s">
        <v>1214</v>
      </c>
      <c r="D347">
        <v>1987</v>
      </c>
      <c r="E347">
        <v>30</v>
      </c>
      <c r="F347" t="s">
        <v>99</v>
      </c>
      <c r="G347" t="s">
        <v>51</v>
      </c>
      <c r="H347">
        <v>4500000</v>
      </c>
      <c r="I347">
        <v>4500000</v>
      </c>
      <c r="J347" t="s">
        <v>52</v>
      </c>
      <c r="K347">
        <v>28</v>
      </c>
      <c r="L347">
        <v>2313</v>
      </c>
      <c r="M347">
        <v>0</v>
      </c>
      <c r="N347">
        <v>904</v>
      </c>
      <c r="O347">
        <v>0</v>
      </c>
      <c r="P347">
        <v>4</v>
      </c>
      <c r="Q347">
        <v>0</v>
      </c>
      <c r="R347">
        <v>1</v>
      </c>
      <c r="S347">
        <v>7</v>
      </c>
      <c r="T347">
        <v>1</v>
      </c>
      <c r="U347">
        <v>1</v>
      </c>
      <c r="V347">
        <v>0</v>
      </c>
      <c r="W347">
        <v>53</v>
      </c>
      <c r="X347">
        <v>0</v>
      </c>
      <c r="Y347">
        <v>0</v>
      </c>
      <c r="Z347">
        <v>0</v>
      </c>
      <c r="AA347">
        <v>0</v>
      </c>
      <c r="AB347">
        <v>2</v>
      </c>
      <c r="AC347">
        <v>0</v>
      </c>
      <c r="AD347">
        <v>0</v>
      </c>
      <c r="AE347">
        <v>23</v>
      </c>
      <c r="AF347">
        <v>19</v>
      </c>
      <c r="AG347">
        <v>34</v>
      </c>
      <c r="AH347">
        <v>21</v>
      </c>
      <c r="AI347">
        <v>0</v>
      </c>
      <c r="AJ347">
        <v>38</v>
      </c>
      <c r="AK347">
        <v>1</v>
      </c>
      <c r="AL347">
        <v>0</v>
      </c>
      <c r="AM347">
        <v>94</v>
      </c>
      <c r="AN347">
        <v>40</v>
      </c>
      <c r="AO347">
        <v>46</v>
      </c>
      <c r="AQ347" t="str">
        <f t="shared" si="5"/>
        <v>Defensive Forward</v>
      </c>
    </row>
    <row r="348" spans="1:43" x14ac:dyDescent="0.35">
      <c r="A348" t="s">
        <v>287</v>
      </c>
      <c r="B348" t="s">
        <v>47</v>
      </c>
      <c r="C348" t="s">
        <v>1215</v>
      </c>
      <c r="D348">
        <v>1987</v>
      </c>
      <c r="E348">
        <v>29</v>
      </c>
      <c r="F348" t="s">
        <v>99</v>
      </c>
      <c r="G348" t="s">
        <v>51</v>
      </c>
      <c r="H348">
        <v>4500000</v>
      </c>
      <c r="I348">
        <v>4500000</v>
      </c>
      <c r="J348" t="s">
        <v>52</v>
      </c>
      <c r="K348">
        <v>35</v>
      </c>
      <c r="L348">
        <v>2990</v>
      </c>
      <c r="M348">
        <v>0</v>
      </c>
      <c r="N348">
        <v>1092</v>
      </c>
      <c r="O348">
        <v>2</v>
      </c>
      <c r="P348">
        <v>12</v>
      </c>
      <c r="Q348">
        <v>0</v>
      </c>
      <c r="R348">
        <v>0</v>
      </c>
      <c r="S348">
        <v>3</v>
      </c>
      <c r="T348">
        <v>2</v>
      </c>
      <c r="U348">
        <v>0</v>
      </c>
      <c r="V348">
        <v>0</v>
      </c>
      <c r="W348">
        <v>80</v>
      </c>
      <c r="X348">
        <v>0</v>
      </c>
      <c r="Y348">
        <v>0</v>
      </c>
      <c r="Z348">
        <v>0</v>
      </c>
      <c r="AA348">
        <v>2</v>
      </c>
      <c r="AB348">
        <v>0</v>
      </c>
      <c r="AC348">
        <v>0</v>
      </c>
      <c r="AD348">
        <v>0</v>
      </c>
      <c r="AE348">
        <v>26</v>
      </c>
      <c r="AF348">
        <v>11</v>
      </c>
      <c r="AG348">
        <v>68</v>
      </c>
      <c r="AH348">
        <v>35</v>
      </c>
      <c r="AI348">
        <v>0</v>
      </c>
      <c r="AJ348">
        <v>50</v>
      </c>
      <c r="AK348">
        <v>0</v>
      </c>
      <c r="AL348">
        <v>0</v>
      </c>
      <c r="AM348">
        <v>142</v>
      </c>
      <c r="AN348">
        <v>52</v>
      </c>
      <c r="AO348">
        <v>66</v>
      </c>
      <c r="AQ348" t="str">
        <f t="shared" si="5"/>
        <v>Defensive Forward</v>
      </c>
    </row>
    <row r="349" spans="1:43" x14ac:dyDescent="0.35">
      <c r="A349" t="s">
        <v>288</v>
      </c>
      <c r="B349" t="s">
        <v>46</v>
      </c>
      <c r="C349" t="s">
        <v>1216</v>
      </c>
      <c r="D349">
        <v>1991</v>
      </c>
      <c r="E349">
        <v>26</v>
      </c>
      <c r="F349" t="s">
        <v>169</v>
      </c>
      <c r="G349" t="s">
        <v>51</v>
      </c>
      <c r="H349">
        <v>1350000</v>
      </c>
      <c r="I349">
        <v>1350000</v>
      </c>
      <c r="J349" t="s">
        <v>42</v>
      </c>
      <c r="K349">
        <v>14</v>
      </c>
      <c r="L349">
        <v>440</v>
      </c>
      <c r="M349">
        <v>1</v>
      </c>
      <c r="N349">
        <v>92</v>
      </c>
      <c r="O349">
        <v>0</v>
      </c>
      <c r="P349">
        <v>0</v>
      </c>
      <c r="Q349">
        <v>0</v>
      </c>
      <c r="R349">
        <v>10</v>
      </c>
      <c r="S349">
        <v>5</v>
      </c>
      <c r="T349">
        <v>11</v>
      </c>
      <c r="U349">
        <v>6</v>
      </c>
      <c r="V349">
        <v>0</v>
      </c>
      <c r="W349">
        <v>7</v>
      </c>
      <c r="X349">
        <v>1</v>
      </c>
      <c r="Y349">
        <v>0</v>
      </c>
      <c r="Z349">
        <v>0</v>
      </c>
      <c r="AA349">
        <v>3</v>
      </c>
      <c r="AB349">
        <v>0</v>
      </c>
      <c r="AC349">
        <v>5</v>
      </c>
      <c r="AD349">
        <v>0</v>
      </c>
      <c r="AE349">
        <v>2</v>
      </c>
      <c r="AF349">
        <v>1</v>
      </c>
      <c r="AG349">
        <v>0</v>
      </c>
      <c r="AH349">
        <v>2</v>
      </c>
      <c r="AI349">
        <v>0</v>
      </c>
      <c r="AJ349">
        <v>2</v>
      </c>
      <c r="AK349">
        <v>0</v>
      </c>
      <c r="AL349">
        <v>0</v>
      </c>
      <c r="AM349">
        <v>9</v>
      </c>
      <c r="AN349">
        <v>31</v>
      </c>
      <c r="AO349">
        <v>38</v>
      </c>
      <c r="AQ349" t="str">
        <f t="shared" si="5"/>
        <v>Forward</v>
      </c>
    </row>
    <row r="350" spans="1:43" x14ac:dyDescent="0.35">
      <c r="A350" t="s">
        <v>289</v>
      </c>
      <c r="B350" t="s">
        <v>39</v>
      </c>
      <c r="C350" t="s">
        <v>1217</v>
      </c>
      <c r="D350">
        <v>1990</v>
      </c>
      <c r="E350">
        <v>24</v>
      </c>
      <c r="F350" t="s">
        <v>61</v>
      </c>
      <c r="G350" t="s">
        <v>51</v>
      </c>
      <c r="H350">
        <v>15300000</v>
      </c>
      <c r="I350">
        <v>15300000</v>
      </c>
      <c r="J350" t="s">
        <v>42</v>
      </c>
      <c r="K350">
        <v>11</v>
      </c>
      <c r="L350">
        <v>578</v>
      </c>
      <c r="M350">
        <v>4</v>
      </c>
      <c r="N350">
        <v>148</v>
      </c>
      <c r="O350">
        <v>2</v>
      </c>
      <c r="P350">
        <v>1</v>
      </c>
      <c r="Q350">
        <v>0</v>
      </c>
      <c r="R350">
        <v>4</v>
      </c>
      <c r="S350">
        <v>7</v>
      </c>
      <c r="T350">
        <v>20</v>
      </c>
      <c r="U350">
        <v>11</v>
      </c>
      <c r="V350">
        <v>0</v>
      </c>
      <c r="W350">
        <v>6</v>
      </c>
      <c r="X350">
        <v>2</v>
      </c>
      <c r="Y350">
        <v>0</v>
      </c>
      <c r="Z350">
        <v>0</v>
      </c>
      <c r="AA350">
        <v>0</v>
      </c>
      <c r="AB350">
        <v>0</v>
      </c>
      <c r="AC350">
        <v>3</v>
      </c>
      <c r="AD350">
        <v>0</v>
      </c>
      <c r="AE350">
        <v>2</v>
      </c>
      <c r="AF350">
        <v>0</v>
      </c>
      <c r="AG350">
        <v>2</v>
      </c>
      <c r="AH350">
        <v>6</v>
      </c>
      <c r="AI350">
        <v>0</v>
      </c>
      <c r="AJ350">
        <v>11</v>
      </c>
      <c r="AK350">
        <v>0</v>
      </c>
      <c r="AL350">
        <v>0</v>
      </c>
      <c r="AM350">
        <v>6</v>
      </c>
      <c r="AN350">
        <v>10</v>
      </c>
      <c r="AO350">
        <v>17</v>
      </c>
      <c r="AQ350" t="str">
        <f t="shared" si="5"/>
        <v>Forward</v>
      </c>
    </row>
    <row r="351" spans="1:43" x14ac:dyDescent="0.35">
      <c r="A351" t="s">
        <v>289</v>
      </c>
      <c r="B351" t="s">
        <v>47</v>
      </c>
      <c r="C351" t="s">
        <v>1218</v>
      </c>
      <c r="D351">
        <v>1990</v>
      </c>
      <c r="E351">
        <v>25</v>
      </c>
      <c r="F351" t="s">
        <v>61</v>
      </c>
      <c r="G351" t="s">
        <v>51</v>
      </c>
      <c r="H351">
        <v>15300000</v>
      </c>
      <c r="I351">
        <v>13500000</v>
      </c>
      <c r="J351" t="s">
        <v>42</v>
      </c>
      <c r="K351">
        <v>16</v>
      </c>
      <c r="L351">
        <v>746</v>
      </c>
      <c r="M351">
        <v>2</v>
      </c>
      <c r="N351">
        <v>192</v>
      </c>
      <c r="O351">
        <v>2</v>
      </c>
      <c r="P351">
        <v>0</v>
      </c>
      <c r="Q351">
        <v>0</v>
      </c>
      <c r="R351">
        <v>8</v>
      </c>
      <c r="S351">
        <v>6</v>
      </c>
      <c r="T351">
        <v>19</v>
      </c>
      <c r="U351">
        <v>8</v>
      </c>
      <c r="V351">
        <v>0</v>
      </c>
      <c r="W351">
        <v>7</v>
      </c>
      <c r="X351">
        <v>0</v>
      </c>
      <c r="Y351">
        <v>0</v>
      </c>
      <c r="Z351">
        <v>0</v>
      </c>
      <c r="AA351">
        <v>2</v>
      </c>
      <c r="AB351">
        <v>0</v>
      </c>
      <c r="AC351">
        <v>5</v>
      </c>
      <c r="AD351">
        <v>0</v>
      </c>
      <c r="AE351">
        <v>0</v>
      </c>
      <c r="AF351">
        <v>1</v>
      </c>
      <c r="AG351">
        <v>6</v>
      </c>
      <c r="AH351">
        <v>7</v>
      </c>
      <c r="AI351">
        <v>0</v>
      </c>
      <c r="AJ351">
        <v>8</v>
      </c>
      <c r="AK351">
        <v>0</v>
      </c>
      <c r="AL351">
        <v>0</v>
      </c>
      <c r="AM351">
        <v>10</v>
      </c>
      <c r="AN351">
        <v>17</v>
      </c>
      <c r="AO351">
        <v>14</v>
      </c>
      <c r="AQ351" t="str">
        <f t="shared" si="5"/>
        <v>Forward</v>
      </c>
    </row>
    <row r="352" spans="1:43" x14ac:dyDescent="0.35">
      <c r="A352" t="s">
        <v>289</v>
      </c>
      <c r="B352" t="s">
        <v>43</v>
      </c>
      <c r="C352" t="s">
        <v>1219</v>
      </c>
      <c r="D352">
        <v>1990</v>
      </c>
      <c r="E352">
        <v>27</v>
      </c>
      <c r="F352" t="s">
        <v>61</v>
      </c>
      <c r="G352" t="s">
        <v>51</v>
      </c>
      <c r="H352">
        <v>13500000</v>
      </c>
      <c r="I352">
        <v>13500000</v>
      </c>
      <c r="J352" t="s">
        <v>42</v>
      </c>
      <c r="K352">
        <v>28</v>
      </c>
      <c r="L352">
        <v>1185</v>
      </c>
      <c r="M352">
        <v>5</v>
      </c>
      <c r="N352">
        <v>392</v>
      </c>
      <c r="O352">
        <v>2</v>
      </c>
      <c r="P352">
        <v>1</v>
      </c>
      <c r="Q352">
        <v>0</v>
      </c>
      <c r="R352">
        <v>16</v>
      </c>
      <c r="S352">
        <v>7</v>
      </c>
      <c r="T352">
        <v>32</v>
      </c>
      <c r="U352">
        <v>13</v>
      </c>
      <c r="V352">
        <v>1</v>
      </c>
      <c r="W352">
        <v>8</v>
      </c>
      <c r="X352">
        <v>2</v>
      </c>
      <c r="Y352">
        <v>0</v>
      </c>
      <c r="Z352">
        <v>0</v>
      </c>
      <c r="AA352">
        <v>4</v>
      </c>
      <c r="AB352">
        <v>2</v>
      </c>
      <c r="AC352">
        <v>19</v>
      </c>
      <c r="AD352">
        <v>0</v>
      </c>
      <c r="AE352">
        <v>2</v>
      </c>
      <c r="AF352">
        <v>1</v>
      </c>
      <c r="AG352">
        <v>11</v>
      </c>
      <c r="AH352">
        <v>13</v>
      </c>
      <c r="AI352">
        <v>0</v>
      </c>
      <c r="AJ352">
        <v>20</v>
      </c>
      <c r="AK352">
        <v>0</v>
      </c>
      <c r="AL352">
        <v>0</v>
      </c>
      <c r="AM352">
        <v>12</v>
      </c>
      <c r="AN352">
        <v>24</v>
      </c>
      <c r="AO352">
        <v>33</v>
      </c>
      <c r="AQ352" t="str">
        <f t="shared" si="5"/>
        <v>Forward</v>
      </c>
    </row>
    <row r="353" spans="1:43" x14ac:dyDescent="0.35">
      <c r="A353" t="s">
        <v>290</v>
      </c>
      <c r="B353" t="s">
        <v>43</v>
      </c>
      <c r="C353" t="s">
        <v>1220</v>
      </c>
      <c r="D353">
        <v>1989</v>
      </c>
      <c r="E353">
        <v>28</v>
      </c>
      <c r="F353" t="s">
        <v>58</v>
      </c>
      <c r="G353" t="s">
        <v>291</v>
      </c>
      <c r="H353">
        <v>1800000</v>
      </c>
      <c r="I353">
        <v>1800000</v>
      </c>
      <c r="J353" t="s">
        <v>55</v>
      </c>
      <c r="K353">
        <v>20</v>
      </c>
      <c r="L353">
        <v>1116</v>
      </c>
      <c r="M353">
        <v>0</v>
      </c>
      <c r="N353">
        <v>414</v>
      </c>
      <c r="O353">
        <v>0</v>
      </c>
      <c r="P353">
        <v>2</v>
      </c>
      <c r="Q353">
        <v>0</v>
      </c>
      <c r="R353">
        <v>9</v>
      </c>
      <c r="S353">
        <v>2</v>
      </c>
      <c r="T353">
        <v>12</v>
      </c>
      <c r="U353">
        <v>2</v>
      </c>
      <c r="V353">
        <v>0</v>
      </c>
      <c r="W353">
        <v>9</v>
      </c>
      <c r="X353">
        <v>0</v>
      </c>
      <c r="Y353">
        <v>0</v>
      </c>
      <c r="Z353">
        <v>0</v>
      </c>
      <c r="AA353">
        <v>2</v>
      </c>
      <c r="AB353">
        <v>3</v>
      </c>
      <c r="AC353">
        <v>10</v>
      </c>
      <c r="AD353">
        <v>0</v>
      </c>
      <c r="AE353">
        <v>8</v>
      </c>
      <c r="AF353">
        <v>2</v>
      </c>
      <c r="AG353">
        <v>26</v>
      </c>
      <c r="AH353">
        <v>17</v>
      </c>
      <c r="AI353">
        <v>0</v>
      </c>
      <c r="AJ353">
        <v>23</v>
      </c>
      <c r="AK353">
        <v>0</v>
      </c>
      <c r="AL353">
        <v>0</v>
      </c>
      <c r="AM353">
        <v>26</v>
      </c>
      <c r="AN353">
        <v>9</v>
      </c>
      <c r="AO353">
        <v>21</v>
      </c>
      <c r="AQ353" t="str">
        <f t="shared" si="5"/>
        <v>Midfielder</v>
      </c>
    </row>
    <row r="354" spans="1:43" x14ac:dyDescent="0.35">
      <c r="A354" t="s">
        <v>292</v>
      </c>
      <c r="B354" t="s">
        <v>39</v>
      </c>
      <c r="C354" t="s">
        <v>1221</v>
      </c>
      <c r="D354">
        <v>1984</v>
      </c>
      <c r="E354">
        <v>31</v>
      </c>
      <c r="F354" t="s">
        <v>103</v>
      </c>
      <c r="G354" t="s">
        <v>108</v>
      </c>
      <c r="H354">
        <v>1800000</v>
      </c>
      <c r="I354">
        <v>1800000</v>
      </c>
      <c r="J354" t="s">
        <v>55</v>
      </c>
      <c r="K354">
        <v>38</v>
      </c>
      <c r="L354">
        <v>3374</v>
      </c>
      <c r="M354">
        <v>1</v>
      </c>
      <c r="N354">
        <v>1480</v>
      </c>
      <c r="O354">
        <v>3</v>
      </c>
      <c r="P354">
        <v>3</v>
      </c>
      <c r="Q354">
        <v>0</v>
      </c>
      <c r="R354">
        <v>0</v>
      </c>
      <c r="S354">
        <v>2</v>
      </c>
      <c r="T354">
        <v>22</v>
      </c>
      <c r="U354">
        <v>4</v>
      </c>
      <c r="V354">
        <v>0</v>
      </c>
      <c r="W354">
        <v>13</v>
      </c>
      <c r="X354">
        <v>1</v>
      </c>
      <c r="Y354">
        <v>0</v>
      </c>
      <c r="Z354">
        <v>0</v>
      </c>
      <c r="AA354">
        <v>0</v>
      </c>
      <c r="AB354">
        <v>6</v>
      </c>
      <c r="AC354">
        <v>2</v>
      </c>
      <c r="AD354">
        <v>1</v>
      </c>
      <c r="AE354">
        <v>45</v>
      </c>
      <c r="AF354">
        <v>9</v>
      </c>
      <c r="AG354">
        <v>51</v>
      </c>
      <c r="AH354">
        <v>18</v>
      </c>
      <c r="AI354">
        <v>0</v>
      </c>
      <c r="AJ354">
        <v>52</v>
      </c>
      <c r="AK354">
        <v>0</v>
      </c>
      <c r="AL354">
        <v>0</v>
      </c>
      <c r="AM354">
        <v>36</v>
      </c>
      <c r="AN354">
        <v>36</v>
      </c>
      <c r="AO354">
        <v>38</v>
      </c>
      <c r="AQ354" t="str">
        <f t="shared" si="5"/>
        <v>Midfielder</v>
      </c>
    </row>
    <row r="355" spans="1:43" x14ac:dyDescent="0.35">
      <c r="A355" t="s">
        <v>292</v>
      </c>
      <c r="B355" t="s">
        <v>47</v>
      </c>
      <c r="C355" t="s">
        <v>1222</v>
      </c>
      <c r="D355">
        <v>1984</v>
      </c>
      <c r="E355">
        <v>32</v>
      </c>
      <c r="F355" t="s">
        <v>103</v>
      </c>
      <c r="G355" t="s">
        <v>108</v>
      </c>
      <c r="H355">
        <v>1800000</v>
      </c>
      <c r="I355">
        <v>1800000</v>
      </c>
      <c r="J355" t="s">
        <v>55</v>
      </c>
      <c r="K355">
        <v>38</v>
      </c>
      <c r="L355">
        <v>3235</v>
      </c>
      <c r="M355">
        <v>2</v>
      </c>
      <c r="N355">
        <v>1222</v>
      </c>
      <c r="O355">
        <v>3</v>
      </c>
      <c r="P355">
        <v>0</v>
      </c>
      <c r="Q355">
        <v>0</v>
      </c>
      <c r="R355">
        <v>1</v>
      </c>
      <c r="S355">
        <v>5</v>
      </c>
      <c r="T355">
        <v>20</v>
      </c>
      <c r="U355">
        <v>7</v>
      </c>
      <c r="V355">
        <v>1</v>
      </c>
      <c r="W355">
        <v>15</v>
      </c>
      <c r="X355">
        <v>0</v>
      </c>
      <c r="Y355">
        <v>0</v>
      </c>
      <c r="Z355">
        <v>0</v>
      </c>
      <c r="AA355">
        <v>1</v>
      </c>
      <c r="AB355">
        <v>8</v>
      </c>
      <c r="AC355">
        <v>1</v>
      </c>
      <c r="AD355">
        <v>5</v>
      </c>
      <c r="AE355">
        <v>30</v>
      </c>
      <c r="AF355">
        <v>2</v>
      </c>
      <c r="AG355">
        <v>43</v>
      </c>
      <c r="AH355">
        <v>22</v>
      </c>
      <c r="AI355">
        <v>0</v>
      </c>
      <c r="AJ355">
        <v>42</v>
      </c>
      <c r="AK355">
        <v>2</v>
      </c>
      <c r="AL355">
        <v>0</v>
      </c>
      <c r="AM355">
        <v>36</v>
      </c>
      <c r="AN355">
        <v>18</v>
      </c>
      <c r="AO355">
        <v>37</v>
      </c>
      <c r="AQ355" t="str">
        <f t="shared" si="5"/>
        <v>Midfielder</v>
      </c>
    </row>
    <row r="356" spans="1:43" x14ac:dyDescent="0.35">
      <c r="A356" t="s">
        <v>292</v>
      </c>
      <c r="B356" t="s">
        <v>43</v>
      </c>
      <c r="C356" t="s">
        <v>1223</v>
      </c>
      <c r="D356">
        <v>1984</v>
      </c>
      <c r="E356">
        <v>33</v>
      </c>
      <c r="F356" t="s">
        <v>184</v>
      </c>
      <c r="G356" t="s">
        <v>108</v>
      </c>
      <c r="H356">
        <v>1350000</v>
      </c>
      <c r="I356">
        <v>1350000</v>
      </c>
      <c r="J356" t="s">
        <v>55</v>
      </c>
      <c r="K356">
        <v>27</v>
      </c>
      <c r="L356">
        <v>2222</v>
      </c>
      <c r="M356">
        <v>1</v>
      </c>
      <c r="N356">
        <v>1048</v>
      </c>
      <c r="O356">
        <v>1</v>
      </c>
      <c r="P356">
        <v>0</v>
      </c>
      <c r="Q356">
        <v>0</v>
      </c>
      <c r="R356">
        <v>2</v>
      </c>
      <c r="S356">
        <v>6</v>
      </c>
      <c r="T356">
        <v>11</v>
      </c>
      <c r="U356">
        <v>2</v>
      </c>
      <c r="V356">
        <v>0</v>
      </c>
      <c r="W356">
        <v>12</v>
      </c>
      <c r="X356">
        <v>0</v>
      </c>
      <c r="Y356">
        <v>0</v>
      </c>
      <c r="Z356">
        <v>0</v>
      </c>
      <c r="AA356">
        <v>0</v>
      </c>
      <c r="AB356">
        <v>6</v>
      </c>
      <c r="AC356">
        <v>9</v>
      </c>
      <c r="AD356">
        <v>26</v>
      </c>
      <c r="AE356">
        <v>49</v>
      </c>
      <c r="AF356">
        <v>3</v>
      </c>
      <c r="AG356">
        <v>26</v>
      </c>
      <c r="AH356">
        <v>14</v>
      </c>
      <c r="AI356">
        <v>0</v>
      </c>
      <c r="AJ356">
        <v>47</v>
      </c>
      <c r="AK356">
        <v>1</v>
      </c>
      <c r="AL356">
        <v>0</v>
      </c>
      <c r="AM356">
        <v>31</v>
      </c>
      <c r="AN356">
        <v>21</v>
      </c>
      <c r="AO356">
        <v>21</v>
      </c>
      <c r="AQ356" t="str">
        <f t="shared" si="5"/>
        <v>Midfielder</v>
      </c>
    </row>
    <row r="357" spans="1:43" x14ac:dyDescent="0.35">
      <c r="A357" t="s">
        <v>293</v>
      </c>
      <c r="B357" t="s">
        <v>47</v>
      </c>
      <c r="C357" t="s">
        <v>1224</v>
      </c>
      <c r="D357">
        <v>1987</v>
      </c>
      <c r="E357">
        <v>28</v>
      </c>
      <c r="F357" t="s">
        <v>78</v>
      </c>
      <c r="G357" t="s">
        <v>260</v>
      </c>
      <c r="H357">
        <v>9900000</v>
      </c>
      <c r="I357">
        <v>33000000</v>
      </c>
      <c r="J357" t="s">
        <v>55</v>
      </c>
      <c r="K357">
        <v>12</v>
      </c>
      <c r="L357">
        <v>641</v>
      </c>
      <c r="M357">
        <v>0</v>
      </c>
      <c r="N357">
        <v>387</v>
      </c>
      <c r="O357">
        <v>0</v>
      </c>
      <c r="P357">
        <v>4</v>
      </c>
      <c r="Q357">
        <v>0</v>
      </c>
      <c r="R357">
        <v>5</v>
      </c>
      <c r="S357">
        <v>6</v>
      </c>
      <c r="T357">
        <v>6</v>
      </c>
      <c r="U357">
        <v>0</v>
      </c>
      <c r="V357">
        <v>0</v>
      </c>
      <c r="W357">
        <v>10</v>
      </c>
      <c r="X357">
        <v>0</v>
      </c>
      <c r="Y357">
        <v>0</v>
      </c>
      <c r="Z357">
        <v>0</v>
      </c>
      <c r="AA357">
        <v>0</v>
      </c>
      <c r="AB357">
        <v>1</v>
      </c>
      <c r="AC357">
        <v>0</v>
      </c>
      <c r="AD357">
        <v>6</v>
      </c>
      <c r="AE357">
        <v>11</v>
      </c>
      <c r="AF357">
        <v>2</v>
      </c>
      <c r="AG357">
        <v>14</v>
      </c>
      <c r="AH357">
        <v>12</v>
      </c>
      <c r="AI357">
        <v>0</v>
      </c>
      <c r="AJ357">
        <v>13</v>
      </c>
      <c r="AK357">
        <v>0</v>
      </c>
      <c r="AL357">
        <v>0</v>
      </c>
      <c r="AM357">
        <v>18</v>
      </c>
      <c r="AN357">
        <v>7</v>
      </c>
      <c r="AO357">
        <v>4</v>
      </c>
      <c r="AQ357" t="str">
        <f t="shared" si="5"/>
        <v>Midfielder</v>
      </c>
    </row>
    <row r="358" spans="1:43" x14ac:dyDescent="0.35">
      <c r="A358" t="s">
        <v>294</v>
      </c>
      <c r="B358" t="s">
        <v>43</v>
      </c>
      <c r="C358" t="s">
        <v>1225</v>
      </c>
      <c r="D358">
        <v>1989</v>
      </c>
      <c r="E358">
        <v>28</v>
      </c>
      <c r="F358" t="s">
        <v>66</v>
      </c>
      <c r="G358" t="s">
        <v>216</v>
      </c>
      <c r="H358">
        <v>6300000</v>
      </c>
      <c r="I358">
        <v>5400000</v>
      </c>
      <c r="J358" t="s">
        <v>52</v>
      </c>
      <c r="K358">
        <v>23</v>
      </c>
      <c r="L358">
        <v>1822</v>
      </c>
      <c r="M358">
        <v>3</v>
      </c>
      <c r="N358">
        <v>768</v>
      </c>
      <c r="O358">
        <v>0</v>
      </c>
      <c r="P358">
        <v>3</v>
      </c>
      <c r="Q358">
        <v>0</v>
      </c>
      <c r="R358">
        <v>2</v>
      </c>
      <c r="S358">
        <v>4</v>
      </c>
      <c r="T358">
        <v>24</v>
      </c>
      <c r="U358">
        <v>10</v>
      </c>
      <c r="V358">
        <v>1</v>
      </c>
      <c r="W358">
        <v>26</v>
      </c>
      <c r="X358">
        <v>1</v>
      </c>
      <c r="Y358">
        <v>0</v>
      </c>
      <c r="Z358">
        <v>0</v>
      </c>
      <c r="AA358">
        <v>0</v>
      </c>
      <c r="AB358">
        <v>0</v>
      </c>
      <c r="AC358">
        <v>14</v>
      </c>
      <c r="AD358">
        <v>0</v>
      </c>
      <c r="AE358">
        <v>68</v>
      </c>
      <c r="AF358">
        <v>5</v>
      </c>
      <c r="AG358">
        <v>33</v>
      </c>
      <c r="AH358">
        <v>14</v>
      </c>
      <c r="AI358">
        <v>0</v>
      </c>
      <c r="AJ358">
        <v>46</v>
      </c>
      <c r="AK358">
        <v>0</v>
      </c>
      <c r="AL358">
        <v>0</v>
      </c>
      <c r="AM358">
        <v>53</v>
      </c>
      <c r="AN358">
        <v>27</v>
      </c>
      <c r="AO358">
        <v>17</v>
      </c>
      <c r="AQ358" t="str">
        <f t="shared" si="5"/>
        <v>Defensive Forward</v>
      </c>
    </row>
    <row r="359" spans="1:43" x14ac:dyDescent="0.35">
      <c r="A359" t="s">
        <v>294</v>
      </c>
      <c r="B359" t="s">
        <v>46</v>
      </c>
      <c r="C359" t="s">
        <v>1226</v>
      </c>
      <c r="D359">
        <v>1989</v>
      </c>
      <c r="E359">
        <v>29</v>
      </c>
      <c r="F359" t="s">
        <v>66</v>
      </c>
      <c r="G359" t="s">
        <v>216</v>
      </c>
      <c r="H359">
        <v>5400000</v>
      </c>
      <c r="I359">
        <v>5400000</v>
      </c>
      <c r="J359" t="s">
        <v>52</v>
      </c>
      <c r="K359">
        <v>18</v>
      </c>
      <c r="L359">
        <v>1522</v>
      </c>
      <c r="M359">
        <v>0</v>
      </c>
      <c r="N359">
        <v>599</v>
      </c>
      <c r="O359">
        <v>2</v>
      </c>
      <c r="P359">
        <v>3</v>
      </c>
      <c r="Q359">
        <v>0</v>
      </c>
      <c r="R359">
        <v>1</v>
      </c>
      <c r="S359">
        <v>2</v>
      </c>
      <c r="T359">
        <v>11</v>
      </c>
      <c r="U359">
        <v>1</v>
      </c>
      <c r="V359">
        <v>0</v>
      </c>
      <c r="W359">
        <v>27</v>
      </c>
      <c r="X359">
        <v>0</v>
      </c>
      <c r="Y359">
        <v>0</v>
      </c>
      <c r="Z359">
        <v>0</v>
      </c>
      <c r="AA359">
        <v>1</v>
      </c>
      <c r="AB359">
        <v>1</v>
      </c>
      <c r="AC359">
        <v>10</v>
      </c>
      <c r="AD359">
        <v>0</v>
      </c>
      <c r="AE359">
        <v>61</v>
      </c>
      <c r="AF359">
        <v>6</v>
      </c>
      <c r="AG359">
        <v>32</v>
      </c>
      <c r="AH359">
        <v>16</v>
      </c>
      <c r="AI359">
        <v>0</v>
      </c>
      <c r="AJ359">
        <v>36</v>
      </c>
      <c r="AK359">
        <v>0</v>
      </c>
      <c r="AL359">
        <v>0</v>
      </c>
      <c r="AM359">
        <v>61</v>
      </c>
      <c r="AN359">
        <v>20</v>
      </c>
      <c r="AO359">
        <v>13</v>
      </c>
      <c r="AQ359" t="str">
        <f t="shared" si="5"/>
        <v>Defensive Forward</v>
      </c>
    </row>
    <row r="360" spans="1:43" x14ac:dyDescent="0.35">
      <c r="A360" t="s">
        <v>294</v>
      </c>
      <c r="B360" t="s">
        <v>47</v>
      </c>
      <c r="C360" t="s">
        <v>1227</v>
      </c>
      <c r="D360">
        <v>1989</v>
      </c>
      <c r="E360">
        <v>27</v>
      </c>
      <c r="F360" t="s">
        <v>66</v>
      </c>
      <c r="G360" t="s">
        <v>216</v>
      </c>
      <c r="H360">
        <v>6750000</v>
      </c>
      <c r="I360">
        <v>6300000</v>
      </c>
      <c r="J360" t="s">
        <v>52</v>
      </c>
      <c r="K360">
        <v>27</v>
      </c>
      <c r="L360">
        <v>1615</v>
      </c>
      <c r="M360">
        <v>2</v>
      </c>
      <c r="N360">
        <v>604</v>
      </c>
      <c r="O360">
        <v>1</v>
      </c>
      <c r="P360">
        <v>2</v>
      </c>
      <c r="Q360">
        <v>0</v>
      </c>
      <c r="R360">
        <v>9</v>
      </c>
      <c r="S360">
        <v>6</v>
      </c>
      <c r="T360">
        <v>26</v>
      </c>
      <c r="U360">
        <v>8</v>
      </c>
      <c r="V360">
        <v>1</v>
      </c>
      <c r="W360">
        <v>20</v>
      </c>
      <c r="X360">
        <v>0</v>
      </c>
      <c r="Y360">
        <v>0</v>
      </c>
      <c r="Z360">
        <v>0</v>
      </c>
      <c r="AA360">
        <v>5</v>
      </c>
      <c r="AB360">
        <v>1</v>
      </c>
      <c r="AC360">
        <v>1</v>
      </c>
      <c r="AD360">
        <v>0</v>
      </c>
      <c r="AE360">
        <v>52</v>
      </c>
      <c r="AF360">
        <v>3</v>
      </c>
      <c r="AG360">
        <v>20</v>
      </c>
      <c r="AH360">
        <v>17</v>
      </c>
      <c r="AI360">
        <v>0</v>
      </c>
      <c r="AJ360">
        <v>45</v>
      </c>
      <c r="AK360">
        <v>0</v>
      </c>
      <c r="AL360">
        <v>0</v>
      </c>
      <c r="AM360">
        <v>35</v>
      </c>
      <c r="AN360">
        <v>21</v>
      </c>
      <c r="AO360">
        <v>21</v>
      </c>
      <c r="AQ360" t="str">
        <f t="shared" si="5"/>
        <v>Defensive Forward</v>
      </c>
    </row>
    <row r="361" spans="1:43" x14ac:dyDescent="0.35">
      <c r="A361" t="s">
        <v>294</v>
      </c>
      <c r="B361" t="s">
        <v>39</v>
      </c>
      <c r="C361" t="s">
        <v>1228</v>
      </c>
      <c r="D361">
        <v>1989</v>
      </c>
      <c r="E361">
        <v>26</v>
      </c>
      <c r="F361" t="s">
        <v>117</v>
      </c>
      <c r="G361" t="s">
        <v>216</v>
      </c>
      <c r="H361">
        <v>6750000</v>
      </c>
      <c r="I361">
        <v>6750000</v>
      </c>
      <c r="J361" t="s">
        <v>52</v>
      </c>
      <c r="K361">
        <v>31</v>
      </c>
      <c r="L361">
        <v>2755</v>
      </c>
      <c r="M361">
        <v>2</v>
      </c>
      <c r="N361">
        <v>1252</v>
      </c>
      <c r="O361">
        <v>4</v>
      </c>
      <c r="P361">
        <v>5</v>
      </c>
      <c r="Q361">
        <v>1</v>
      </c>
      <c r="R361">
        <v>0</v>
      </c>
      <c r="S361">
        <v>3</v>
      </c>
      <c r="T361">
        <v>19</v>
      </c>
      <c r="U361">
        <v>8</v>
      </c>
      <c r="V361">
        <v>0</v>
      </c>
      <c r="W361">
        <v>44</v>
      </c>
      <c r="X361">
        <v>0</v>
      </c>
      <c r="Y361">
        <v>0</v>
      </c>
      <c r="Z361">
        <v>0</v>
      </c>
      <c r="AA361">
        <v>5</v>
      </c>
      <c r="AB361">
        <v>3</v>
      </c>
      <c r="AC361">
        <v>0</v>
      </c>
      <c r="AD361">
        <v>3</v>
      </c>
      <c r="AE361">
        <v>144</v>
      </c>
      <c r="AF361">
        <v>8</v>
      </c>
      <c r="AG361">
        <v>56</v>
      </c>
      <c r="AH361">
        <v>29</v>
      </c>
      <c r="AI361">
        <v>0</v>
      </c>
      <c r="AJ361">
        <v>80</v>
      </c>
      <c r="AK361">
        <v>0</v>
      </c>
      <c r="AL361">
        <v>0</v>
      </c>
      <c r="AM361">
        <v>83</v>
      </c>
      <c r="AN361">
        <v>27</v>
      </c>
      <c r="AO361">
        <v>28</v>
      </c>
      <c r="AQ361" t="str">
        <f t="shared" si="5"/>
        <v>Defensive Forward</v>
      </c>
    </row>
    <row r="362" spans="1:43" x14ac:dyDescent="0.35">
      <c r="A362" t="s">
        <v>295</v>
      </c>
      <c r="B362" t="s">
        <v>46</v>
      </c>
      <c r="C362" t="s">
        <v>1229</v>
      </c>
      <c r="D362">
        <v>1997</v>
      </c>
      <c r="E362">
        <v>21</v>
      </c>
      <c r="F362" t="s">
        <v>84</v>
      </c>
      <c r="G362" t="s">
        <v>62</v>
      </c>
      <c r="H362">
        <v>4950000</v>
      </c>
      <c r="I362">
        <v>4950000</v>
      </c>
      <c r="J362" t="s">
        <v>55</v>
      </c>
      <c r="K362">
        <v>30</v>
      </c>
      <c r="L362">
        <v>2276</v>
      </c>
      <c r="M362">
        <v>7</v>
      </c>
      <c r="N362">
        <v>855</v>
      </c>
      <c r="O362">
        <v>5</v>
      </c>
      <c r="P362">
        <v>3</v>
      </c>
      <c r="Q362">
        <v>0</v>
      </c>
      <c r="R362">
        <v>1</v>
      </c>
      <c r="S362">
        <v>19</v>
      </c>
      <c r="T362">
        <v>41</v>
      </c>
      <c r="U362">
        <v>20</v>
      </c>
      <c r="V362">
        <v>2</v>
      </c>
      <c r="W362">
        <v>2</v>
      </c>
      <c r="X362">
        <v>1</v>
      </c>
      <c r="Y362">
        <v>0</v>
      </c>
      <c r="Z362">
        <v>0</v>
      </c>
      <c r="AA362">
        <v>2</v>
      </c>
      <c r="AB362">
        <v>16</v>
      </c>
      <c r="AC362">
        <v>21</v>
      </c>
      <c r="AD362">
        <v>19</v>
      </c>
      <c r="AE362">
        <v>33</v>
      </c>
      <c r="AF362">
        <v>7</v>
      </c>
      <c r="AG362">
        <v>24</v>
      </c>
      <c r="AH362">
        <v>15</v>
      </c>
      <c r="AI362">
        <v>0</v>
      </c>
      <c r="AJ362">
        <v>38</v>
      </c>
      <c r="AK362">
        <v>0</v>
      </c>
      <c r="AL362">
        <v>0</v>
      </c>
      <c r="AM362">
        <v>22</v>
      </c>
      <c r="AN362">
        <v>8</v>
      </c>
      <c r="AO362">
        <v>31</v>
      </c>
      <c r="AQ362" t="str">
        <f t="shared" si="5"/>
        <v>Midfielder</v>
      </c>
    </row>
    <row r="363" spans="1:43" x14ac:dyDescent="0.35">
      <c r="A363" t="s">
        <v>296</v>
      </c>
      <c r="B363" t="s">
        <v>46</v>
      </c>
      <c r="C363" t="s">
        <v>1230</v>
      </c>
      <c r="D363">
        <v>1990</v>
      </c>
      <c r="E363">
        <v>28</v>
      </c>
      <c r="F363" t="s">
        <v>169</v>
      </c>
      <c r="G363" t="s">
        <v>297</v>
      </c>
      <c r="H363">
        <v>2250000</v>
      </c>
      <c r="I363">
        <v>1800000</v>
      </c>
      <c r="J363" t="s">
        <v>55</v>
      </c>
      <c r="K363">
        <v>32</v>
      </c>
      <c r="L363">
        <v>2142</v>
      </c>
      <c r="M363">
        <v>3</v>
      </c>
      <c r="N363">
        <v>443</v>
      </c>
      <c r="O363">
        <v>1</v>
      </c>
      <c r="P363">
        <v>4</v>
      </c>
      <c r="Q363">
        <v>0</v>
      </c>
      <c r="R363">
        <v>9</v>
      </c>
      <c r="S363">
        <v>10</v>
      </c>
      <c r="T363">
        <v>40</v>
      </c>
      <c r="U363">
        <v>10</v>
      </c>
      <c r="V363">
        <v>1</v>
      </c>
      <c r="W363">
        <v>9</v>
      </c>
      <c r="X363">
        <v>0</v>
      </c>
      <c r="Y363">
        <v>0</v>
      </c>
      <c r="Z363">
        <v>0</v>
      </c>
      <c r="AA363">
        <v>8</v>
      </c>
      <c r="AB363">
        <v>2</v>
      </c>
      <c r="AC363">
        <v>30</v>
      </c>
      <c r="AD363">
        <v>26</v>
      </c>
      <c r="AE363">
        <v>85</v>
      </c>
      <c r="AF363">
        <v>0</v>
      </c>
      <c r="AG363">
        <v>32</v>
      </c>
      <c r="AH363">
        <v>35</v>
      </c>
      <c r="AI363">
        <v>0</v>
      </c>
      <c r="AJ363">
        <v>40</v>
      </c>
      <c r="AK363">
        <v>0</v>
      </c>
      <c r="AL363">
        <v>0</v>
      </c>
      <c r="AM363">
        <v>25</v>
      </c>
      <c r="AN363">
        <v>19</v>
      </c>
      <c r="AO363">
        <v>52</v>
      </c>
      <c r="AQ363" t="str">
        <f t="shared" si="5"/>
        <v>Midfielder</v>
      </c>
    </row>
    <row r="364" spans="1:43" x14ac:dyDescent="0.35">
      <c r="A364" t="s">
        <v>298</v>
      </c>
      <c r="B364" t="s">
        <v>47</v>
      </c>
      <c r="C364" t="s">
        <v>1231</v>
      </c>
      <c r="D364">
        <v>1987</v>
      </c>
      <c r="E364">
        <v>29</v>
      </c>
      <c r="F364" t="s">
        <v>44</v>
      </c>
      <c r="G364" t="s">
        <v>154</v>
      </c>
      <c r="H364">
        <v>25200000</v>
      </c>
      <c r="I364">
        <v>27000000</v>
      </c>
      <c r="J364" t="s">
        <v>52</v>
      </c>
      <c r="K364">
        <v>33</v>
      </c>
      <c r="L364">
        <v>2956</v>
      </c>
      <c r="M364">
        <v>0</v>
      </c>
      <c r="N364">
        <v>1570</v>
      </c>
      <c r="O364">
        <v>0</v>
      </c>
      <c r="P364">
        <v>6</v>
      </c>
      <c r="Q364">
        <v>0</v>
      </c>
      <c r="R364">
        <v>0</v>
      </c>
      <c r="S364">
        <v>2</v>
      </c>
      <c r="T364">
        <v>31</v>
      </c>
      <c r="U364">
        <v>10</v>
      </c>
      <c r="V364">
        <v>0</v>
      </c>
      <c r="W364">
        <v>101</v>
      </c>
      <c r="X364">
        <v>0</v>
      </c>
      <c r="Y364">
        <v>0</v>
      </c>
      <c r="Z364">
        <v>1</v>
      </c>
      <c r="AA364">
        <v>3</v>
      </c>
      <c r="AB364">
        <v>7</v>
      </c>
      <c r="AC364">
        <v>0</v>
      </c>
      <c r="AD364">
        <v>0</v>
      </c>
      <c r="AE364">
        <v>6</v>
      </c>
      <c r="AF364">
        <v>14</v>
      </c>
      <c r="AG364">
        <v>64</v>
      </c>
      <c r="AH364">
        <v>29</v>
      </c>
      <c r="AI364">
        <v>0</v>
      </c>
      <c r="AJ364">
        <v>42</v>
      </c>
      <c r="AK364">
        <v>0</v>
      </c>
      <c r="AL364">
        <v>0</v>
      </c>
      <c r="AM364">
        <v>171</v>
      </c>
      <c r="AN364">
        <v>60</v>
      </c>
      <c r="AO364">
        <v>39</v>
      </c>
      <c r="AQ364" t="str">
        <f t="shared" si="5"/>
        <v>Defensive Forward</v>
      </c>
    </row>
    <row r="365" spans="1:43" x14ac:dyDescent="0.35">
      <c r="A365" t="s">
        <v>298</v>
      </c>
      <c r="B365" t="s">
        <v>46</v>
      </c>
      <c r="C365" t="s">
        <v>1232</v>
      </c>
      <c r="D365">
        <v>1987</v>
      </c>
      <c r="E365">
        <v>31</v>
      </c>
      <c r="F365" t="s">
        <v>44</v>
      </c>
      <c r="G365" t="s">
        <v>154</v>
      </c>
      <c r="H365">
        <v>22500000</v>
      </c>
      <c r="I365">
        <v>18000000</v>
      </c>
      <c r="J365" t="s">
        <v>52</v>
      </c>
      <c r="K365">
        <v>36</v>
      </c>
      <c r="L365">
        <v>3239</v>
      </c>
      <c r="M365">
        <v>3</v>
      </c>
      <c r="N365">
        <v>2620</v>
      </c>
      <c r="O365">
        <v>2</v>
      </c>
      <c r="P365">
        <v>3</v>
      </c>
      <c r="Q365">
        <v>0</v>
      </c>
      <c r="R365">
        <v>0</v>
      </c>
      <c r="S365">
        <v>1</v>
      </c>
      <c r="T365">
        <v>34</v>
      </c>
      <c r="U365">
        <v>8</v>
      </c>
      <c r="V365">
        <v>1</v>
      </c>
      <c r="W365">
        <v>83</v>
      </c>
      <c r="X365">
        <v>3</v>
      </c>
      <c r="Y365">
        <v>0</v>
      </c>
      <c r="Z365">
        <v>0</v>
      </c>
      <c r="AA365">
        <v>0</v>
      </c>
      <c r="AB365">
        <v>41</v>
      </c>
      <c r="AC365">
        <v>26</v>
      </c>
      <c r="AD365">
        <v>0</v>
      </c>
      <c r="AE365">
        <v>4</v>
      </c>
      <c r="AF365">
        <v>18</v>
      </c>
      <c r="AG365">
        <v>35</v>
      </c>
      <c r="AH365">
        <v>34</v>
      </c>
      <c r="AI365">
        <v>1</v>
      </c>
      <c r="AJ365">
        <v>41</v>
      </c>
      <c r="AK365">
        <v>1</v>
      </c>
      <c r="AL365">
        <v>0</v>
      </c>
      <c r="AM365">
        <v>144</v>
      </c>
      <c r="AN365">
        <v>82</v>
      </c>
      <c r="AO365">
        <v>72</v>
      </c>
      <c r="AQ365" t="str">
        <f t="shared" si="5"/>
        <v>Defensive Forward</v>
      </c>
    </row>
    <row r="366" spans="1:43" x14ac:dyDescent="0.35">
      <c r="A366" t="s">
        <v>298</v>
      </c>
      <c r="B366" t="s">
        <v>43</v>
      </c>
      <c r="C366" t="s">
        <v>1233</v>
      </c>
      <c r="D366">
        <v>1987</v>
      </c>
      <c r="E366">
        <v>30</v>
      </c>
      <c r="F366" t="s">
        <v>44</v>
      </c>
      <c r="G366" t="s">
        <v>154</v>
      </c>
      <c r="H366">
        <v>27000000</v>
      </c>
      <c r="I366">
        <v>22500000</v>
      </c>
      <c r="J366" t="s">
        <v>52</v>
      </c>
      <c r="K366">
        <v>10</v>
      </c>
      <c r="L366">
        <v>839</v>
      </c>
      <c r="M366">
        <v>1</v>
      </c>
      <c r="N366">
        <v>492</v>
      </c>
      <c r="O366">
        <v>0</v>
      </c>
      <c r="P366">
        <v>4</v>
      </c>
      <c r="Q366">
        <v>1</v>
      </c>
      <c r="R366">
        <v>1</v>
      </c>
      <c r="S366">
        <v>0</v>
      </c>
      <c r="T366">
        <v>11</v>
      </c>
      <c r="U366">
        <v>4</v>
      </c>
      <c r="V366">
        <v>0</v>
      </c>
      <c r="W366">
        <v>23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7</v>
      </c>
      <c r="AD366">
        <v>0</v>
      </c>
      <c r="AE366">
        <v>1</v>
      </c>
      <c r="AF366">
        <v>5</v>
      </c>
      <c r="AG366">
        <v>24</v>
      </c>
      <c r="AH366">
        <v>12</v>
      </c>
      <c r="AI366">
        <v>0</v>
      </c>
      <c r="AJ366">
        <v>18</v>
      </c>
      <c r="AK366">
        <v>0</v>
      </c>
      <c r="AL366">
        <v>0</v>
      </c>
      <c r="AM366">
        <v>41</v>
      </c>
      <c r="AN366">
        <v>17</v>
      </c>
      <c r="AO366">
        <v>16</v>
      </c>
      <c r="AQ366" t="str">
        <f t="shared" si="5"/>
        <v>Defensive Forward</v>
      </c>
    </row>
    <row r="367" spans="1:43" x14ac:dyDescent="0.35">
      <c r="A367" t="s">
        <v>299</v>
      </c>
      <c r="B367" t="s">
        <v>47</v>
      </c>
      <c r="C367" t="s">
        <v>1234</v>
      </c>
      <c r="D367">
        <v>1989</v>
      </c>
      <c r="E367">
        <v>27</v>
      </c>
      <c r="F367" t="s">
        <v>71</v>
      </c>
      <c r="G367" t="s">
        <v>260</v>
      </c>
      <c r="H367">
        <v>41800000</v>
      </c>
      <c r="I367">
        <v>36300000</v>
      </c>
      <c r="J367" t="s">
        <v>55</v>
      </c>
      <c r="K367">
        <v>20</v>
      </c>
      <c r="L367">
        <v>954</v>
      </c>
      <c r="M367">
        <v>0</v>
      </c>
      <c r="N367">
        <v>512</v>
      </c>
      <c r="O367">
        <v>0</v>
      </c>
      <c r="P367">
        <v>2</v>
      </c>
      <c r="Q367">
        <v>0</v>
      </c>
      <c r="R367">
        <v>11</v>
      </c>
      <c r="S367">
        <v>3</v>
      </c>
      <c r="T367">
        <v>8</v>
      </c>
      <c r="U367">
        <v>3</v>
      </c>
      <c r="V367">
        <v>0</v>
      </c>
      <c r="W367">
        <v>10</v>
      </c>
      <c r="X367">
        <v>0</v>
      </c>
      <c r="Y367">
        <v>0</v>
      </c>
      <c r="Z367">
        <v>0</v>
      </c>
      <c r="AA367">
        <v>1</v>
      </c>
      <c r="AB367">
        <v>1</v>
      </c>
      <c r="AC367">
        <v>0</v>
      </c>
      <c r="AD367">
        <v>0</v>
      </c>
      <c r="AE367">
        <v>15</v>
      </c>
      <c r="AF367">
        <v>2</v>
      </c>
      <c r="AG367">
        <v>20</v>
      </c>
      <c r="AH367">
        <v>9</v>
      </c>
      <c r="AI367">
        <v>0</v>
      </c>
      <c r="AJ367">
        <v>27</v>
      </c>
      <c r="AK367">
        <v>0</v>
      </c>
      <c r="AL367">
        <v>0</v>
      </c>
      <c r="AM367">
        <v>22</v>
      </c>
      <c r="AN367">
        <v>10</v>
      </c>
      <c r="AO367">
        <v>19</v>
      </c>
      <c r="AQ367" t="str">
        <f t="shared" si="5"/>
        <v>Midfielder</v>
      </c>
    </row>
    <row r="368" spans="1:43" x14ac:dyDescent="0.35">
      <c r="A368" t="s">
        <v>300</v>
      </c>
      <c r="B368" t="s">
        <v>39</v>
      </c>
      <c r="C368" t="s">
        <v>1235</v>
      </c>
      <c r="D368">
        <v>1986</v>
      </c>
      <c r="E368">
        <v>29</v>
      </c>
      <c r="F368" t="s">
        <v>114</v>
      </c>
      <c r="G368" t="s">
        <v>45</v>
      </c>
      <c r="H368">
        <v>36300000</v>
      </c>
      <c r="I368">
        <v>33000000</v>
      </c>
      <c r="J368" t="s">
        <v>55</v>
      </c>
      <c r="K368">
        <v>20</v>
      </c>
      <c r="L368">
        <v>1800</v>
      </c>
      <c r="M368">
        <v>2</v>
      </c>
      <c r="N368">
        <v>1386</v>
      </c>
      <c r="O368">
        <v>11</v>
      </c>
      <c r="P368">
        <v>1</v>
      </c>
      <c r="Q368">
        <v>0</v>
      </c>
      <c r="R368">
        <v>2</v>
      </c>
      <c r="S368">
        <v>12</v>
      </c>
      <c r="T368">
        <v>29</v>
      </c>
      <c r="U368">
        <v>4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11</v>
      </c>
      <c r="AC368">
        <v>0</v>
      </c>
      <c r="AD368">
        <v>57</v>
      </c>
      <c r="AE368">
        <v>96</v>
      </c>
      <c r="AF368">
        <v>0</v>
      </c>
      <c r="AG368">
        <v>16</v>
      </c>
      <c r="AH368">
        <v>19</v>
      </c>
      <c r="AI368">
        <v>0</v>
      </c>
      <c r="AJ368">
        <v>36</v>
      </c>
      <c r="AK368">
        <v>0</v>
      </c>
      <c r="AL368">
        <v>0</v>
      </c>
      <c r="AM368">
        <v>3</v>
      </c>
      <c r="AN368">
        <v>9</v>
      </c>
      <c r="AO368">
        <v>14</v>
      </c>
      <c r="AQ368" t="str">
        <f t="shared" si="5"/>
        <v>Midfielder</v>
      </c>
    </row>
    <row r="369" spans="1:43" x14ac:dyDescent="0.35">
      <c r="A369" t="s">
        <v>300</v>
      </c>
      <c r="B369" t="s">
        <v>47</v>
      </c>
      <c r="C369" t="s">
        <v>1236</v>
      </c>
      <c r="D369">
        <v>1986</v>
      </c>
      <c r="E369">
        <v>30</v>
      </c>
      <c r="F369" t="s">
        <v>114</v>
      </c>
      <c r="G369" t="s">
        <v>45</v>
      </c>
      <c r="H369">
        <v>33000000</v>
      </c>
      <c r="I369">
        <v>33000000</v>
      </c>
      <c r="J369" t="s">
        <v>55</v>
      </c>
      <c r="K369">
        <v>34</v>
      </c>
      <c r="L369">
        <v>2766</v>
      </c>
      <c r="M369">
        <v>4</v>
      </c>
      <c r="N369">
        <v>2075</v>
      </c>
      <c r="O369">
        <v>7</v>
      </c>
      <c r="P369">
        <v>6</v>
      </c>
      <c r="Q369">
        <v>0</v>
      </c>
      <c r="R369">
        <v>3</v>
      </c>
      <c r="S369">
        <v>11</v>
      </c>
      <c r="T369">
        <v>48</v>
      </c>
      <c r="U369">
        <v>17</v>
      </c>
      <c r="V369">
        <v>1</v>
      </c>
      <c r="W369">
        <v>8</v>
      </c>
      <c r="X369">
        <v>0</v>
      </c>
      <c r="Y369">
        <v>0</v>
      </c>
      <c r="Z369">
        <v>0</v>
      </c>
      <c r="AA369">
        <v>5</v>
      </c>
      <c r="AB369">
        <v>26</v>
      </c>
      <c r="AC369">
        <v>4</v>
      </c>
      <c r="AD369">
        <v>87</v>
      </c>
      <c r="AE369">
        <v>125</v>
      </c>
      <c r="AF369">
        <v>4</v>
      </c>
      <c r="AG369">
        <v>17</v>
      </c>
      <c r="AH369">
        <v>29</v>
      </c>
      <c r="AI369">
        <v>0</v>
      </c>
      <c r="AJ369">
        <v>43</v>
      </c>
      <c r="AK369">
        <v>0</v>
      </c>
      <c r="AL369">
        <v>0</v>
      </c>
      <c r="AM369">
        <v>21</v>
      </c>
      <c r="AN369">
        <v>16</v>
      </c>
      <c r="AO369">
        <v>32</v>
      </c>
      <c r="AQ369" t="str">
        <f t="shared" si="5"/>
        <v>Midfielder</v>
      </c>
    </row>
    <row r="370" spans="1:43" x14ac:dyDescent="0.35">
      <c r="A370" t="s">
        <v>300</v>
      </c>
      <c r="B370" t="s">
        <v>43</v>
      </c>
      <c r="C370" t="s">
        <v>1237</v>
      </c>
      <c r="D370">
        <v>1986</v>
      </c>
      <c r="E370">
        <v>31</v>
      </c>
      <c r="F370" t="s">
        <v>114</v>
      </c>
      <c r="G370" t="s">
        <v>45</v>
      </c>
      <c r="H370">
        <v>33000000</v>
      </c>
      <c r="I370">
        <v>22000000</v>
      </c>
      <c r="J370" t="s">
        <v>55</v>
      </c>
      <c r="K370">
        <v>29</v>
      </c>
      <c r="L370">
        <v>2435</v>
      </c>
      <c r="M370">
        <v>9</v>
      </c>
      <c r="N370">
        <v>2429</v>
      </c>
      <c r="O370">
        <v>11</v>
      </c>
      <c r="P370">
        <v>5</v>
      </c>
      <c r="Q370">
        <v>0</v>
      </c>
      <c r="R370">
        <v>1</v>
      </c>
      <c r="S370">
        <v>8</v>
      </c>
      <c r="T370">
        <v>54</v>
      </c>
      <c r="U370">
        <v>20</v>
      </c>
      <c r="V370">
        <v>1</v>
      </c>
      <c r="W370">
        <v>2</v>
      </c>
      <c r="X370">
        <v>0</v>
      </c>
      <c r="Y370">
        <v>0</v>
      </c>
      <c r="Z370">
        <v>0</v>
      </c>
      <c r="AA370">
        <v>4</v>
      </c>
      <c r="AB370">
        <v>18</v>
      </c>
      <c r="AC370">
        <v>34</v>
      </c>
      <c r="AD370">
        <v>48</v>
      </c>
      <c r="AE370">
        <v>74</v>
      </c>
      <c r="AF370">
        <v>5</v>
      </c>
      <c r="AG370">
        <v>18</v>
      </c>
      <c r="AH370">
        <v>21</v>
      </c>
      <c r="AI370">
        <v>0</v>
      </c>
      <c r="AJ370">
        <v>32</v>
      </c>
      <c r="AK370">
        <v>0</v>
      </c>
      <c r="AL370">
        <v>0</v>
      </c>
      <c r="AM370">
        <v>6</v>
      </c>
      <c r="AN370">
        <v>17</v>
      </c>
      <c r="AO370">
        <v>11</v>
      </c>
      <c r="AQ370" t="str">
        <f t="shared" si="5"/>
        <v>Midfielder</v>
      </c>
    </row>
    <row r="371" spans="1:43" x14ac:dyDescent="0.35">
      <c r="A371" t="s">
        <v>300</v>
      </c>
      <c r="B371" t="s">
        <v>46</v>
      </c>
      <c r="C371" t="s">
        <v>1238</v>
      </c>
      <c r="D371">
        <v>1986</v>
      </c>
      <c r="E371">
        <v>32</v>
      </c>
      <c r="F371" t="s">
        <v>114</v>
      </c>
      <c r="G371" t="s">
        <v>45</v>
      </c>
      <c r="H371">
        <v>11000000</v>
      </c>
      <c r="I371">
        <v>16500000</v>
      </c>
      <c r="J371" t="s">
        <v>55</v>
      </c>
      <c r="K371">
        <v>33</v>
      </c>
      <c r="L371">
        <v>2409</v>
      </c>
      <c r="M371">
        <v>6</v>
      </c>
      <c r="N371">
        <v>2015</v>
      </c>
      <c r="O371">
        <v>8</v>
      </c>
      <c r="P371">
        <v>3</v>
      </c>
      <c r="Q371">
        <v>0</v>
      </c>
      <c r="R371">
        <v>5</v>
      </c>
      <c r="S371">
        <v>15</v>
      </c>
      <c r="T371">
        <v>51</v>
      </c>
      <c r="U371">
        <v>20</v>
      </c>
      <c r="V371">
        <v>0</v>
      </c>
      <c r="W371">
        <v>1</v>
      </c>
      <c r="X371">
        <v>0</v>
      </c>
      <c r="Y371">
        <v>0</v>
      </c>
      <c r="Z371">
        <v>1</v>
      </c>
      <c r="AA371">
        <v>5</v>
      </c>
      <c r="AB371">
        <v>18</v>
      </c>
      <c r="AC371">
        <v>31</v>
      </c>
      <c r="AD371">
        <v>23</v>
      </c>
      <c r="AE371">
        <v>75</v>
      </c>
      <c r="AF371">
        <v>1</v>
      </c>
      <c r="AG371">
        <v>22</v>
      </c>
      <c r="AH371">
        <v>26</v>
      </c>
      <c r="AI371">
        <v>0</v>
      </c>
      <c r="AJ371">
        <v>30</v>
      </c>
      <c r="AK371">
        <v>0</v>
      </c>
      <c r="AL371">
        <v>0</v>
      </c>
      <c r="AM371">
        <v>13</v>
      </c>
      <c r="AN371">
        <v>20</v>
      </c>
      <c r="AO371">
        <v>23</v>
      </c>
      <c r="AQ371" t="str">
        <f t="shared" si="5"/>
        <v>Midfielder</v>
      </c>
    </row>
    <row r="372" spans="1:43" x14ac:dyDescent="0.35">
      <c r="A372" t="s">
        <v>301</v>
      </c>
      <c r="B372" t="s">
        <v>43</v>
      </c>
      <c r="C372" t="s">
        <v>1239</v>
      </c>
      <c r="D372">
        <v>1992</v>
      </c>
      <c r="E372">
        <v>25</v>
      </c>
      <c r="F372" t="s">
        <v>44</v>
      </c>
      <c r="G372" t="s">
        <v>82</v>
      </c>
      <c r="H372">
        <v>9350000</v>
      </c>
      <c r="I372">
        <v>22000000</v>
      </c>
      <c r="J372" t="s">
        <v>52</v>
      </c>
      <c r="K372">
        <v>22</v>
      </c>
      <c r="L372">
        <v>1095</v>
      </c>
      <c r="M372">
        <v>1</v>
      </c>
      <c r="N372">
        <v>445</v>
      </c>
      <c r="O372">
        <v>1</v>
      </c>
      <c r="P372">
        <v>0</v>
      </c>
      <c r="Q372">
        <v>0</v>
      </c>
      <c r="R372">
        <v>10</v>
      </c>
      <c r="S372">
        <v>7</v>
      </c>
      <c r="T372">
        <v>25</v>
      </c>
      <c r="U372">
        <v>11</v>
      </c>
      <c r="V372">
        <v>1</v>
      </c>
      <c r="W372">
        <v>13</v>
      </c>
      <c r="X372">
        <v>0</v>
      </c>
      <c r="Y372">
        <v>0</v>
      </c>
      <c r="Z372">
        <v>0</v>
      </c>
      <c r="AA372">
        <v>5</v>
      </c>
      <c r="AB372">
        <v>0</v>
      </c>
      <c r="AC372">
        <v>14</v>
      </c>
      <c r="AD372">
        <v>1</v>
      </c>
      <c r="AE372">
        <v>84</v>
      </c>
      <c r="AF372">
        <v>2</v>
      </c>
      <c r="AG372">
        <v>6</v>
      </c>
      <c r="AH372">
        <v>7</v>
      </c>
      <c r="AI372">
        <v>0</v>
      </c>
      <c r="AJ372">
        <v>26</v>
      </c>
      <c r="AK372">
        <v>0</v>
      </c>
      <c r="AL372">
        <v>0</v>
      </c>
      <c r="AM372">
        <v>20</v>
      </c>
      <c r="AN372">
        <v>14</v>
      </c>
      <c r="AO372">
        <v>6</v>
      </c>
      <c r="AQ372" t="str">
        <f t="shared" si="5"/>
        <v>Defensive Forward</v>
      </c>
    </row>
    <row r="373" spans="1:43" x14ac:dyDescent="0.35">
      <c r="A373" t="s">
        <v>302</v>
      </c>
      <c r="B373" t="s">
        <v>46</v>
      </c>
      <c r="C373" t="s">
        <v>1240</v>
      </c>
      <c r="D373">
        <v>1996</v>
      </c>
      <c r="E373">
        <v>22</v>
      </c>
      <c r="F373" t="s">
        <v>191</v>
      </c>
      <c r="G373" t="s">
        <v>202</v>
      </c>
      <c r="H373">
        <v>36000000</v>
      </c>
      <c r="I373">
        <v>49500000</v>
      </c>
      <c r="J373" t="s">
        <v>52</v>
      </c>
      <c r="K373">
        <v>23</v>
      </c>
      <c r="L373">
        <v>1943</v>
      </c>
      <c r="M373">
        <v>1</v>
      </c>
      <c r="N373">
        <v>1440</v>
      </c>
      <c r="O373">
        <v>1</v>
      </c>
      <c r="P373">
        <v>0</v>
      </c>
      <c r="Q373">
        <v>0</v>
      </c>
      <c r="R373">
        <v>0</v>
      </c>
      <c r="S373">
        <v>2</v>
      </c>
      <c r="T373">
        <v>14</v>
      </c>
      <c r="U373">
        <v>3</v>
      </c>
      <c r="V373">
        <v>0</v>
      </c>
      <c r="W373">
        <v>58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11</v>
      </c>
      <c r="AD373">
        <v>0</v>
      </c>
      <c r="AE373">
        <v>0</v>
      </c>
      <c r="AF373">
        <v>9</v>
      </c>
      <c r="AG373">
        <v>30</v>
      </c>
      <c r="AH373">
        <v>20</v>
      </c>
      <c r="AI373">
        <v>0</v>
      </c>
      <c r="AJ373">
        <v>37</v>
      </c>
      <c r="AK373">
        <v>1</v>
      </c>
      <c r="AL373">
        <v>0</v>
      </c>
      <c r="AM373">
        <v>101</v>
      </c>
      <c r="AN373">
        <v>66</v>
      </c>
      <c r="AO373">
        <v>50</v>
      </c>
      <c r="AQ373" t="str">
        <f t="shared" si="5"/>
        <v>Defensive Forward</v>
      </c>
    </row>
    <row r="374" spans="1:43" x14ac:dyDescent="0.35">
      <c r="A374" t="s">
        <v>302</v>
      </c>
      <c r="B374" t="s">
        <v>43</v>
      </c>
      <c r="C374" t="s">
        <v>1241</v>
      </c>
      <c r="D374">
        <v>1996</v>
      </c>
      <c r="E374">
        <v>21</v>
      </c>
      <c r="F374" t="s">
        <v>191</v>
      </c>
      <c r="G374" t="s">
        <v>202</v>
      </c>
      <c r="H374">
        <v>22500000</v>
      </c>
      <c r="I374">
        <v>36000000</v>
      </c>
      <c r="J374" t="s">
        <v>52</v>
      </c>
      <c r="K374">
        <v>31</v>
      </c>
      <c r="L374">
        <v>2535</v>
      </c>
      <c r="M374">
        <v>0</v>
      </c>
      <c r="N374">
        <v>1867</v>
      </c>
      <c r="O374">
        <v>0</v>
      </c>
      <c r="P374">
        <v>1</v>
      </c>
      <c r="Q374">
        <v>1</v>
      </c>
      <c r="R374">
        <v>2</v>
      </c>
      <c r="S374">
        <v>2</v>
      </c>
      <c r="T374">
        <v>1</v>
      </c>
      <c r="U374">
        <v>1</v>
      </c>
      <c r="V374">
        <v>0</v>
      </c>
      <c r="W374">
        <v>81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3</v>
      </c>
      <c r="AF374">
        <v>10</v>
      </c>
      <c r="AG374">
        <v>38</v>
      </c>
      <c r="AH374">
        <v>25</v>
      </c>
      <c r="AI374">
        <v>0</v>
      </c>
      <c r="AJ374">
        <v>38</v>
      </c>
      <c r="AK374">
        <v>0</v>
      </c>
      <c r="AL374">
        <v>1</v>
      </c>
      <c r="AM374">
        <v>159</v>
      </c>
      <c r="AN374">
        <v>73</v>
      </c>
      <c r="AO374">
        <v>62</v>
      </c>
      <c r="AQ374" t="str">
        <f t="shared" si="5"/>
        <v>Defensive Forward</v>
      </c>
    </row>
    <row r="375" spans="1:43" x14ac:dyDescent="0.35">
      <c r="A375" t="s">
        <v>303</v>
      </c>
      <c r="B375" t="s">
        <v>43</v>
      </c>
      <c r="C375" t="s">
        <v>1242</v>
      </c>
      <c r="D375">
        <v>1991</v>
      </c>
      <c r="E375">
        <v>26</v>
      </c>
      <c r="F375" t="s">
        <v>134</v>
      </c>
      <c r="G375" t="s">
        <v>216</v>
      </c>
      <c r="H375">
        <v>16500000</v>
      </c>
      <c r="I375">
        <v>16500000</v>
      </c>
      <c r="J375" t="s">
        <v>55</v>
      </c>
      <c r="K375">
        <v>35</v>
      </c>
      <c r="L375">
        <v>3120</v>
      </c>
      <c r="M375">
        <v>0</v>
      </c>
      <c r="N375">
        <v>1387</v>
      </c>
      <c r="O375">
        <v>4</v>
      </c>
      <c r="P375">
        <v>2</v>
      </c>
      <c r="Q375">
        <v>1</v>
      </c>
      <c r="R375">
        <v>0</v>
      </c>
      <c r="S375">
        <v>1</v>
      </c>
      <c r="T375">
        <v>36</v>
      </c>
      <c r="U375">
        <v>5</v>
      </c>
      <c r="V375">
        <v>1</v>
      </c>
      <c r="W375">
        <v>27</v>
      </c>
      <c r="X375">
        <v>0</v>
      </c>
      <c r="Y375">
        <v>0</v>
      </c>
      <c r="Z375">
        <v>0</v>
      </c>
      <c r="AA375">
        <v>2</v>
      </c>
      <c r="AB375">
        <v>2</v>
      </c>
      <c r="AC375">
        <v>31</v>
      </c>
      <c r="AD375">
        <v>0</v>
      </c>
      <c r="AE375">
        <v>12</v>
      </c>
      <c r="AF375">
        <v>11</v>
      </c>
      <c r="AG375">
        <v>60</v>
      </c>
      <c r="AH375">
        <v>41</v>
      </c>
      <c r="AI375">
        <v>0</v>
      </c>
      <c r="AJ375">
        <v>73</v>
      </c>
      <c r="AK375">
        <v>0</v>
      </c>
      <c r="AL375">
        <v>0</v>
      </c>
      <c r="AM375">
        <v>68</v>
      </c>
      <c r="AN375">
        <v>47</v>
      </c>
      <c r="AO375">
        <v>41</v>
      </c>
      <c r="AQ375" t="str">
        <f t="shared" si="5"/>
        <v>Midfielder</v>
      </c>
    </row>
    <row r="376" spans="1:43" x14ac:dyDescent="0.35">
      <c r="A376" t="s">
        <v>303</v>
      </c>
      <c r="B376" t="s">
        <v>46</v>
      </c>
      <c r="C376" t="s">
        <v>1243</v>
      </c>
      <c r="D376">
        <v>1991</v>
      </c>
      <c r="E376">
        <v>26</v>
      </c>
      <c r="F376" t="s">
        <v>134</v>
      </c>
      <c r="G376" t="s">
        <v>216</v>
      </c>
      <c r="H376">
        <v>1000000</v>
      </c>
      <c r="I376">
        <v>1000000</v>
      </c>
      <c r="J376" t="s">
        <v>55</v>
      </c>
      <c r="K376">
        <v>30</v>
      </c>
      <c r="L376">
        <v>2551</v>
      </c>
      <c r="M376">
        <v>1</v>
      </c>
      <c r="N376">
        <v>1213</v>
      </c>
      <c r="O376">
        <v>1</v>
      </c>
      <c r="P376">
        <v>0</v>
      </c>
      <c r="Q376">
        <v>0</v>
      </c>
      <c r="R376">
        <v>0</v>
      </c>
      <c r="S376">
        <v>5</v>
      </c>
      <c r="T376">
        <v>15</v>
      </c>
      <c r="U376">
        <v>2</v>
      </c>
      <c r="V376">
        <v>1</v>
      </c>
      <c r="W376">
        <v>12</v>
      </c>
      <c r="X376">
        <v>0</v>
      </c>
      <c r="Y376">
        <v>0</v>
      </c>
      <c r="Z376">
        <v>0</v>
      </c>
      <c r="AA376">
        <v>1</v>
      </c>
      <c r="AB376">
        <v>2</v>
      </c>
      <c r="AC376">
        <v>13</v>
      </c>
      <c r="AD376">
        <v>0</v>
      </c>
      <c r="AE376">
        <v>16</v>
      </c>
      <c r="AF376">
        <v>6</v>
      </c>
      <c r="AG376">
        <v>53</v>
      </c>
      <c r="AH376">
        <v>33</v>
      </c>
      <c r="AI376">
        <v>0</v>
      </c>
      <c r="AJ376">
        <v>50</v>
      </c>
      <c r="AK376">
        <v>0</v>
      </c>
      <c r="AL376">
        <v>0</v>
      </c>
      <c r="AM376">
        <v>33</v>
      </c>
      <c r="AN376">
        <v>37</v>
      </c>
      <c r="AO376">
        <v>26</v>
      </c>
      <c r="AQ376" t="str">
        <f t="shared" si="5"/>
        <v>Midfielder</v>
      </c>
    </row>
    <row r="377" spans="1:43" x14ac:dyDescent="0.35">
      <c r="A377" t="s">
        <v>304</v>
      </c>
      <c r="B377" t="s">
        <v>47</v>
      </c>
      <c r="C377" t="s">
        <v>1244</v>
      </c>
      <c r="D377">
        <v>1984</v>
      </c>
      <c r="E377">
        <v>32</v>
      </c>
      <c r="F377" t="s">
        <v>56</v>
      </c>
      <c r="G377" t="s">
        <v>51</v>
      </c>
      <c r="H377">
        <v>5500000</v>
      </c>
      <c r="I377">
        <v>22000000</v>
      </c>
      <c r="J377" t="s">
        <v>55</v>
      </c>
      <c r="K377">
        <v>21</v>
      </c>
      <c r="L377">
        <v>1770</v>
      </c>
      <c r="M377">
        <v>0</v>
      </c>
      <c r="N377">
        <v>728</v>
      </c>
      <c r="O377">
        <v>2</v>
      </c>
      <c r="P377">
        <v>7</v>
      </c>
      <c r="Q377">
        <v>0</v>
      </c>
      <c r="R377">
        <v>0</v>
      </c>
      <c r="S377">
        <v>6</v>
      </c>
      <c r="T377">
        <v>12</v>
      </c>
      <c r="U377">
        <v>3</v>
      </c>
      <c r="V377">
        <v>0</v>
      </c>
      <c r="W377">
        <v>14</v>
      </c>
      <c r="X377">
        <v>0</v>
      </c>
      <c r="Y377">
        <v>0</v>
      </c>
      <c r="Z377">
        <v>0</v>
      </c>
      <c r="AA377">
        <v>0</v>
      </c>
      <c r="AB377">
        <v>1</v>
      </c>
      <c r="AC377">
        <v>0</v>
      </c>
      <c r="AD377">
        <v>0</v>
      </c>
      <c r="AE377">
        <v>7</v>
      </c>
      <c r="AF377">
        <v>16</v>
      </c>
      <c r="AG377">
        <v>27</v>
      </c>
      <c r="AH377">
        <v>35</v>
      </c>
      <c r="AI377">
        <v>0</v>
      </c>
      <c r="AJ377">
        <v>36</v>
      </c>
      <c r="AK377">
        <v>0</v>
      </c>
      <c r="AL377">
        <v>0</v>
      </c>
      <c r="AM377">
        <v>29</v>
      </c>
      <c r="AN377">
        <v>12</v>
      </c>
      <c r="AO377">
        <v>13</v>
      </c>
      <c r="AQ377" t="str">
        <f t="shared" si="5"/>
        <v>Midfielder</v>
      </c>
    </row>
    <row r="378" spans="1:43" x14ac:dyDescent="0.35">
      <c r="A378" t="s">
        <v>305</v>
      </c>
      <c r="B378" t="s">
        <v>43</v>
      </c>
      <c r="C378" t="s">
        <v>1245</v>
      </c>
      <c r="D378">
        <v>1993</v>
      </c>
      <c r="E378">
        <v>24</v>
      </c>
      <c r="F378" t="s">
        <v>117</v>
      </c>
      <c r="G378" t="s">
        <v>291</v>
      </c>
      <c r="H378">
        <v>4500000</v>
      </c>
      <c r="I378">
        <v>7200000</v>
      </c>
      <c r="J378" t="s">
        <v>52</v>
      </c>
      <c r="K378">
        <v>34</v>
      </c>
      <c r="L378">
        <v>2842</v>
      </c>
      <c r="M378">
        <v>0</v>
      </c>
      <c r="N378">
        <v>1000</v>
      </c>
      <c r="O378">
        <v>2</v>
      </c>
      <c r="P378">
        <v>5</v>
      </c>
      <c r="Q378">
        <v>0</v>
      </c>
      <c r="R378">
        <v>3</v>
      </c>
      <c r="S378">
        <v>0</v>
      </c>
      <c r="T378">
        <v>0</v>
      </c>
      <c r="U378">
        <v>0</v>
      </c>
      <c r="V378">
        <v>0</v>
      </c>
      <c r="W378">
        <v>40</v>
      </c>
      <c r="X378">
        <v>0</v>
      </c>
      <c r="Y378">
        <v>0</v>
      </c>
      <c r="Z378">
        <v>0</v>
      </c>
      <c r="AA378">
        <v>9</v>
      </c>
      <c r="AB378">
        <v>2</v>
      </c>
      <c r="AC378">
        <v>0</v>
      </c>
      <c r="AD378">
        <v>0</v>
      </c>
      <c r="AE378">
        <v>73</v>
      </c>
      <c r="AF378">
        <v>7</v>
      </c>
      <c r="AG378">
        <v>44</v>
      </c>
      <c r="AH378">
        <v>32</v>
      </c>
      <c r="AI378">
        <v>2</v>
      </c>
      <c r="AJ378">
        <v>57</v>
      </c>
      <c r="AK378">
        <v>0</v>
      </c>
      <c r="AL378">
        <v>1</v>
      </c>
      <c r="AM378">
        <v>93</v>
      </c>
      <c r="AN378">
        <v>47</v>
      </c>
      <c r="AO378">
        <v>50</v>
      </c>
      <c r="AQ378" t="str">
        <f t="shared" si="5"/>
        <v>Defensive Forward</v>
      </c>
    </row>
    <row r="379" spans="1:43" x14ac:dyDescent="0.35">
      <c r="A379" t="s">
        <v>305</v>
      </c>
      <c r="B379" t="s">
        <v>39</v>
      </c>
      <c r="C379" t="s">
        <v>1246</v>
      </c>
      <c r="D379">
        <v>1993</v>
      </c>
      <c r="E379">
        <v>22</v>
      </c>
      <c r="F379" t="s">
        <v>78</v>
      </c>
      <c r="G379" t="s">
        <v>291</v>
      </c>
      <c r="H379">
        <v>1350000</v>
      </c>
      <c r="I379">
        <v>2700000</v>
      </c>
      <c r="J379" t="s">
        <v>52</v>
      </c>
      <c r="K379">
        <v>23</v>
      </c>
      <c r="L379">
        <v>1812</v>
      </c>
      <c r="M379">
        <v>0</v>
      </c>
      <c r="N379">
        <v>519</v>
      </c>
      <c r="O379">
        <v>0</v>
      </c>
      <c r="P379">
        <v>2</v>
      </c>
      <c r="Q379">
        <v>0</v>
      </c>
      <c r="R379">
        <v>2</v>
      </c>
      <c r="S379">
        <v>3</v>
      </c>
      <c r="T379">
        <v>4</v>
      </c>
      <c r="U379">
        <v>1</v>
      </c>
      <c r="V379">
        <v>0</v>
      </c>
      <c r="W379">
        <v>36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41</v>
      </c>
      <c r="AF379">
        <v>13</v>
      </c>
      <c r="AG379">
        <v>25</v>
      </c>
      <c r="AH379">
        <v>21</v>
      </c>
      <c r="AI379">
        <v>0</v>
      </c>
      <c r="AJ379">
        <v>39</v>
      </c>
      <c r="AK379">
        <v>0</v>
      </c>
      <c r="AL379">
        <v>0</v>
      </c>
      <c r="AM379">
        <v>89</v>
      </c>
      <c r="AN379">
        <v>24</v>
      </c>
      <c r="AO379">
        <v>30</v>
      </c>
      <c r="AQ379" t="str">
        <f t="shared" si="5"/>
        <v>Defensive Forward</v>
      </c>
    </row>
    <row r="380" spans="1:43" x14ac:dyDescent="0.35">
      <c r="A380" t="s">
        <v>305</v>
      </c>
      <c r="B380" t="s">
        <v>46</v>
      </c>
      <c r="C380" t="s">
        <v>1247</v>
      </c>
      <c r="D380">
        <v>1993</v>
      </c>
      <c r="E380">
        <v>25</v>
      </c>
      <c r="F380" t="s">
        <v>117</v>
      </c>
      <c r="G380" t="s">
        <v>291</v>
      </c>
      <c r="H380">
        <v>7200000</v>
      </c>
      <c r="I380">
        <v>7200000</v>
      </c>
      <c r="J380" t="s">
        <v>52</v>
      </c>
      <c r="K380">
        <v>29</v>
      </c>
      <c r="L380">
        <v>2474</v>
      </c>
      <c r="M380">
        <v>1</v>
      </c>
      <c r="N380">
        <v>732</v>
      </c>
      <c r="O380">
        <v>2</v>
      </c>
      <c r="P380">
        <v>6</v>
      </c>
      <c r="Q380">
        <v>0</v>
      </c>
      <c r="R380">
        <v>0</v>
      </c>
      <c r="S380">
        <v>2</v>
      </c>
      <c r="T380">
        <v>11</v>
      </c>
      <c r="U380">
        <v>2</v>
      </c>
      <c r="V380">
        <v>0</v>
      </c>
      <c r="W380">
        <v>33</v>
      </c>
      <c r="X380">
        <v>0</v>
      </c>
      <c r="Y380">
        <v>0</v>
      </c>
      <c r="Z380">
        <v>0</v>
      </c>
      <c r="AA380">
        <v>4</v>
      </c>
      <c r="AB380">
        <v>0</v>
      </c>
      <c r="AC380">
        <v>9</v>
      </c>
      <c r="AD380">
        <v>0</v>
      </c>
      <c r="AE380">
        <v>77</v>
      </c>
      <c r="AF380">
        <v>10</v>
      </c>
      <c r="AG380">
        <v>28</v>
      </c>
      <c r="AH380">
        <v>41</v>
      </c>
      <c r="AI380">
        <v>0</v>
      </c>
      <c r="AJ380">
        <v>54</v>
      </c>
      <c r="AK380">
        <v>0</v>
      </c>
      <c r="AL380">
        <v>1</v>
      </c>
      <c r="AM380">
        <v>71</v>
      </c>
      <c r="AN380">
        <v>30</v>
      </c>
      <c r="AO380">
        <v>41</v>
      </c>
      <c r="AQ380" t="str">
        <f t="shared" si="5"/>
        <v>Defensive Forward</v>
      </c>
    </row>
    <row r="381" spans="1:43" x14ac:dyDescent="0.35">
      <c r="A381" t="s">
        <v>306</v>
      </c>
      <c r="B381" t="s">
        <v>46</v>
      </c>
      <c r="C381" t="s">
        <v>1248</v>
      </c>
      <c r="D381">
        <v>1999</v>
      </c>
      <c r="E381">
        <v>19</v>
      </c>
      <c r="F381" t="s">
        <v>50</v>
      </c>
      <c r="G381" t="s">
        <v>51</v>
      </c>
      <c r="H381">
        <v>9000000</v>
      </c>
      <c r="I381">
        <v>40000000</v>
      </c>
      <c r="J381" t="s">
        <v>52</v>
      </c>
      <c r="K381">
        <v>34</v>
      </c>
      <c r="L381">
        <v>3004</v>
      </c>
      <c r="M381">
        <v>2</v>
      </c>
      <c r="N381">
        <v>1518</v>
      </c>
      <c r="O381">
        <v>0</v>
      </c>
      <c r="P381">
        <v>4</v>
      </c>
      <c r="Q381">
        <v>0</v>
      </c>
      <c r="R381">
        <v>0</v>
      </c>
      <c r="S381">
        <v>2</v>
      </c>
      <c r="T381">
        <v>22</v>
      </c>
      <c r="U381">
        <v>5</v>
      </c>
      <c r="V381">
        <v>1</v>
      </c>
      <c r="W381">
        <v>22</v>
      </c>
      <c r="X381">
        <v>0</v>
      </c>
      <c r="Y381">
        <v>0</v>
      </c>
      <c r="Z381">
        <v>0</v>
      </c>
      <c r="AA381">
        <v>1</v>
      </c>
      <c r="AB381">
        <v>2</v>
      </c>
      <c r="AC381">
        <v>17</v>
      </c>
      <c r="AD381">
        <v>0</v>
      </c>
      <c r="AE381">
        <v>3</v>
      </c>
      <c r="AF381">
        <v>12</v>
      </c>
      <c r="AG381">
        <v>52</v>
      </c>
      <c r="AH381">
        <v>17</v>
      </c>
      <c r="AI381">
        <v>0</v>
      </c>
      <c r="AJ381">
        <v>98</v>
      </c>
      <c r="AK381">
        <v>0</v>
      </c>
      <c r="AL381">
        <v>0</v>
      </c>
      <c r="AM381">
        <v>54</v>
      </c>
      <c r="AN381">
        <v>55</v>
      </c>
      <c r="AO381">
        <v>42</v>
      </c>
      <c r="AQ381" t="str">
        <f t="shared" si="5"/>
        <v>Defensive Forward</v>
      </c>
    </row>
    <row r="382" spans="1:43" x14ac:dyDescent="0.35">
      <c r="A382" t="s">
        <v>306</v>
      </c>
      <c r="B382" t="s">
        <v>43</v>
      </c>
      <c r="C382" t="s">
        <v>1249</v>
      </c>
      <c r="D382">
        <v>1999</v>
      </c>
      <c r="E382">
        <v>18</v>
      </c>
      <c r="F382" t="s">
        <v>50</v>
      </c>
      <c r="G382" t="s">
        <v>51</v>
      </c>
      <c r="H382">
        <v>450000</v>
      </c>
      <c r="I382">
        <v>9000000</v>
      </c>
      <c r="J382" t="s">
        <v>52</v>
      </c>
      <c r="K382">
        <v>26</v>
      </c>
      <c r="L382">
        <v>1423</v>
      </c>
      <c r="M382">
        <v>0</v>
      </c>
      <c r="N382">
        <v>573</v>
      </c>
      <c r="O382">
        <v>0</v>
      </c>
      <c r="P382">
        <v>1</v>
      </c>
      <c r="Q382">
        <v>0</v>
      </c>
      <c r="R382">
        <v>11</v>
      </c>
      <c r="S382">
        <v>3</v>
      </c>
      <c r="T382">
        <v>0</v>
      </c>
      <c r="U382">
        <v>0</v>
      </c>
      <c r="V382">
        <v>0</v>
      </c>
      <c r="W382">
        <v>33</v>
      </c>
      <c r="X382">
        <v>0</v>
      </c>
      <c r="Y382">
        <v>0</v>
      </c>
      <c r="Z382">
        <v>0</v>
      </c>
      <c r="AA382">
        <v>0</v>
      </c>
      <c r="AB382">
        <v>1</v>
      </c>
      <c r="AC382">
        <v>0</v>
      </c>
      <c r="AD382">
        <v>0</v>
      </c>
      <c r="AE382">
        <v>5</v>
      </c>
      <c r="AF382">
        <v>13</v>
      </c>
      <c r="AG382">
        <v>27</v>
      </c>
      <c r="AH382">
        <v>5</v>
      </c>
      <c r="AI382">
        <v>0</v>
      </c>
      <c r="AJ382">
        <v>36</v>
      </c>
      <c r="AK382">
        <v>1</v>
      </c>
      <c r="AL382">
        <v>0</v>
      </c>
      <c r="AM382">
        <v>70</v>
      </c>
      <c r="AN382">
        <v>0</v>
      </c>
      <c r="AO382">
        <v>35</v>
      </c>
      <c r="AQ382" t="str">
        <f t="shared" si="5"/>
        <v>Defensive Forward</v>
      </c>
    </row>
    <row r="383" spans="1:43" x14ac:dyDescent="0.35">
      <c r="A383" t="s">
        <v>307</v>
      </c>
      <c r="B383" t="s">
        <v>39</v>
      </c>
      <c r="C383" t="s">
        <v>1250</v>
      </c>
      <c r="D383">
        <v>1989</v>
      </c>
      <c r="E383">
        <v>26</v>
      </c>
      <c r="F383" t="s">
        <v>80</v>
      </c>
      <c r="G383" t="s">
        <v>308</v>
      </c>
      <c r="H383">
        <v>11700000</v>
      </c>
      <c r="I383">
        <v>13500000</v>
      </c>
      <c r="J383" t="s">
        <v>52</v>
      </c>
      <c r="K383">
        <v>24</v>
      </c>
      <c r="L383">
        <v>1897</v>
      </c>
      <c r="M383">
        <v>0</v>
      </c>
      <c r="N383">
        <v>1052</v>
      </c>
      <c r="O383">
        <v>0</v>
      </c>
      <c r="P383">
        <v>2</v>
      </c>
      <c r="Q383">
        <v>0</v>
      </c>
      <c r="R383">
        <v>2</v>
      </c>
      <c r="S383">
        <v>3</v>
      </c>
      <c r="T383">
        <v>22</v>
      </c>
      <c r="U383">
        <v>6</v>
      </c>
      <c r="V383">
        <v>0</v>
      </c>
      <c r="W383">
        <v>83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4</v>
      </c>
      <c r="AF383">
        <v>14</v>
      </c>
      <c r="AG383">
        <v>37</v>
      </c>
      <c r="AH383">
        <v>23</v>
      </c>
      <c r="AI383">
        <v>0</v>
      </c>
      <c r="AJ383">
        <v>34</v>
      </c>
      <c r="AK383">
        <v>1</v>
      </c>
      <c r="AL383">
        <v>0</v>
      </c>
      <c r="AM383">
        <v>153</v>
      </c>
      <c r="AN383">
        <v>80</v>
      </c>
      <c r="AO383">
        <v>21</v>
      </c>
      <c r="AQ383" t="str">
        <f t="shared" si="5"/>
        <v>Defensive Forward</v>
      </c>
    </row>
    <row r="384" spans="1:43" x14ac:dyDescent="0.35">
      <c r="A384" t="s">
        <v>307</v>
      </c>
      <c r="B384" t="s">
        <v>46</v>
      </c>
      <c r="C384" t="s">
        <v>1251</v>
      </c>
      <c r="D384">
        <v>1989</v>
      </c>
      <c r="E384">
        <v>29</v>
      </c>
      <c r="F384" t="s">
        <v>80</v>
      </c>
      <c r="G384" t="s">
        <v>308</v>
      </c>
      <c r="H384">
        <v>18000000</v>
      </c>
      <c r="I384">
        <v>18000000</v>
      </c>
      <c r="J384" t="s">
        <v>52</v>
      </c>
      <c r="K384">
        <v>13</v>
      </c>
      <c r="L384">
        <v>986</v>
      </c>
      <c r="M384">
        <v>1</v>
      </c>
      <c r="N384">
        <v>821</v>
      </c>
      <c r="O384">
        <v>0</v>
      </c>
      <c r="P384">
        <v>1</v>
      </c>
      <c r="Q384">
        <v>0</v>
      </c>
      <c r="R384">
        <v>2</v>
      </c>
      <c r="S384">
        <v>1</v>
      </c>
      <c r="T384">
        <v>6</v>
      </c>
      <c r="U384">
        <v>1</v>
      </c>
      <c r="V384">
        <v>0</v>
      </c>
      <c r="W384">
        <v>27</v>
      </c>
      <c r="X384">
        <v>0</v>
      </c>
      <c r="Y384">
        <v>0</v>
      </c>
      <c r="Z384">
        <v>0</v>
      </c>
      <c r="AA384">
        <v>0</v>
      </c>
      <c r="AB384">
        <v>1</v>
      </c>
      <c r="AC384">
        <v>5</v>
      </c>
      <c r="AD384">
        <v>0</v>
      </c>
      <c r="AE384">
        <v>4</v>
      </c>
      <c r="AF384">
        <v>7</v>
      </c>
      <c r="AG384">
        <v>11</v>
      </c>
      <c r="AH384">
        <v>3</v>
      </c>
      <c r="AI384">
        <v>0</v>
      </c>
      <c r="AJ384">
        <v>15</v>
      </c>
      <c r="AK384">
        <v>0</v>
      </c>
      <c r="AL384">
        <v>0</v>
      </c>
      <c r="AM384">
        <v>51</v>
      </c>
      <c r="AN384">
        <v>53</v>
      </c>
      <c r="AO384">
        <v>25</v>
      </c>
      <c r="AQ384" t="str">
        <f t="shared" si="5"/>
        <v>Defensive Forward</v>
      </c>
    </row>
    <row r="385" spans="1:43" x14ac:dyDescent="0.35">
      <c r="A385" t="s">
        <v>307</v>
      </c>
      <c r="B385" t="s">
        <v>47</v>
      </c>
      <c r="C385" t="s">
        <v>1252</v>
      </c>
      <c r="D385">
        <v>1989</v>
      </c>
      <c r="E385">
        <v>27</v>
      </c>
      <c r="F385" t="s">
        <v>80</v>
      </c>
      <c r="G385" t="s">
        <v>308</v>
      </c>
      <c r="H385">
        <v>13500000</v>
      </c>
      <c r="I385">
        <v>15300000</v>
      </c>
      <c r="J385" t="s">
        <v>52</v>
      </c>
      <c r="K385">
        <v>29</v>
      </c>
      <c r="L385">
        <v>2554</v>
      </c>
      <c r="M385">
        <v>2</v>
      </c>
      <c r="N385">
        <v>2001</v>
      </c>
      <c r="O385">
        <v>1</v>
      </c>
      <c r="P385">
        <v>6</v>
      </c>
      <c r="Q385">
        <v>0</v>
      </c>
      <c r="R385">
        <v>0</v>
      </c>
      <c r="S385">
        <v>2</v>
      </c>
      <c r="T385">
        <v>15</v>
      </c>
      <c r="U385">
        <v>5</v>
      </c>
      <c r="V385">
        <v>0</v>
      </c>
      <c r="W385">
        <v>112</v>
      </c>
      <c r="X385">
        <v>1</v>
      </c>
      <c r="Y385">
        <v>0</v>
      </c>
      <c r="Z385">
        <v>0</v>
      </c>
      <c r="AA385">
        <v>1</v>
      </c>
      <c r="AB385">
        <v>1</v>
      </c>
      <c r="AC385">
        <v>0</v>
      </c>
      <c r="AD385">
        <v>0</v>
      </c>
      <c r="AE385">
        <v>7</v>
      </c>
      <c r="AF385">
        <v>16</v>
      </c>
      <c r="AG385">
        <v>45</v>
      </c>
      <c r="AH385">
        <v>25</v>
      </c>
      <c r="AI385">
        <v>0</v>
      </c>
      <c r="AJ385">
        <v>41</v>
      </c>
      <c r="AK385">
        <v>1</v>
      </c>
      <c r="AL385">
        <v>0</v>
      </c>
      <c r="AM385">
        <v>182</v>
      </c>
      <c r="AN385">
        <v>103</v>
      </c>
      <c r="AO385">
        <v>57</v>
      </c>
      <c r="AQ385" t="str">
        <f t="shared" si="5"/>
        <v>Defensive Forward</v>
      </c>
    </row>
    <row r="386" spans="1:43" x14ac:dyDescent="0.35">
      <c r="A386" t="s">
        <v>307</v>
      </c>
      <c r="B386" t="s">
        <v>43</v>
      </c>
      <c r="C386" t="s">
        <v>1253</v>
      </c>
      <c r="D386">
        <v>1989</v>
      </c>
      <c r="E386">
        <v>28</v>
      </c>
      <c r="F386" t="s">
        <v>80</v>
      </c>
      <c r="G386" t="s">
        <v>308</v>
      </c>
      <c r="H386">
        <v>15300000</v>
      </c>
      <c r="I386">
        <v>18000000</v>
      </c>
      <c r="J386" t="s">
        <v>52</v>
      </c>
      <c r="K386">
        <v>29</v>
      </c>
      <c r="L386">
        <v>2125</v>
      </c>
      <c r="M386">
        <v>2</v>
      </c>
      <c r="N386">
        <v>1803</v>
      </c>
      <c r="O386">
        <v>1</v>
      </c>
      <c r="P386">
        <v>4</v>
      </c>
      <c r="Q386">
        <v>0</v>
      </c>
      <c r="R386">
        <v>5</v>
      </c>
      <c r="S386">
        <v>2</v>
      </c>
      <c r="T386">
        <v>14</v>
      </c>
      <c r="U386">
        <v>4</v>
      </c>
      <c r="V386">
        <v>0</v>
      </c>
      <c r="W386">
        <v>86</v>
      </c>
      <c r="X386">
        <v>2</v>
      </c>
      <c r="Y386">
        <v>0</v>
      </c>
      <c r="Z386">
        <v>0</v>
      </c>
      <c r="AA386">
        <v>0</v>
      </c>
      <c r="AB386">
        <v>0</v>
      </c>
      <c r="AC386">
        <v>10</v>
      </c>
      <c r="AD386">
        <v>0</v>
      </c>
      <c r="AE386">
        <v>4</v>
      </c>
      <c r="AF386">
        <v>15</v>
      </c>
      <c r="AG386">
        <v>38</v>
      </c>
      <c r="AH386">
        <v>15</v>
      </c>
      <c r="AI386">
        <v>0</v>
      </c>
      <c r="AJ386">
        <v>26</v>
      </c>
      <c r="AK386">
        <v>1</v>
      </c>
      <c r="AL386">
        <v>0</v>
      </c>
      <c r="AM386">
        <v>142</v>
      </c>
      <c r="AN386">
        <v>104</v>
      </c>
      <c r="AO386">
        <v>60</v>
      </c>
      <c r="AQ386" t="str">
        <f t="shared" ref="AQ386:AQ449" si="6">IF(J386 = "FW", REPLACE(J386,1,2,"Forward"),IF(J386 = "DF", "Defensive Forward", "Midfielder"))</f>
        <v>Defensive Forward</v>
      </c>
    </row>
    <row r="387" spans="1:43" x14ac:dyDescent="0.35">
      <c r="A387" t="s">
        <v>309</v>
      </c>
      <c r="B387" t="s">
        <v>39</v>
      </c>
      <c r="C387" t="s">
        <v>1254</v>
      </c>
      <c r="D387">
        <v>1996</v>
      </c>
      <c r="E387">
        <v>19</v>
      </c>
      <c r="F387" t="s">
        <v>191</v>
      </c>
      <c r="G387" t="s">
        <v>51</v>
      </c>
      <c r="H387">
        <v>22000000</v>
      </c>
      <c r="I387">
        <v>49500000</v>
      </c>
      <c r="J387" t="s">
        <v>55</v>
      </c>
      <c r="K387">
        <v>33</v>
      </c>
      <c r="L387">
        <v>2479</v>
      </c>
      <c r="M387">
        <v>10</v>
      </c>
      <c r="N387">
        <v>1083</v>
      </c>
      <c r="O387">
        <v>9</v>
      </c>
      <c r="P387">
        <v>7</v>
      </c>
      <c r="Q387">
        <v>0</v>
      </c>
      <c r="R387">
        <v>5</v>
      </c>
      <c r="S387">
        <v>17</v>
      </c>
      <c r="T387">
        <v>74</v>
      </c>
      <c r="U387">
        <v>28</v>
      </c>
      <c r="V387">
        <v>3</v>
      </c>
      <c r="W387">
        <v>20</v>
      </c>
      <c r="X387">
        <v>1</v>
      </c>
      <c r="Y387">
        <v>0</v>
      </c>
      <c r="Z387">
        <v>0</v>
      </c>
      <c r="AA387">
        <v>6</v>
      </c>
      <c r="AB387">
        <v>18</v>
      </c>
      <c r="AC387">
        <v>6</v>
      </c>
      <c r="AD387">
        <v>3</v>
      </c>
      <c r="AE387">
        <v>19</v>
      </c>
      <c r="AF387">
        <v>5</v>
      </c>
      <c r="AG387">
        <v>61</v>
      </c>
      <c r="AH387">
        <v>50</v>
      </c>
      <c r="AI387">
        <v>0</v>
      </c>
      <c r="AJ387">
        <v>71</v>
      </c>
      <c r="AK387">
        <v>0</v>
      </c>
      <c r="AL387">
        <v>0</v>
      </c>
      <c r="AM387">
        <v>32</v>
      </c>
      <c r="AN387">
        <v>37</v>
      </c>
      <c r="AO387">
        <v>44</v>
      </c>
      <c r="AQ387" t="str">
        <f t="shared" si="6"/>
        <v>Midfielder</v>
      </c>
    </row>
    <row r="388" spans="1:43" x14ac:dyDescent="0.35">
      <c r="A388" t="s">
        <v>309</v>
      </c>
      <c r="B388" t="s">
        <v>47</v>
      </c>
      <c r="C388" t="s">
        <v>1255</v>
      </c>
      <c r="D388">
        <v>1996</v>
      </c>
      <c r="E388">
        <v>20</v>
      </c>
      <c r="F388" t="s">
        <v>191</v>
      </c>
      <c r="G388" t="s">
        <v>51</v>
      </c>
      <c r="H388">
        <v>110000000</v>
      </c>
      <c r="I388">
        <v>99000000</v>
      </c>
      <c r="J388" t="s">
        <v>55</v>
      </c>
      <c r="K388">
        <v>37</v>
      </c>
      <c r="L388">
        <v>3043</v>
      </c>
      <c r="M388">
        <v>18</v>
      </c>
      <c r="N388">
        <v>1328</v>
      </c>
      <c r="O388">
        <v>7</v>
      </c>
      <c r="P388">
        <v>4</v>
      </c>
      <c r="Q388">
        <v>0</v>
      </c>
      <c r="R388">
        <v>2</v>
      </c>
      <c r="S388">
        <v>13</v>
      </c>
      <c r="T388">
        <v>94</v>
      </c>
      <c r="U388">
        <v>44</v>
      </c>
      <c r="V388">
        <v>3</v>
      </c>
      <c r="W388">
        <v>11</v>
      </c>
      <c r="X388">
        <v>4</v>
      </c>
      <c r="Y388">
        <v>1</v>
      </c>
      <c r="Z388">
        <v>0</v>
      </c>
      <c r="AA388">
        <v>11</v>
      </c>
      <c r="AB388">
        <v>12</v>
      </c>
      <c r="AC388">
        <v>11</v>
      </c>
      <c r="AD388">
        <v>3</v>
      </c>
      <c r="AE388">
        <v>22</v>
      </c>
      <c r="AF388">
        <v>1</v>
      </c>
      <c r="AG388">
        <v>11</v>
      </c>
      <c r="AH388">
        <v>50</v>
      </c>
      <c r="AI388">
        <v>0</v>
      </c>
      <c r="AJ388">
        <v>52</v>
      </c>
      <c r="AK388">
        <v>0</v>
      </c>
      <c r="AL388">
        <v>0</v>
      </c>
      <c r="AM388">
        <v>17</v>
      </c>
      <c r="AN388">
        <v>14</v>
      </c>
      <c r="AO388">
        <v>26</v>
      </c>
      <c r="AQ388" t="str">
        <f t="shared" si="6"/>
        <v>Midfielder</v>
      </c>
    </row>
    <row r="389" spans="1:43" x14ac:dyDescent="0.35">
      <c r="A389" t="s">
        <v>309</v>
      </c>
      <c r="B389" t="s">
        <v>46</v>
      </c>
      <c r="C389" t="s">
        <v>1256</v>
      </c>
      <c r="D389">
        <v>1996</v>
      </c>
      <c r="E389">
        <v>22</v>
      </c>
      <c r="F389" t="s">
        <v>191</v>
      </c>
      <c r="G389" t="s">
        <v>51</v>
      </c>
      <c r="H389">
        <v>49500000</v>
      </c>
      <c r="I389">
        <v>110000000</v>
      </c>
      <c r="J389" t="s">
        <v>55</v>
      </c>
      <c r="K389">
        <v>25</v>
      </c>
      <c r="L389">
        <v>1833</v>
      </c>
      <c r="M389">
        <v>5</v>
      </c>
      <c r="N389">
        <v>1028</v>
      </c>
      <c r="O389">
        <v>3</v>
      </c>
      <c r="P389">
        <v>4</v>
      </c>
      <c r="Q389">
        <v>0</v>
      </c>
      <c r="R389">
        <v>3</v>
      </c>
      <c r="S389">
        <v>12</v>
      </c>
      <c r="T389">
        <v>39</v>
      </c>
      <c r="U389">
        <v>19</v>
      </c>
      <c r="V389">
        <v>0</v>
      </c>
      <c r="W389">
        <v>9</v>
      </c>
      <c r="X389">
        <v>4</v>
      </c>
      <c r="Y389">
        <v>0</v>
      </c>
      <c r="Z389">
        <v>0</v>
      </c>
      <c r="AA389">
        <v>3</v>
      </c>
      <c r="AB389">
        <v>18</v>
      </c>
      <c r="AC389">
        <v>20</v>
      </c>
      <c r="AD389">
        <v>3</v>
      </c>
      <c r="AE389">
        <v>10</v>
      </c>
      <c r="AF389">
        <v>5</v>
      </c>
      <c r="AG389">
        <v>19</v>
      </c>
      <c r="AH389">
        <v>23</v>
      </c>
      <c r="AI389">
        <v>0</v>
      </c>
      <c r="AJ389">
        <v>33</v>
      </c>
      <c r="AK389">
        <v>0</v>
      </c>
      <c r="AL389">
        <v>0</v>
      </c>
      <c r="AM389">
        <v>17</v>
      </c>
      <c r="AN389">
        <v>20</v>
      </c>
      <c r="AO389">
        <v>20</v>
      </c>
      <c r="AQ389" t="str">
        <f t="shared" si="6"/>
        <v>Midfielder</v>
      </c>
    </row>
    <row r="390" spans="1:43" x14ac:dyDescent="0.35">
      <c r="A390" t="s">
        <v>309</v>
      </c>
      <c r="B390" t="s">
        <v>43</v>
      </c>
      <c r="C390" t="s">
        <v>1257</v>
      </c>
      <c r="D390">
        <v>1996</v>
      </c>
      <c r="E390">
        <v>21</v>
      </c>
      <c r="F390" t="s">
        <v>191</v>
      </c>
      <c r="G390" t="s">
        <v>51</v>
      </c>
      <c r="H390">
        <v>4400000</v>
      </c>
      <c r="I390">
        <v>6600000</v>
      </c>
      <c r="J390" t="s">
        <v>55</v>
      </c>
      <c r="K390">
        <v>36</v>
      </c>
      <c r="L390">
        <v>2970</v>
      </c>
      <c r="M390">
        <v>9</v>
      </c>
      <c r="N390">
        <v>1251</v>
      </c>
      <c r="O390">
        <v>10</v>
      </c>
      <c r="P390">
        <v>7</v>
      </c>
      <c r="Q390">
        <v>0</v>
      </c>
      <c r="R390">
        <v>2</v>
      </c>
      <c r="S390">
        <v>16</v>
      </c>
      <c r="T390">
        <v>69</v>
      </c>
      <c r="U390">
        <v>17</v>
      </c>
      <c r="V390">
        <v>1</v>
      </c>
      <c r="W390">
        <v>10</v>
      </c>
      <c r="X390">
        <v>0</v>
      </c>
      <c r="Y390">
        <v>0</v>
      </c>
      <c r="Z390">
        <v>0</v>
      </c>
      <c r="AA390">
        <v>5</v>
      </c>
      <c r="AB390">
        <v>15</v>
      </c>
      <c r="AC390">
        <v>52</v>
      </c>
      <c r="AD390">
        <v>4</v>
      </c>
      <c r="AE390">
        <v>18</v>
      </c>
      <c r="AF390">
        <v>7</v>
      </c>
      <c r="AG390">
        <v>19</v>
      </c>
      <c r="AH390">
        <v>43</v>
      </c>
      <c r="AI390">
        <v>0</v>
      </c>
      <c r="AJ390">
        <v>46</v>
      </c>
      <c r="AK390">
        <v>1</v>
      </c>
      <c r="AL390">
        <v>0</v>
      </c>
      <c r="AM390">
        <v>18</v>
      </c>
      <c r="AN390">
        <v>30</v>
      </c>
      <c r="AO390">
        <v>52</v>
      </c>
      <c r="AQ390" t="str">
        <f t="shared" si="6"/>
        <v>Midfielder</v>
      </c>
    </row>
    <row r="391" spans="1:43" x14ac:dyDescent="0.35">
      <c r="A391" t="s">
        <v>310</v>
      </c>
      <c r="B391" t="s">
        <v>39</v>
      </c>
      <c r="C391" t="s">
        <v>1258</v>
      </c>
      <c r="D391">
        <v>1996</v>
      </c>
      <c r="E391">
        <v>19</v>
      </c>
      <c r="F391" t="s">
        <v>99</v>
      </c>
      <c r="G391" t="s">
        <v>51</v>
      </c>
      <c r="H391">
        <v>6600000</v>
      </c>
      <c r="I391">
        <v>9900000</v>
      </c>
      <c r="J391" t="s">
        <v>55</v>
      </c>
      <c r="K391">
        <v>12</v>
      </c>
      <c r="L391">
        <v>177</v>
      </c>
      <c r="M391">
        <v>0</v>
      </c>
      <c r="N391">
        <v>89</v>
      </c>
      <c r="O391">
        <v>1</v>
      </c>
      <c r="P391">
        <v>0</v>
      </c>
      <c r="Q391">
        <v>0</v>
      </c>
      <c r="R391">
        <v>11</v>
      </c>
      <c r="S391">
        <v>1</v>
      </c>
      <c r="T391">
        <v>5</v>
      </c>
      <c r="U391">
        <v>3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1</v>
      </c>
      <c r="AD391">
        <v>7</v>
      </c>
      <c r="AE391">
        <v>12</v>
      </c>
      <c r="AF391">
        <v>1</v>
      </c>
      <c r="AG391">
        <v>6</v>
      </c>
      <c r="AH391">
        <v>3</v>
      </c>
      <c r="AI391">
        <v>0</v>
      </c>
      <c r="AJ391">
        <v>3</v>
      </c>
      <c r="AK391">
        <v>0</v>
      </c>
      <c r="AL391">
        <v>0</v>
      </c>
      <c r="AM391">
        <v>2</v>
      </c>
      <c r="AN391">
        <v>1</v>
      </c>
      <c r="AO391">
        <v>2</v>
      </c>
      <c r="AQ391" t="str">
        <f t="shared" si="6"/>
        <v>Midfielder</v>
      </c>
    </row>
    <row r="392" spans="1:43" x14ac:dyDescent="0.35">
      <c r="A392" t="s">
        <v>310</v>
      </c>
      <c r="B392" t="s">
        <v>47</v>
      </c>
      <c r="C392" t="s">
        <v>1259</v>
      </c>
      <c r="D392">
        <v>1996</v>
      </c>
      <c r="E392">
        <v>20</v>
      </c>
      <c r="F392" t="s">
        <v>99</v>
      </c>
      <c r="G392" t="s">
        <v>51</v>
      </c>
      <c r="H392">
        <v>22000000</v>
      </c>
      <c r="I392">
        <v>22000000</v>
      </c>
      <c r="J392" t="s">
        <v>55</v>
      </c>
      <c r="K392">
        <v>30</v>
      </c>
      <c r="L392">
        <v>1038</v>
      </c>
      <c r="M392">
        <v>1</v>
      </c>
      <c r="N392">
        <v>326</v>
      </c>
      <c r="O392">
        <v>3</v>
      </c>
      <c r="P392">
        <v>2</v>
      </c>
      <c r="Q392">
        <v>0</v>
      </c>
      <c r="R392">
        <v>21</v>
      </c>
      <c r="S392">
        <v>7</v>
      </c>
      <c r="T392">
        <v>27</v>
      </c>
      <c r="U392">
        <v>8</v>
      </c>
      <c r="V392">
        <v>0</v>
      </c>
      <c r="W392">
        <v>3</v>
      </c>
      <c r="X392">
        <v>0</v>
      </c>
      <c r="Y392">
        <v>0</v>
      </c>
      <c r="Z392">
        <v>0</v>
      </c>
      <c r="AA392">
        <v>2</v>
      </c>
      <c r="AB392">
        <v>0</v>
      </c>
      <c r="AC392">
        <v>0</v>
      </c>
      <c r="AD392">
        <v>36</v>
      </c>
      <c r="AE392">
        <v>82</v>
      </c>
      <c r="AF392">
        <v>1</v>
      </c>
      <c r="AG392">
        <v>8</v>
      </c>
      <c r="AH392">
        <v>10</v>
      </c>
      <c r="AI392">
        <v>0</v>
      </c>
      <c r="AJ392">
        <v>19</v>
      </c>
      <c r="AK392">
        <v>0</v>
      </c>
      <c r="AL392">
        <v>0</v>
      </c>
      <c r="AM392">
        <v>10</v>
      </c>
      <c r="AN392">
        <v>5</v>
      </c>
      <c r="AO392">
        <v>33</v>
      </c>
      <c r="AQ392" t="str">
        <f t="shared" si="6"/>
        <v>Midfielder</v>
      </c>
    </row>
    <row r="393" spans="1:43" x14ac:dyDescent="0.35">
      <c r="A393" t="s">
        <v>310</v>
      </c>
      <c r="B393" t="s">
        <v>46</v>
      </c>
      <c r="C393" t="s">
        <v>1260</v>
      </c>
      <c r="D393">
        <v>1996</v>
      </c>
      <c r="E393">
        <v>22</v>
      </c>
      <c r="F393" t="s">
        <v>99</v>
      </c>
      <c r="G393" t="s">
        <v>51</v>
      </c>
      <c r="H393">
        <v>9900000</v>
      </c>
      <c r="I393">
        <v>22000000</v>
      </c>
      <c r="J393" t="s">
        <v>55</v>
      </c>
      <c r="K393">
        <v>34</v>
      </c>
      <c r="L393">
        <v>1996</v>
      </c>
      <c r="M393">
        <v>4</v>
      </c>
      <c r="N393">
        <v>657</v>
      </c>
      <c r="O393">
        <v>1</v>
      </c>
      <c r="P393">
        <v>2</v>
      </c>
      <c r="Q393">
        <v>0</v>
      </c>
      <c r="R393">
        <v>11</v>
      </c>
      <c r="S393">
        <v>18</v>
      </c>
      <c r="T393">
        <v>47</v>
      </c>
      <c r="U393">
        <v>19</v>
      </c>
      <c r="V393">
        <v>1</v>
      </c>
      <c r="W393">
        <v>2</v>
      </c>
      <c r="X393">
        <v>0</v>
      </c>
      <c r="Y393">
        <v>0</v>
      </c>
      <c r="Z393">
        <v>0</v>
      </c>
      <c r="AA393">
        <v>3</v>
      </c>
      <c r="AB393">
        <v>8</v>
      </c>
      <c r="AC393">
        <v>28</v>
      </c>
      <c r="AD393">
        <v>9</v>
      </c>
      <c r="AE393">
        <v>52</v>
      </c>
      <c r="AF393">
        <v>0</v>
      </c>
      <c r="AG393">
        <v>9</v>
      </c>
      <c r="AH393">
        <v>14</v>
      </c>
      <c r="AI393">
        <v>0</v>
      </c>
      <c r="AJ393">
        <v>25</v>
      </c>
      <c r="AK393">
        <v>0</v>
      </c>
      <c r="AL393">
        <v>0</v>
      </c>
      <c r="AM393">
        <v>13</v>
      </c>
      <c r="AN393">
        <v>11</v>
      </c>
      <c r="AO393">
        <v>35</v>
      </c>
      <c r="AQ393" t="str">
        <f t="shared" si="6"/>
        <v>Midfielder</v>
      </c>
    </row>
    <row r="394" spans="1:43" x14ac:dyDescent="0.35">
      <c r="A394" t="s">
        <v>310</v>
      </c>
      <c r="B394" t="s">
        <v>43</v>
      </c>
      <c r="C394" t="s">
        <v>1261</v>
      </c>
      <c r="D394">
        <v>1996</v>
      </c>
      <c r="E394">
        <v>21</v>
      </c>
      <c r="F394" t="s">
        <v>99</v>
      </c>
      <c r="G394" t="s">
        <v>51</v>
      </c>
      <c r="H394">
        <v>5000000</v>
      </c>
      <c r="I394">
        <v>10000000</v>
      </c>
      <c r="J394" t="s">
        <v>55</v>
      </c>
      <c r="K394">
        <v>35</v>
      </c>
      <c r="L394">
        <v>1690</v>
      </c>
      <c r="M394">
        <v>3</v>
      </c>
      <c r="N394">
        <v>557</v>
      </c>
      <c r="O394">
        <v>1</v>
      </c>
      <c r="P394">
        <v>2</v>
      </c>
      <c r="Q394">
        <v>0</v>
      </c>
      <c r="R394">
        <v>18</v>
      </c>
      <c r="S394">
        <v>11</v>
      </c>
      <c r="T394">
        <v>36</v>
      </c>
      <c r="U394">
        <v>9</v>
      </c>
      <c r="V394">
        <v>1</v>
      </c>
      <c r="W394">
        <v>2</v>
      </c>
      <c r="X394">
        <v>0</v>
      </c>
      <c r="Y394">
        <v>0</v>
      </c>
      <c r="Z394">
        <v>0</v>
      </c>
      <c r="AA394">
        <v>4</v>
      </c>
      <c r="AB394">
        <v>1</v>
      </c>
      <c r="AC394">
        <v>27</v>
      </c>
      <c r="AD394">
        <v>29</v>
      </c>
      <c r="AE394">
        <v>86</v>
      </c>
      <c r="AF394">
        <v>0</v>
      </c>
      <c r="AG394">
        <v>11</v>
      </c>
      <c r="AH394">
        <v>7</v>
      </c>
      <c r="AI394">
        <v>0</v>
      </c>
      <c r="AJ394">
        <v>17</v>
      </c>
      <c r="AK394">
        <v>1</v>
      </c>
      <c r="AL394">
        <v>0</v>
      </c>
      <c r="AM394">
        <v>11</v>
      </c>
      <c r="AN394">
        <v>5</v>
      </c>
      <c r="AO394">
        <v>24</v>
      </c>
      <c r="AQ394" t="str">
        <f t="shared" si="6"/>
        <v>Midfielder</v>
      </c>
    </row>
    <row r="395" spans="1:43" x14ac:dyDescent="0.35">
      <c r="A395" t="s">
        <v>311</v>
      </c>
      <c r="B395" t="s">
        <v>46</v>
      </c>
      <c r="C395" t="s">
        <v>1262</v>
      </c>
      <c r="D395">
        <v>1988</v>
      </c>
      <c r="E395">
        <v>30</v>
      </c>
      <c r="F395" t="s">
        <v>74</v>
      </c>
      <c r="G395" t="s">
        <v>95</v>
      </c>
      <c r="H395">
        <v>1350000</v>
      </c>
      <c r="I395">
        <v>2250000</v>
      </c>
      <c r="J395" t="s">
        <v>52</v>
      </c>
      <c r="K395">
        <v>31</v>
      </c>
      <c r="L395">
        <v>2594</v>
      </c>
      <c r="M395">
        <v>0</v>
      </c>
      <c r="N395">
        <v>1332</v>
      </c>
      <c r="O395">
        <v>1</v>
      </c>
      <c r="P395">
        <v>4</v>
      </c>
      <c r="Q395">
        <v>0</v>
      </c>
      <c r="R395">
        <v>2</v>
      </c>
      <c r="S395">
        <v>1</v>
      </c>
      <c r="T395">
        <v>10</v>
      </c>
      <c r="U395">
        <v>1</v>
      </c>
      <c r="V395">
        <v>0</v>
      </c>
      <c r="W395">
        <v>59</v>
      </c>
      <c r="X395">
        <v>0</v>
      </c>
      <c r="Y395">
        <v>0</v>
      </c>
      <c r="Z395">
        <v>0</v>
      </c>
      <c r="AA395">
        <v>0</v>
      </c>
      <c r="AB395">
        <v>2</v>
      </c>
      <c r="AC395">
        <v>9</v>
      </c>
      <c r="AD395">
        <v>0</v>
      </c>
      <c r="AE395">
        <v>13</v>
      </c>
      <c r="AF395">
        <v>24</v>
      </c>
      <c r="AG395">
        <v>42</v>
      </c>
      <c r="AH395">
        <v>37</v>
      </c>
      <c r="AI395">
        <v>0</v>
      </c>
      <c r="AJ395">
        <v>48</v>
      </c>
      <c r="AK395">
        <v>0</v>
      </c>
      <c r="AL395">
        <v>1</v>
      </c>
      <c r="AM395">
        <v>144</v>
      </c>
      <c r="AN395">
        <v>55</v>
      </c>
      <c r="AO395">
        <v>53</v>
      </c>
      <c r="AQ395" t="str">
        <f t="shared" si="6"/>
        <v>Defensive Forward</v>
      </c>
    </row>
    <row r="396" spans="1:43" x14ac:dyDescent="0.35">
      <c r="A396" t="s">
        <v>312</v>
      </c>
      <c r="B396" t="s">
        <v>39</v>
      </c>
      <c r="C396" t="s">
        <v>1263</v>
      </c>
      <c r="D396">
        <v>1989</v>
      </c>
      <c r="E396">
        <v>25</v>
      </c>
      <c r="F396" t="s">
        <v>50</v>
      </c>
      <c r="G396" t="s">
        <v>132</v>
      </c>
      <c r="H396">
        <v>9000000</v>
      </c>
      <c r="I396">
        <v>10800000</v>
      </c>
      <c r="J396" t="s">
        <v>42</v>
      </c>
      <c r="K396">
        <v>21</v>
      </c>
      <c r="L396">
        <v>1525</v>
      </c>
      <c r="M396">
        <v>5</v>
      </c>
      <c r="N396">
        <v>344</v>
      </c>
      <c r="O396">
        <v>1</v>
      </c>
      <c r="P396">
        <v>3</v>
      </c>
      <c r="Q396">
        <v>0</v>
      </c>
      <c r="R396">
        <v>3</v>
      </c>
      <c r="S396">
        <v>11</v>
      </c>
      <c r="T396">
        <v>48</v>
      </c>
      <c r="U396">
        <v>18</v>
      </c>
      <c r="V396">
        <v>0</v>
      </c>
      <c r="W396">
        <v>14</v>
      </c>
      <c r="X396">
        <v>0</v>
      </c>
      <c r="Y396">
        <v>0</v>
      </c>
      <c r="Z396">
        <v>0</v>
      </c>
      <c r="AA396">
        <v>12</v>
      </c>
      <c r="AB396">
        <v>0</v>
      </c>
      <c r="AC396">
        <v>8</v>
      </c>
      <c r="AD396">
        <v>0</v>
      </c>
      <c r="AE396">
        <v>24</v>
      </c>
      <c r="AF396">
        <v>0</v>
      </c>
      <c r="AG396">
        <v>9</v>
      </c>
      <c r="AH396">
        <v>19</v>
      </c>
      <c r="AI396">
        <v>0</v>
      </c>
      <c r="AJ396">
        <v>15</v>
      </c>
      <c r="AK396">
        <v>0</v>
      </c>
      <c r="AL396">
        <v>0</v>
      </c>
      <c r="AM396">
        <v>19</v>
      </c>
      <c r="AN396">
        <v>54</v>
      </c>
      <c r="AO396">
        <v>100</v>
      </c>
      <c r="AQ396" t="str">
        <f t="shared" si="6"/>
        <v>Forward</v>
      </c>
    </row>
    <row r="397" spans="1:43" x14ac:dyDescent="0.35">
      <c r="A397" t="s">
        <v>312</v>
      </c>
      <c r="B397" t="s">
        <v>43</v>
      </c>
      <c r="C397" t="s">
        <v>1264</v>
      </c>
      <c r="D397">
        <v>1989</v>
      </c>
      <c r="E397">
        <v>28</v>
      </c>
      <c r="F397" t="s">
        <v>50</v>
      </c>
      <c r="G397" t="s">
        <v>132</v>
      </c>
      <c r="H397">
        <v>9000000</v>
      </c>
      <c r="I397">
        <v>4500000</v>
      </c>
      <c r="J397" t="s">
        <v>42</v>
      </c>
      <c r="K397">
        <v>14</v>
      </c>
      <c r="L397">
        <v>294</v>
      </c>
      <c r="M397">
        <v>2</v>
      </c>
      <c r="N397">
        <v>64</v>
      </c>
      <c r="O397">
        <v>0</v>
      </c>
      <c r="P397">
        <v>2</v>
      </c>
      <c r="Q397">
        <v>0</v>
      </c>
      <c r="R397">
        <v>14</v>
      </c>
      <c r="S397">
        <v>0</v>
      </c>
      <c r="T397">
        <v>3</v>
      </c>
      <c r="U397">
        <v>3</v>
      </c>
      <c r="V397">
        <v>1</v>
      </c>
      <c r="W397">
        <v>2</v>
      </c>
      <c r="X397">
        <v>0</v>
      </c>
      <c r="Y397">
        <v>0</v>
      </c>
      <c r="Z397">
        <v>0</v>
      </c>
      <c r="AA397">
        <v>5</v>
      </c>
      <c r="AB397">
        <v>0</v>
      </c>
      <c r="AC397">
        <v>0</v>
      </c>
      <c r="AD397">
        <v>1</v>
      </c>
      <c r="AE397">
        <v>3</v>
      </c>
      <c r="AF397">
        <v>0</v>
      </c>
      <c r="AG397">
        <v>1</v>
      </c>
      <c r="AH397">
        <v>4</v>
      </c>
      <c r="AI397">
        <v>0</v>
      </c>
      <c r="AJ397">
        <v>5</v>
      </c>
      <c r="AK397">
        <v>0</v>
      </c>
      <c r="AL397">
        <v>0</v>
      </c>
      <c r="AM397">
        <v>2</v>
      </c>
      <c r="AN397">
        <v>16</v>
      </c>
      <c r="AO397">
        <v>27</v>
      </c>
      <c r="AQ397" t="str">
        <f t="shared" si="6"/>
        <v>Forward</v>
      </c>
    </row>
    <row r="398" spans="1:43" x14ac:dyDescent="0.35">
      <c r="A398" t="s">
        <v>313</v>
      </c>
      <c r="B398" t="s">
        <v>47</v>
      </c>
      <c r="C398" t="s">
        <v>1265</v>
      </c>
      <c r="D398">
        <v>1994</v>
      </c>
      <c r="E398">
        <v>22</v>
      </c>
      <c r="F398" t="s">
        <v>78</v>
      </c>
      <c r="G398" t="s">
        <v>214</v>
      </c>
      <c r="H398">
        <v>20700000</v>
      </c>
      <c r="I398">
        <v>23400000</v>
      </c>
      <c r="J398" t="s">
        <v>55</v>
      </c>
      <c r="K398">
        <v>31</v>
      </c>
      <c r="L398">
        <v>2519</v>
      </c>
      <c r="M398">
        <v>0</v>
      </c>
      <c r="N398">
        <v>1008</v>
      </c>
      <c r="O398">
        <v>0</v>
      </c>
      <c r="P398">
        <v>5</v>
      </c>
      <c r="Q398">
        <v>0</v>
      </c>
      <c r="R398">
        <v>4</v>
      </c>
      <c r="S398">
        <v>3</v>
      </c>
      <c r="T398">
        <v>16</v>
      </c>
      <c r="U398">
        <v>5</v>
      </c>
      <c r="V398">
        <v>0</v>
      </c>
      <c r="W398">
        <v>22</v>
      </c>
      <c r="X398">
        <v>0</v>
      </c>
      <c r="Y398">
        <v>0</v>
      </c>
      <c r="Z398">
        <v>0</v>
      </c>
      <c r="AA398">
        <v>4</v>
      </c>
      <c r="AB398">
        <v>5</v>
      </c>
      <c r="AC398">
        <v>1</v>
      </c>
      <c r="AD398">
        <v>1</v>
      </c>
      <c r="AE398">
        <v>38</v>
      </c>
      <c r="AF398">
        <v>8</v>
      </c>
      <c r="AG398">
        <v>50</v>
      </c>
      <c r="AH398">
        <v>37</v>
      </c>
      <c r="AI398">
        <v>0</v>
      </c>
      <c r="AJ398">
        <v>82</v>
      </c>
      <c r="AK398">
        <v>1</v>
      </c>
      <c r="AL398">
        <v>0</v>
      </c>
      <c r="AM398">
        <v>36</v>
      </c>
      <c r="AN398">
        <v>22</v>
      </c>
      <c r="AO398">
        <v>39</v>
      </c>
      <c r="AQ398" t="str">
        <f t="shared" si="6"/>
        <v>Midfielder</v>
      </c>
    </row>
    <row r="399" spans="1:43" x14ac:dyDescent="0.35">
      <c r="A399" t="s">
        <v>314</v>
      </c>
      <c r="B399" t="s">
        <v>39</v>
      </c>
      <c r="C399" t="s">
        <v>1266</v>
      </c>
      <c r="D399">
        <v>1988</v>
      </c>
      <c r="E399">
        <v>26</v>
      </c>
      <c r="F399" t="s">
        <v>44</v>
      </c>
      <c r="G399" t="s">
        <v>45</v>
      </c>
      <c r="H399">
        <v>45000000</v>
      </c>
      <c r="I399">
        <v>40500000</v>
      </c>
      <c r="J399" t="s">
        <v>42</v>
      </c>
      <c r="K399">
        <v>28</v>
      </c>
      <c r="L399">
        <v>2379</v>
      </c>
      <c r="M399">
        <v>12</v>
      </c>
      <c r="N399">
        <v>824</v>
      </c>
      <c r="O399">
        <v>6</v>
      </c>
      <c r="P399">
        <v>8</v>
      </c>
      <c r="Q399">
        <v>0</v>
      </c>
      <c r="R399">
        <v>1</v>
      </c>
      <c r="S399">
        <v>6</v>
      </c>
      <c r="T399">
        <v>68</v>
      </c>
      <c r="U399">
        <v>28</v>
      </c>
      <c r="V399">
        <v>1</v>
      </c>
      <c r="W399">
        <v>19</v>
      </c>
      <c r="X399">
        <v>0</v>
      </c>
      <c r="Y399">
        <v>0</v>
      </c>
      <c r="Z399">
        <v>0</v>
      </c>
      <c r="AA399">
        <v>33</v>
      </c>
      <c r="AB399">
        <v>2</v>
      </c>
      <c r="AC399">
        <v>9</v>
      </c>
      <c r="AD399">
        <v>1</v>
      </c>
      <c r="AE399">
        <v>12</v>
      </c>
      <c r="AF399">
        <v>4</v>
      </c>
      <c r="AG399">
        <v>6</v>
      </c>
      <c r="AH399">
        <v>43</v>
      </c>
      <c r="AI399">
        <v>0</v>
      </c>
      <c r="AJ399">
        <v>21</v>
      </c>
      <c r="AK399">
        <v>0</v>
      </c>
      <c r="AL399">
        <v>0</v>
      </c>
      <c r="AM399">
        <v>25</v>
      </c>
      <c r="AN399">
        <v>42</v>
      </c>
      <c r="AO399">
        <v>92</v>
      </c>
      <c r="AQ399" t="str">
        <f t="shared" si="6"/>
        <v>Forward</v>
      </c>
    </row>
    <row r="400" spans="1:43" x14ac:dyDescent="0.35">
      <c r="A400" t="s">
        <v>314</v>
      </c>
      <c r="B400" t="s">
        <v>47</v>
      </c>
      <c r="C400" t="s">
        <v>1267</v>
      </c>
      <c r="D400">
        <v>1988</v>
      </c>
      <c r="E400">
        <v>27</v>
      </c>
      <c r="F400" t="s">
        <v>44</v>
      </c>
      <c r="G400" t="s">
        <v>45</v>
      </c>
      <c r="H400">
        <v>40500000</v>
      </c>
      <c r="I400">
        <v>45000000</v>
      </c>
      <c r="J400" t="s">
        <v>42</v>
      </c>
      <c r="K400">
        <v>35</v>
      </c>
      <c r="L400">
        <v>3089</v>
      </c>
      <c r="M400">
        <v>20</v>
      </c>
      <c r="N400">
        <v>1034</v>
      </c>
      <c r="O400">
        <v>7</v>
      </c>
      <c r="P400">
        <v>10</v>
      </c>
      <c r="Q400">
        <v>0</v>
      </c>
      <c r="R400">
        <v>0</v>
      </c>
      <c r="S400">
        <v>8</v>
      </c>
      <c r="T400">
        <v>111</v>
      </c>
      <c r="U400">
        <v>42</v>
      </c>
      <c r="V400">
        <v>4</v>
      </c>
      <c r="W400">
        <v>30</v>
      </c>
      <c r="X400">
        <v>2</v>
      </c>
      <c r="Y400">
        <v>0</v>
      </c>
      <c r="Z400">
        <v>0</v>
      </c>
      <c r="AA400">
        <v>26</v>
      </c>
      <c r="AB400">
        <v>12</v>
      </c>
      <c r="AC400">
        <v>12</v>
      </c>
      <c r="AD400">
        <v>2</v>
      </c>
      <c r="AE400">
        <v>9</v>
      </c>
      <c r="AF400">
        <v>3</v>
      </c>
      <c r="AG400">
        <v>7</v>
      </c>
      <c r="AH400">
        <v>43</v>
      </c>
      <c r="AI400">
        <v>0</v>
      </c>
      <c r="AJ400">
        <v>18</v>
      </c>
      <c r="AK400">
        <v>0</v>
      </c>
      <c r="AL400">
        <v>0</v>
      </c>
      <c r="AM400">
        <v>39</v>
      </c>
      <c r="AN400">
        <v>44</v>
      </c>
      <c r="AO400">
        <v>110</v>
      </c>
      <c r="AQ400" t="str">
        <f t="shared" si="6"/>
        <v>Forward</v>
      </c>
    </row>
    <row r="401" spans="1:43" x14ac:dyDescent="0.35">
      <c r="A401" t="s">
        <v>315</v>
      </c>
      <c r="B401" t="s">
        <v>46</v>
      </c>
      <c r="C401" t="s">
        <v>1268</v>
      </c>
      <c r="D401">
        <v>1993</v>
      </c>
      <c r="E401">
        <v>25</v>
      </c>
      <c r="F401" t="s">
        <v>84</v>
      </c>
      <c r="G401" t="s">
        <v>45</v>
      </c>
      <c r="H401">
        <v>2250000</v>
      </c>
      <c r="I401">
        <v>8100000</v>
      </c>
      <c r="J401" t="s">
        <v>52</v>
      </c>
      <c r="K401">
        <v>12</v>
      </c>
      <c r="L401">
        <v>607</v>
      </c>
      <c r="M401">
        <v>0</v>
      </c>
      <c r="N401">
        <v>285</v>
      </c>
      <c r="O401">
        <v>0</v>
      </c>
      <c r="P401">
        <v>0</v>
      </c>
      <c r="Q401">
        <v>0</v>
      </c>
      <c r="R401">
        <v>7</v>
      </c>
      <c r="S401">
        <v>2</v>
      </c>
      <c r="T401">
        <v>9</v>
      </c>
      <c r="U401">
        <v>0</v>
      </c>
      <c r="V401">
        <v>0</v>
      </c>
      <c r="W401">
        <v>7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9</v>
      </c>
      <c r="AD401">
        <v>12</v>
      </c>
      <c r="AE401">
        <v>39</v>
      </c>
      <c r="AF401">
        <v>2</v>
      </c>
      <c r="AG401">
        <v>14</v>
      </c>
      <c r="AH401">
        <v>10</v>
      </c>
      <c r="AI401">
        <v>0</v>
      </c>
      <c r="AJ401">
        <v>14</v>
      </c>
      <c r="AK401">
        <v>0</v>
      </c>
      <c r="AL401">
        <v>0</v>
      </c>
      <c r="AM401">
        <v>17</v>
      </c>
      <c r="AN401">
        <v>7</v>
      </c>
      <c r="AO401">
        <v>9</v>
      </c>
      <c r="AQ401" t="str">
        <f t="shared" si="6"/>
        <v>Defensive Forward</v>
      </c>
    </row>
    <row r="402" spans="1:43" x14ac:dyDescent="0.35">
      <c r="A402" t="s">
        <v>316</v>
      </c>
      <c r="B402" t="s">
        <v>39</v>
      </c>
      <c r="C402" t="s">
        <v>1269</v>
      </c>
      <c r="D402">
        <v>1985</v>
      </c>
      <c r="E402">
        <v>30</v>
      </c>
      <c r="F402" t="s">
        <v>123</v>
      </c>
      <c r="G402" t="s">
        <v>174</v>
      </c>
      <c r="H402">
        <v>12100000</v>
      </c>
      <c r="I402">
        <v>6300000</v>
      </c>
      <c r="J402" t="s">
        <v>42</v>
      </c>
      <c r="K402">
        <v>29</v>
      </c>
      <c r="L402">
        <v>1588</v>
      </c>
      <c r="M402">
        <v>7</v>
      </c>
      <c r="N402">
        <v>484</v>
      </c>
      <c r="O402">
        <v>1</v>
      </c>
      <c r="P402">
        <v>0</v>
      </c>
      <c r="Q402">
        <v>0</v>
      </c>
      <c r="R402">
        <v>14</v>
      </c>
      <c r="S402">
        <v>5</v>
      </c>
      <c r="T402">
        <v>37</v>
      </c>
      <c r="U402">
        <v>20</v>
      </c>
      <c r="V402">
        <v>1</v>
      </c>
      <c r="W402">
        <v>17</v>
      </c>
      <c r="X402">
        <v>1</v>
      </c>
      <c r="Y402">
        <v>0</v>
      </c>
      <c r="Z402">
        <v>0</v>
      </c>
      <c r="AA402">
        <v>29</v>
      </c>
      <c r="AB402">
        <v>0</v>
      </c>
      <c r="AC402">
        <v>6</v>
      </c>
      <c r="AD402">
        <v>0</v>
      </c>
      <c r="AE402">
        <v>8</v>
      </c>
      <c r="AF402">
        <v>1</v>
      </c>
      <c r="AG402">
        <v>3</v>
      </c>
      <c r="AH402">
        <v>17</v>
      </c>
      <c r="AI402">
        <v>0</v>
      </c>
      <c r="AJ402">
        <v>11</v>
      </c>
      <c r="AK402">
        <v>0</v>
      </c>
      <c r="AL402">
        <v>0</v>
      </c>
      <c r="AM402">
        <v>22</v>
      </c>
      <c r="AN402">
        <v>119</v>
      </c>
      <c r="AO402">
        <v>141</v>
      </c>
      <c r="AQ402" t="str">
        <f t="shared" si="6"/>
        <v>Forward</v>
      </c>
    </row>
    <row r="403" spans="1:43" x14ac:dyDescent="0.35">
      <c r="A403" t="s">
        <v>316</v>
      </c>
      <c r="B403" t="s">
        <v>47</v>
      </c>
      <c r="C403" t="s">
        <v>1270</v>
      </c>
      <c r="D403">
        <v>1985</v>
      </c>
      <c r="E403">
        <v>31</v>
      </c>
      <c r="F403" t="s">
        <v>71</v>
      </c>
      <c r="G403" t="s">
        <v>174</v>
      </c>
      <c r="H403">
        <v>6300000</v>
      </c>
      <c r="I403">
        <v>4500000</v>
      </c>
      <c r="J403" t="s">
        <v>42</v>
      </c>
      <c r="K403">
        <v>12</v>
      </c>
      <c r="L403">
        <v>763</v>
      </c>
      <c r="M403">
        <v>0</v>
      </c>
      <c r="N403">
        <v>172</v>
      </c>
      <c r="O403">
        <v>1</v>
      </c>
      <c r="P403">
        <v>0</v>
      </c>
      <c r="Q403">
        <v>0</v>
      </c>
      <c r="R403">
        <v>4</v>
      </c>
      <c r="S403">
        <v>3</v>
      </c>
      <c r="T403">
        <v>14</v>
      </c>
      <c r="U403">
        <v>4</v>
      </c>
      <c r="V403">
        <v>0</v>
      </c>
      <c r="W403">
        <v>4</v>
      </c>
      <c r="X403">
        <v>0</v>
      </c>
      <c r="Y403">
        <v>0</v>
      </c>
      <c r="Z403">
        <v>0</v>
      </c>
      <c r="AA403">
        <v>12</v>
      </c>
      <c r="AB403">
        <v>1</v>
      </c>
      <c r="AC403">
        <v>0</v>
      </c>
      <c r="AD403">
        <v>0</v>
      </c>
      <c r="AE403">
        <v>3</v>
      </c>
      <c r="AF403">
        <v>2</v>
      </c>
      <c r="AG403">
        <v>1</v>
      </c>
      <c r="AH403">
        <v>14</v>
      </c>
      <c r="AI403">
        <v>0</v>
      </c>
      <c r="AJ403">
        <v>3</v>
      </c>
      <c r="AK403">
        <v>0</v>
      </c>
      <c r="AL403">
        <v>0</v>
      </c>
      <c r="AM403">
        <v>5</v>
      </c>
      <c r="AN403">
        <v>39</v>
      </c>
      <c r="AO403">
        <v>61</v>
      </c>
      <c r="AQ403" t="str">
        <f t="shared" si="6"/>
        <v>Forward</v>
      </c>
    </row>
    <row r="404" spans="1:43" x14ac:dyDescent="0.35">
      <c r="A404" t="s">
        <v>317</v>
      </c>
      <c r="B404" t="s">
        <v>39</v>
      </c>
      <c r="C404" t="s">
        <v>1271</v>
      </c>
      <c r="D404">
        <v>1987</v>
      </c>
      <c r="E404">
        <v>28</v>
      </c>
      <c r="F404" t="s">
        <v>50</v>
      </c>
      <c r="G404" t="s">
        <v>67</v>
      </c>
      <c r="H404">
        <v>14300000</v>
      </c>
      <c r="I404">
        <v>20700000</v>
      </c>
      <c r="J404" t="s">
        <v>42</v>
      </c>
      <c r="K404">
        <v>30</v>
      </c>
      <c r="L404">
        <v>2571</v>
      </c>
      <c r="M404">
        <v>9</v>
      </c>
      <c r="N404">
        <v>1269</v>
      </c>
      <c r="O404">
        <v>12</v>
      </c>
      <c r="P404">
        <v>3</v>
      </c>
      <c r="Q404">
        <v>0</v>
      </c>
      <c r="R404">
        <v>1</v>
      </c>
      <c r="S404">
        <v>6</v>
      </c>
      <c r="T404">
        <v>69</v>
      </c>
      <c r="U404">
        <v>28</v>
      </c>
      <c r="V404">
        <v>2</v>
      </c>
      <c r="W404">
        <v>2</v>
      </c>
      <c r="X404">
        <v>0</v>
      </c>
      <c r="Y404">
        <v>0</v>
      </c>
      <c r="Z404">
        <v>2</v>
      </c>
      <c r="AA404">
        <v>3</v>
      </c>
      <c r="AB404">
        <v>19</v>
      </c>
      <c r="AC404">
        <v>1</v>
      </c>
      <c r="AD404">
        <v>159</v>
      </c>
      <c r="AE404">
        <v>290</v>
      </c>
      <c r="AF404">
        <v>0</v>
      </c>
      <c r="AG404">
        <v>23</v>
      </c>
      <c r="AH404">
        <v>13</v>
      </c>
      <c r="AI404">
        <v>0</v>
      </c>
      <c r="AJ404">
        <v>24</v>
      </c>
      <c r="AK404">
        <v>1</v>
      </c>
      <c r="AL404">
        <v>0</v>
      </c>
      <c r="AM404">
        <v>2</v>
      </c>
      <c r="AN404">
        <v>2</v>
      </c>
      <c r="AO404">
        <v>10</v>
      </c>
      <c r="AQ404" t="str">
        <f t="shared" si="6"/>
        <v>Forward</v>
      </c>
    </row>
    <row r="405" spans="1:43" x14ac:dyDescent="0.35">
      <c r="A405" t="s">
        <v>317</v>
      </c>
      <c r="B405" t="s">
        <v>47</v>
      </c>
      <c r="C405" t="s">
        <v>1272</v>
      </c>
      <c r="D405">
        <v>1987</v>
      </c>
      <c r="E405">
        <v>29</v>
      </c>
      <c r="F405" t="s">
        <v>50</v>
      </c>
      <c r="G405" t="s">
        <v>67</v>
      </c>
      <c r="H405">
        <v>16200000</v>
      </c>
      <c r="I405">
        <v>31500000</v>
      </c>
      <c r="J405" t="s">
        <v>55</v>
      </c>
      <c r="K405">
        <v>18</v>
      </c>
      <c r="L405">
        <v>1513</v>
      </c>
      <c r="M405">
        <v>2</v>
      </c>
      <c r="N405">
        <v>763</v>
      </c>
      <c r="O405">
        <v>6</v>
      </c>
      <c r="P405">
        <v>2</v>
      </c>
      <c r="Q405">
        <v>0</v>
      </c>
      <c r="R405">
        <v>1</v>
      </c>
      <c r="S405">
        <v>5</v>
      </c>
      <c r="T405">
        <v>55</v>
      </c>
      <c r="U405">
        <v>15</v>
      </c>
      <c r="V405">
        <v>3</v>
      </c>
      <c r="W405">
        <v>0</v>
      </c>
      <c r="X405">
        <v>0</v>
      </c>
      <c r="Y405">
        <v>0</v>
      </c>
      <c r="Z405">
        <v>1</v>
      </c>
      <c r="AA405">
        <v>0</v>
      </c>
      <c r="AB405">
        <v>8</v>
      </c>
      <c r="AC405">
        <v>2</v>
      </c>
      <c r="AD405">
        <v>85</v>
      </c>
      <c r="AE405">
        <v>156</v>
      </c>
      <c r="AF405">
        <v>0</v>
      </c>
      <c r="AG405">
        <v>5</v>
      </c>
      <c r="AH405">
        <v>7</v>
      </c>
      <c r="AI405">
        <v>0</v>
      </c>
      <c r="AJ405">
        <v>9</v>
      </c>
      <c r="AK405">
        <v>0</v>
      </c>
      <c r="AL405">
        <v>0</v>
      </c>
      <c r="AM405">
        <v>5</v>
      </c>
      <c r="AN405">
        <v>3</v>
      </c>
      <c r="AO405">
        <v>7</v>
      </c>
      <c r="AQ405" t="str">
        <f t="shared" si="6"/>
        <v>Midfielder</v>
      </c>
    </row>
    <row r="406" spans="1:43" x14ac:dyDescent="0.35">
      <c r="A406" t="s">
        <v>318</v>
      </c>
      <c r="B406" t="s">
        <v>46</v>
      </c>
      <c r="C406" t="s">
        <v>1273</v>
      </c>
      <c r="D406">
        <v>1999</v>
      </c>
      <c r="E406">
        <v>19</v>
      </c>
      <c r="F406" t="s">
        <v>129</v>
      </c>
      <c r="G406" t="s">
        <v>41</v>
      </c>
      <c r="H406">
        <v>13500000</v>
      </c>
      <c r="I406">
        <v>18000000</v>
      </c>
      <c r="J406" t="s">
        <v>52</v>
      </c>
      <c r="K406">
        <v>16</v>
      </c>
      <c r="L406">
        <v>1014</v>
      </c>
      <c r="M406">
        <v>0</v>
      </c>
      <c r="N406">
        <v>423</v>
      </c>
      <c r="O406">
        <v>2</v>
      </c>
      <c r="P406">
        <v>3</v>
      </c>
      <c r="Q406">
        <v>0</v>
      </c>
      <c r="R406">
        <v>4</v>
      </c>
      <c r="S406">
        <v>6</v>
      </c>
      <c r="T406">
        <v>15</v>
      </c>
      <c r="U406">
        <v>0</v>
      </c>
      <c r="V406">
        <v>0</v>
      </c>
      <c r="W406">
        <v>12</v>
      </c>
      <c r="X406">
        <v>0</v>
      </c>
      <c r="Y406">
        <v>0</v>
      </c>
      <c r="Z406">
        <v>0</v>
      </c>
      <c r="AA406">
        <v>2</v>
      </c>
      <c r="AB406">
        <v>0</v>
      </c>
      <c r="AC406">
        <v>15</v>
      </c>
      <c r="AD406">
        <v>3</v>
      </c>
      <c r="AE406">
        <v>50</v>
      </c>
      <c r="AF406">
        <v>2</v>
      </c>
      <c r="AG406">
        <v>10</v>
      </c>
      <c r="AH406">
        <v>12</v>
      </c>
      <c r="AI406">
        <v>0</v>
      </c>
      <c r="AJ406">
        <v>24</v>
      </c>
      <c r="AK406">
        <v>0</v>
      </c>
      <c r="AL406">
        <v>0</v>
      </c>
      <c r="AM406">
        <v>30</v>
      </c>
      <c r="AN406">
        <v>22</v>
      </c>
      <c r="AO406">
        <v>5</v>
      </c>
      <c r="AQ406" t="str">
        <f t="shared" si="6"/>
        <v>Defensive Forward</v>
      </c>
    </row>
    <row r="407" spans="1:43" x14ac:dyDescent="0.35">
      <c r="A407" t="s">
        <v>319</v>
      </c>
      <c r="B407" t="s">
        <v>46</v>
      </c>
      <c r="C407" t="s">
        <v>1274</v>
      </c>
      <c r="D407">
        <v>1996</v>
      </c>
      <c r="E407">
        <v>21</v>
      </c>
      <c r="F407" t="s">
        <v>90</v>
      </c>
      <c r="G407" t="s">
        <v>41</v>
      </c>
      <c r="H407">
        <v>110000</v>
      </c>
      <c r="I407">
        <v>3850000</v>
      </c>
      <c r="J407" t="s">
        <v>55</v>
      </c>
      <c r="K407">
        <v>33</v>
      </c>
      <c r="L407">
        <v>2368</v>
      </c>
      <c r="M407">
        <v>9</v>
      </c>
      <c r="N407">
        <v>745</v>
      </c>
      <c r="O407">
        <v>5</v>
      </c>
      <c r="P407">
        <v>11</v>
      </c>
      <c r="Q407">
        <v>0</v>
      </c>
      <c r="R407">
        <v>4</v>
      </c>
      <c r="S407">
        <v>20</v>
      </c>
      <c r="T407">
        <v>58</v>
      </c>
      <c r="U407">
        <v>24</v>
      </c>
      <c r="V407">
        <v>3</v>
      </c>
      <c r="W407">
        <v>9</v>
      </c>
      <c r="X407">
        <v>0</v>
      </c>
      <c r="Y407">
        <v>0</v>
      </c>
      <c r="Z407">
        <v>0</v>
      </c>
      <c r="AA407">
        <v>6</v>
      </c>
      <c r="AB407">
        <v>3</v>
      </c>
      <c r="AC407">
        <v>34</v>
      </c>
      <c r="AD407">
        <v>0</v>
      </c>
      <c r="AE407">
        <v>36</v>
      </c>
      <c r="AF407">
        <v>1</v>
      </c>
      <c r="AG407">
        <v>13</v>
      </c>
      <c r="AH407">
        <v>42</v>
      </c>
      <c r="AI407">
        <v>0</v>
      </c>
      <c r="AJ407">
        <v>28</v>
      </c>
      <c r="AK407">
        <v>0</v>
      </c>
      <c r="AL407">
        <v>0</v>
      </c>
      <c r="AM407">
        <v>11</v>
      </c>
      <c r="AN407">
        <v>27</v>
      </c>
      <c r="AO407">
        <v>71</v>
      </c>
      <c r="AQ407" t="str">
        <f t="shared" si="6"/>
        <v>Midfielder</v>
      </c>
    </row>
    <row r="408" spans="1:43" x14ac:dyDescent="0.35">
      <c r="A408" t="s">
        <v>320</v>
      </c>
      <c r="B408" t="s">
        <v>39</v>
      </c>
      <c r="C408" t="s">
        <v>1275</v>
      </c>
      <c r="D408">
        <v>1995</v>
      </c>
      <c r="E408">
        <v>20</v>
      </c>
      <c r="F408" t="s">
        <v>80</v>
      </c>
      <c r="G408" t="s">
        <v>95</v>
      </c>
      <c r="H408">
        <v>9900000</v>
      </c>
      <c r="I408">
        <v>9900000</v>
      </c>
      <c r="J408" t="s">
        <v>42</v>
      </c>
      <c r="K408">
        <v>16</v>
      </c>
      <c r="L408">
        <v>666</v>
      </c>
      <c r="M408">
        <v>5</v>
      </c>
      <c r="N408">
        <v>164</v>
      </c>
      <c r="O408">
        <v>1</v>
      </c>
      <c r="P408">
        <v>0</v>
      </c>
      <c r="Q408">
        <v>0</v>
      </c>
      <c r="R408">
        <v>9</v>
      </c>
      <c r="S408">
        <v>5</v>
      </c>
      <c r="T408">
        <v>24</v>
      </c>
      <c r="U408">
        <v>12</v>
      </c>
      <c r="V408">
        <v>1</v>
      </c>
      <c r="W408">
        <v>0</v>
      </c>
      <c r="X408">
        <v>2</v>
      </c>
      <c r="Y408">
        <v>0</v>
      </c>
      <c r="Z408">
        <v>0</v>
      </c>
      <c r="AA408">
        <v>10</v>
      </c>
      <c r="AB408">
        <v>0</v>
      </c>
      <c r="AC408">
        <v>3</v>
      </c>
      <c r="AD408">
        <v>0</v>
      </c>
      <c r="AE408">
        <v>14</v>
      </c>
      <c r="AF408">
        <v>0</v>
      </c>
      <c r="AG408">
        <v>0</v>
      </c>
      <c r="AH408">
        <v>11</v>
      </c>
      <c r="AI408">
        <v>0</v>
      </c>
      <c r="AJ408">
        <v>5</v>
      </c>
      <c r="AK408">
        <v>0</v>
      </c>
      <c r="AL408">
        <v>0</v>
      </c>
      <c r="AM408">
        <v>1</v>
      </c>
      <c r="AN408">
        <v>7</v>
      </c>
      <c r="AO408">
        <v>29</v>
      </c>
      <c r="AQ408" t="str">
        <f t="shared" si="6"/>
        <v>Forward</v>
      </c>
    </row>
    <row r="409" spans="1:43" x14ac:dyDescent="0.35">
      <c r="A409" t="s">
        <v>320</v>
      </c>
      <c r="B409" t="s">
        <v>47</v>
      </c>
      <c r="C409" t="s">
        <v>1276</v>
      </c>
      <c r="D409">
        <v>1995</v>
      </c>
      <c r="E409">
        <v>21</v>
      </c>
      <c r="F409" t="s">
        <v>80</v>
      </c>
      <c r="G409" t="s">
        <v>95</v>
      </c>
      <c r="H409">
        <v>9900000</v>
      </c>
      <c r="I409">
        <v>10800000</v>
      </c>
      <c r="J409" t="s">
        <v>42</v>
      </c>
      <c r="K409">
        <v>34</v>
      </c>
      <c r="L409">
        <v>1459</v>
      </c>
      <c r="M409">
        <v>7</v>
      </c>
      <c r="N409">
        <v>391</v>
      </c>
      <c r="O409">
        <v>3</v>
      </c>
      <c r="P409">
        <v>0</v>
      </c>
      <c r="Q409">
        <v>0</v>
      </c>
      <c r="R409">
        <v>20</v>
      </c>
      <c r="S409">
        <v>9</v>
      </c>
      <c r="T409">
        <v>38</v>
      </c>
      <c r="U409">
        <v>15</v>
      </c>
      <c r="V409">
        <v>2</v>
      </c>
      <c r="W409">
        <v>1</v>
      </c>
      <c r="X409">
        <v>1</v>
      </c>
      <c r="Y409">
        <v>0</v>
      </c>
      <c r="Z409">
        <v>0</v>
      </c>
      <c r="AA409">
        <v>13</v>
      </c>
      <c r="AB409">
        <v>0</v>
      </c>
      <c r="AC409">
        <v>4</v>
      </c>
      <c r="AD409">
        <v>0</v>
      </c>
      <c r="AE409">
        <v>31</v>
      </c>
      <c r="AF409">
        <v>2</v>
      </c>
      <c r="AG409">
        <v>3</v>
      </c>
      <c r="AH409">
        <v>22</v>
      </c>
      <c r="AI409">
        <v>0</v>
      </c>
      <c r="AJ409">
        <v>11</v>
      </c>
      <c r="AK409">
        <v>0</v>
      </c>
      <c r="AL409">
        <v>0</v>
      </c>
      <c r="AM409">
        <v>2</v>
      </c>
      <c r="AN409">
        <v>31</v>
      </c>
      <c r="AO409">
        <v>89</v>
      </c>
      <c r="AQ409" t="str">
        <f t="shared" si="6"/>
        <v>Forward</v>
      </c>
    </row>
    <row r="410" spans="1:43" x14ac:dyDescent="0.35">
      <c r="A410" t="s">
        <v>320</v>
      </c>
      <c r="B410" t="s">
        <v>46</v>
      </c>
      <c r="C410" t="s">
        <v>1277</v>
      </c>
      <c r="D410">
        <v>1995</v>
      </c>
      <c r="E410">
        <v>23</v>
      </c>
      <c r="F410" t="s">
        <v>80</v>
      </c>
      <c r="G410" t="s">
        <v>95</v>
      </c>
      <c r="H410">
        <v>9000000</v>
      </c>
      <c r="I410">
        <v>18000000</v>
      </c>
      <c r="J410" t="s">
        <v>42</v>
      </c>
      <c r="K410">
        <v>12</v>
      </c>
      <c r="L410">
        <v>367</v>
      </c>
      <c r="M410">
        <v>3</v>
      </c>
      <c r="N410">
        <v>108</v>
      </c>
      <c r="O410">
        <v>1</v>
      </c>
      <c r="P410">
        <v>0</v>
      </c>
      <c r="Q410">
        <v>0</v>
      </c>
      <c r="R410">
        <v>8</v>
      </c>
      <c r="S410">
        <v>3</v>
      </c>
      <c r="T410">
        <v>13</v>
      </c>
      <c r="U410">
        <v>6</v>
      </c>
      <c r="V410">
        <v>1</v>
      </c>
      <c r="W410">
        <v>0</v>
      </c>
      <c r="X410">
        <v>2</v>
      </c>
      <c r="Y410">
        <v>0</v>
      </c>
      <c r="Z410">
        <v>0</v>
      </c>
      <c r="AA410">
        <v>3</v>
      </c>
      <c r="AB410">
        <v>0</v>
      </c>
      <c r="AC410">
        <v>7</v>
      </c>
      <c r="AD410">
        <v>0</v>
      </c>
      <c r="AE410">
        <v>5</v>
      </c>
      <c r="AF410">
        <v>0</v>
      </c>
      <c r="AG410">
        <v>0</v>
      </c>
      <c r="AH410">
        <v>2</v>
      </c>
      <c r="AI410">
        <v>0</v>
      </c>
      <c r="AJ410">
        <v>6</v>
      </c>
      <c r="AK410">
        <v>0</v>
      </c>
      <c r="AL410">
        <v>0</v>
      </c>
      <c r="AM410">
        <v>0</v>
      </c>
      <c r="AN410">
        <v>4</v>
      </c>
      <c r="AO410">
        <v>12</v>
      </c>
      <c r="AQ410" t="str">
        <f t="shared" si="6"/>
        <v>Forward</v>
      </c>
    </row>
    <row r="411" spans="1:43" x14ac:dyDescent="0.35">
      <c r="A411" t="s">
        <v>321</v>
      </c>
      <c r="B411" t="s">
        <v>47</v>
      </c>
      <c r="C411" t="s">
        <v>1278</v>
      </c>
      <c r="D411">
        <v>1997</v>
      </c>
      <c r="E411">
        <v>19</v>
      </c>
      <c r="F411" t="s">
        <v>54</v>
      </c>
      <c r="G411" t="s">
        <v>51</v>
      </c>
      <c r="H411">
        <v>16500000</v>
      </c>
      <c r="I411">
        <v>22000000</v>
      </c>
      <c r="J411" t="s">
        <v>55</v>
      </c>
      <c r="K411">
        <v>11</v>
      </c>
      <c r="L411">
        <v>345</v>
      </c>
      <c r="M411">
        <v>1</v>
      </c>
      <c r="N411">
        <v>87</v>
      </c>
      <c r="O411">
        <v>0</v>
      </c>
      <c r="P411">
        <v>1</v>
      </c>
      <c r="Q411">
        <v>0</v>
      </c>
      <c r="R411">
        <v>6</v>
      </c>
      <c r="S411">
        <v>5</v>
      </c>
      <c r="T411">
        <v>7</v>
      </c>
      <c r="U411">
        <v>1</v>
      </c>
      <c r="V411">
        <v>1</v>
      </c>
      <c r="W411">
        <v>5</v>
      </c>
      <c r="X411">
        <v>0</v>
      </c>
      <c r="Y411">
        <v>0</v>
      </c>
      <c r="Z411">
        <v>0</v>
      </c>
      <c r="AA411">
        <v>1</v>
      </c>
      <c r="AB411">
        <v>0</v>
      </c>
      <c r="AC411">
        <v>1</v>
      </c>
      <c r="AD411">
        <v>0</v>
      </c>
      <c r="AE411">
        <v>0</v>
      </c>
      <c r="AF411">
        <v>1</v>
      </c>
      <c r="AG411">
        <v>5</v>
      </c>
      <c r="AH411">
        <v>4</v>
      </c>
      <c r="AI411">
        <v>0</v>
      </c>
      <c r="AJ411">
        <v>7</v>
      </c>
      <c r="AK411">
        <v>0</v>
      </c>
      <c r="AL411">
        <v>0</v>
      </c>
      <c r="AM411">
        <v>7</v>
      </c>
      <c r="AN411">
        <v>17</v>
      </c>
      <c r="AO411">
        <v>6</v>
      </c>
      <c r="AQ411" t="str">
        <f t="shared" si="6"/>
        <v>Midfielder</v>
      </c>
    </row>
    <row r="412" spans="1:43" x14ac:dyDescent="0.35">
      <c r="A412" t="s">
        <v>321</v>
      </c>
      <c r="B412" t="s">
        <v>46</v>
      </c>
      <c r="C412" t="s">
        <v>1279</v>
      </c>
      <c r="D412">
        <v>1997</v>
      </c>
      <c r="E412">
        <v>21</v>
      </c>
      <c r="F412" t="s">
        <v>54</v>
      </c>
      <c r="G412" t="s">
        <v>51</v>
      </c>
      <c r="H412">
        <v>3850000</v>
      </c>
      <c r="I412">
        <v>16500000</v>
      </c>
      <c r="J412" t="s">
        <v>55</v>
      </c>
      <c r="K412">
        <v>35</v>
      </c>
      <c r="L412">
        <v>1775</v>
      </c>
      <c r="M412">
        <v>6</v>
      </c>
      <c r="N412">
        <v>430</v>
      </c>
      <c r="O412">
        <v>2</v>
      </c>
      <c r="P412">
        <v>3</v>
      </c>
      <c r="Q412">
        <v>0</v>
      </c>
      <c r="R412">
        <v>16</v>
      </c>
      <c r="S412">
        <v>6</v>
      </c>
      <c r="T412">
        <v>52</v>
      </c>
      <c r="U412">
        <v>16</v>
      </c>
      <c r="V412">
        <v>1</v>
      </c>
      <c r="W412">
        <v>14</v>
      </c>
      <c r="X412">
        <v>4</v>
      </c>
      <c r="Y412">
        <v>0</v>
      </c>
      <c r="Z412">
        <v>0</v>
      </c>
      <c r="AA412">
        <v>6</v>
      </c>
      <c r="AB412">
        <v>3</v>
      </c>
      <c r="AC412">
        <v>36</v>
      </c>
      <c r="AD412">
        <v>0</v>
      </c>
      <c r="AE412">
        <v>8</v>
      </c>
      <c r="AF412">
        <v>3</v>
      </c>
      <c r="AG412">
        <v>8</v>
      </c>
      <c r="AH412">
        <v>34</v>
      </c>
      <c r="AI412">
        <v>0</v>
      </c>
      <c r="AJ412">
        <v>13</v>
      </c>
      <c r="AK412">
        <v>0</v>
      </c>
      <c r="AL412">
        <v>0</v>
      </c>
      <c r="AM412">
        <v>19</v>
      </c>
      <c r="AN412">
        <v>112</v>
      </c>
      <c r="AO412">
        <v>150</v>
      </c>
      <c r="AQ412" t="str">
        <f t="shared" si="6"/>
        <v>Midfielder</v>
      </c>
    </row>
    <row r="413" spans="1:43" x14ac:dyDescent="0.35">
      <c r="A413" t="s">
        <v>321</v>
      </c>
      <c r="B413" t="s">
        <v>43</v>
      </c>
      <c r="C413" t="s">
        <v>1280</v>
      </c>
      <c r="D413">
        <v>1997</v>
      </c>
      <c r="E413">
        <v>20</v>
      </c>
      <c r="F413" t="s">
        <v>54</v>
      </c>
      <c r="G413" t="s">
        <v>51</v>
      </c>
      <c r="H413">
        <v>2500000</v>
      </c>
      <c r="I413">
        <v>3000000</v>
      </c>
      <c r="J413" t="s">
        <v>55</v>
      </c>
      <c r="K413">
        <v>32</v>
      </c>
      <c r="L413">
        <v>1875</v>
      </c>
      <c r="M413">
        <v>4</v>
      </c>
      <c r="N413">
        <v>493</v>
      </c>
      <c r="O413">
        <v>6</v>
      </c>
      <c r="P413">
        <v>4</v>
      </c>
      <c r="Q413">
        <v>0</v>
      </c>
      <c r="R413">
        <v>14</v>
      </c>
      <c r="S413">
        <v>5</v>
      </c>
      <c r="T413">
        <v>43</v>
      </c>
      <c r="U413">
        <v>17</v>
      </c>
      <c r="V413">
        <v>0</v>
      </c>
      <c r="W413">
        <v>13</v>
      </c>
      <c r="X413">
        <v>2</v>
      </c>
      <c r="Y413">
        <v>0</v>
      </c>
      <c r="Z413">
        <v>0</v>
      </c>
      <c r="AA413">
        <v>15</v>
      </c>
      <c r="AB413">
        <v>1</v>
      </c>
      <c r="AC413">
        <v>26</v>
      </c>
      <c r="AD413">
        <v>0</v>
      </c>
      <c r="AE413">
        <v>19</v>
      </c>
      <c r="AF413">
        <v>1</v>
      </c>
      <c r="AG413">
        <v>10</v>
      </c>
      <c r="AH413">
        <v>43</v>
      </c>
      <c r="AI413">
        <v>0</v>
      </c>
      <c r="AJ413">
        <v>15</v>
      </c>
      <c r="AK413">
        <v>1</v>
      </c>
      <c r="AL413">
        <v>0</v>
      </c>
      <c r="AM413">
        <v>22</v>
      </c>
      <c r="AN413">
        <v>135</v>
      </c>
      <c r="AO413">
        <v>170</v>
      </c>
      <c r="AQ413" t="str">
        <f t="shared" si="6"/>
        <v>Midfielder</v>
      </c>
    </row>
    <row r="414" spans="1:43" x14ac:dyDescent="0.35">
      <c r="A414" t="s">
        <v>322</v>
      </c>
      <c r="B414" t="s">
        <v>43</v>
      </c>
      <c r="C414" t="s">
        <v>1281</v>
      </c>
      <c r="D414">
        <v>1997</v>
      </c>
      <c r="E414">
        <v>20</v>
      </c>
      <c r="F414" t="s">
        <v>80</v>
      </c>
      <c r="G414" t="s">
        <v>51</v>
      </c>
      <c r="H414">
        <v>3300000</v>
      </c>
      <c r="I414">
        <v>7200000</v>
      </c>
      <c r="J414" t="s">
        <v>42</v>
      </c>
      <c r="K414">
        <v>21</v>
      </c>
      <c r="L414">
        <v>583</v>
      </c>
      <c r="M414">
        <v>1</v>
      </c>
      <c r="N414">
        <v>197</v>
      </c>
      <c r="O414">
        <v>1</v>
      </c>
      <c r="P414">
        <v>0</v>
      </c>
      <c r="Q414">
        <v>0</v>
      </c>
      <c r="R414">
        <v>16</v>
      </c>
      <c r="S414">
        <v>2</v>
      </c>
      <c r="T414">
        <v>22</v>
      </c>
      <c r="U414">
        <v>8</v>
      </c>
      <c r="V414">
        <v>1</v>
      </c>
      <c r="W414">
        <v>4</v>
      </c>
      <c r="X414">
        <v>0</v>
      </c>
      <c r="Y414">
        <v>0</v>
      </c>
      <c r="Z414">
        <v>0</v>
      </c>
      <c r="AA414">
        <v>0</v>
      </c>
      <c r="AB414">
        <v>3</v>
      </c>
      <c r="AC414">
        <v>14</v>
      </c>
      <c r="AD414">
        <v>0</v>
      </c>
      <c r="AE414">
        <v>3</v>
      </c>
      <c r="AF414">
        <v>1</v>
      </c>
      <c r="AG414">
        <v>2</v>
      </c>
      <c r="AH414">
        <v>13</v>
      </c>
      <c r="AI414">
        <v>0</v>
      </c>
      <c r="AJ414">
        <v>7</v>
      </c>
      <c r="AK414">
        <v>0</v>
      </c>
      <c r="AL414">
        <v>0</v>
      </c>
      <c r="AM414">
        <v>7</v>
      </c>
      <c r="AN414">
        <v>21</v>
      </c>
      <c r="AO414">
        <v>38</v>
      </c>
      <c r="AQ414" t="str">
        <f t="shared" si="6"/>
        <v>Forward</v>
      </c>
    </row>
    <row r="415" spans="1:43" x14ac:dyDescent="0.35">
      <c r="A415" t="s">
        <v>322</v>
      </c>
      <c r="B415" t="s">
        <v>46</v>
      </c>
      <c r="C415" t="s">
        <v>1282</v>
      </c>
      <c r="D415">
        <v>1997</v>
      </c>
      <c r="E415">
        <v>20</v>
      </c>
      <c r="F415" t="s">
        <v>84</v>
      </c>
      <c r="G415" t="s">
        <v>51</v>
      </c>
      <c r="H415">
        <v>7200000</v>
      </c>
      <c r="I415">
        <v>9000000</v>
      </c>
      <c r="J415" t="s">
        <v>42</v>
      </c>
      <c r="K415">
        <v>10</v>
      </c>
      <c r="L415">
        <v>340</v>
      </c>
      <c r="M415">
        <v>0</v>
      </c>
      <c r="N415">
        <v>99</v>
      </c>
      <c r="O415">
        <v>0</v>
      </c>
      <c r="P415">
        <v>0</v>
      </c>
      <c r="Q415">
        <v>0</v>
      </c>
      <c r="R415">
        <v>8</v>
      </c>
      <c r="S415">
        <v>2</v>
      </c>
      <c r="T415">
        <v>11</v>
      </c>
      <c r="U415">
        <v>3</v>
      </c>
      <c r="V415">
        <v>0</v>
      </c>
      <c r="W415">
        <v>4</v>
      </c>
      <c r="X415">
        <v>0</v>
      </c>
      <c r="Y415">
        <v>0</v>
      </c>
      <c r="Z415">
        <v>0</v>
      </c>
      <c r="AA415">
        <v>1</v>
      </c>
      <c r="AB415">
        <v>1</v>
      </c>
      <c r="AC415">
        <v>8</v>
      </c>
      <c r="AD415">
        <v>0</v>
      </c>
      <c r="AE415">
        <v>0</v>
      </c>
      <c r="AF415">
        <v>1</v>
      </c>
      <c r="AG415">
        <v>2</v>
      </c>
      <c r="AH415">
        <v>2</v>
      </c>
      <c r="AI415">
        <v>0</v>
      </c>
      <c r="AJ415">
        <v>8</v>
      </c>
      <c r="AK415">
        <v>0</v>
      </c>
      <c r="AL415">
        <v>0</v>
      </c>
      <c r="AM415">
        <v>9</v>
      </c>
      <c r="AN415">
        <v>15</v>
      </c>
      <c r="AO415">
        <v>24</v>
      </c>
      <c r="AQ415" t="str">
        <f t="shared" si="6"/>
        <v>Forward</v>
      </c>
    </row>
    <row r="416" spans="1:43" x14ac:dyDescent="0.35">
      <c r="A416" t="s">
        <v>323</v>
      </c>
      <c r="B416" t="s">
        <v>47</v>
      </c>
      <c r="C416" t="s">
        <v>1283</v>
      </c>
      <c r="D416">
        <v>1994</v>
      </c>
      <c r="E416">
        <v>21</v>
      </c>
      <c r="F416" t="s">
        <v>78</v>
      </c>
      <c r="G416" t="s">
        <v>108</v>
      </c>
      <c r="H416">
        <v>1100000</v>
      </c>
      <c r="I416">
        <v>1100000</v>
      </c>
      <c r="J416" t="s">
        <v>52</v>
      </c>
      <c r="K416">
        <v>12</v>
      </c>
      <c r="L416">
        <v>607</v>
      </c>
      <c r="M416">
        <v>0</v>
      </c>
      <c r="N416">
        <v>215</v>
      </c>
      <c r="O416">
        <v>1</v>
      </c>
      <c r="P416">
        <v>1</v>
      </c>
      <c r="Q416">
        <v>0</v>
      </c>
      <c r="R416">
        <v>6</v>
      </c>
      <c r="S416">
        <v>1</v>
      </c>
      <c r="T416">
        <v>2</v>
      </c>
      <c r="U416">
        <v>1</v>
      </c>
      <c r="V416">
        <v>0</v>
      </c>
      <c r="W416">
        <v>9</v>
      </c>
      <c r="X416">
        <v>0</v>
      </c>
      <c r="Y416">
        <v>0</v>
      </c>
      <c r="Z416">
        <v>0</v>
      </c>
      <c r="AA416">
        <v>0</v>
      </c>
      <c r="AB416">
        <v>1</v>
      </c>
      <c r="AC416">
        <v>0</v>
      </c>
      <c r="AD416">
        <v>0</v>
      </c>
      <c r="AE416">
        <v>20</v>
      </c>
      <c r="AF416">
        <v>7</v>
      </c>
      <c r="AG416">
        <v>15</v>
      </c>
      <c r="AH416">
        <v>9</v>
      </c>
      <c r="AI416">
        <v>0</v>
      </c>
      <c r="AJ416">
        <v>20</v>
      </c>
      <c r="AK416">
        <v>0</v>
      </c>
      <c r="AL416">
        <v>0</v>
      </c>
      <c r="AM416">
        <v>24</v>
      </c>
      <c r="AN416">
        <v>9</v>
      </c>
      <c r="AO416">
        <v>17</v>
      </c>
      <c r="AQ416" t="str">
        <f t="shared" si="6"/>
        <v>Defensive Forward</v>
      </c>
    </row>
    <row r="417" spans="1:43" x14ac:dyDescent="0.35">
      <c r="A417" t="s">
        <v>324</v>
      </c>
      <c r="B417" t="s">
        <v>39</v>
      </c>
      <c r="C417" t="s">
        <v>1284</v>
      </c>
      <c r="D417">
        <v>1994</v>
      </c>
      <c r="E417">
        <v>21</v>
      </c>
      <c r="F417" t="s">
        <v>78</v>
      </c>
      <c r="G417" t="s">
        <v>51</v>
      </c>
      <c r="H417">
        <v>1000000</v>
      </c>
      <c r="I417">
        <v>2250000</v>
      </c>
      <c r="J417" t="s">
        <v>42</v>
      </c>
      <c r="K417">
        <v>23</v>
      </c>
      <c r="L417">
        <v>907</v>
      </c>
      <c r="M417">
        <v>3</v>
      </c>
      <c r="N417">
        <v>156</v>
      </c>
      <c r="O417">
        <v>0</v>
      </c>
      <c r="P417">
        <v>0</v>
      </c>
      <c r="Q417">
        <v>0</v>
      </c>
      <c r="R417">
        <v>16</v>
      </c>
      <c r="S417">
        <v>3</v>
      </c>
      <c r="T417">
        <v>14</v>
      </c>
      <c r="U417">
        <v>8</v>
      </c>
      <c r="V417">
        <v>0</v>
      </c>
      <c r="W417">
        <v>3</v>
      </c>
      <c r="X417">
        <v>0</v>
      </c>
      <c r="Y417">
        <v>0</v>
      </c>
      <c r="Z417">
        <v>0</v>
      </c>
      <c r="AA417">
        <v>9</v>
      </c>
      <c r="AB417">
        <v>0</v>
      </c>
      <c r="AC417">
        <v>2</v>
      </c>
      <c r="AD417">
        <v>0</v>
      </c>
      <c r="AE417">
        <v>23</v>
      </c>
      <c r="AF417">
        <v>0</v>
      </c>
      <c r="AG417">
        <v>2</v>
      </c>
      <c r="AH417">
        <v>5</v>
      </c>
      <c r="AI417">
        <v>0</v>
      </c>
      <c r="AJ417">
        <v>7</v>
      </c>
      <c r="AK417">
        <v>0</v>
      </c>
      <c r="AL417">
        <v>0</v>
      </c>
      <c r="AM417">
        <v>4</v>
      </c>
      <c r="AN417">
        <v>5</v>
      </c>
      <c r="AO417">
        <v>17</v>
      </c>
      <c r="AQ417" t="str">
        <f t="shared" si="6"/>
        <v>Forward</v>
      </c>
    </row>
    <row r="418" spans="1:43" x14ac:dyDescent="0.35">
      <c r="A418" t="s">
        <v>324</v>
      </c>
      <c r="B418" t="s">
        <v>47</v>
      </c>
      <c r="C418" t="s">
        <v>1285</v>
      </c>
      <c r="D418">
        <v>1994</v>
      </c>
      <c r="E418">
        <v>22</v>
      </c>
      <c r="F418" t="s">
        <v>78</v>
      </c>
      <c r="G418" t="s">
        <v>51</v>
      </c>
      <c r="H418">
        <v>2200000</v>
      </c>
      <c r="I418">
        <v>15000000</v>
      </c>
      <c r="J418" t="s">
        <v>55</v>
      </c>
      <c r="K418">
        <v>14</v>
      </c>
      <c r="L418">
        <v>1028</v>
      </c>
      <c r="M418">
        <v>0</v>
      </c>
      <c r="N418">
        <v>192</v>
      </c>
      <c r="O418">
        <v>2</v>
      </c>
      <c r="P418">
        <v>1</v>
      </c>
      <c r="Q418">
        <v>0</v>
      </c>
      <c r="R418">
        <v>3</v>
      </c>
      <c r="S418">
        <v>8</v>
      </c>
      <c r="T418">
        <v>16</v>
      </c>
      <c r="U418">
        <v>4</v>
      </c>
      <c r="V418">
        <v>0</v>
      </c>
      <c r="W418">
        <v>2</v>
      </c>
      <c r="X418">
        <v>0</v>
      </c>
      <c r="Y418">
        <v>0</v>
      </c>
      <c r="Z418">
        <v>0</v>
      </c>
      <c r="AA418">
        <v>4</v>
      </c>
      <c r="AB418">
        <v>2</v>
      </c>
      <c r="AC418">
        <v>0</v>
      </c>
      <c r="AD418">
        <v>0</v>
      </c>
      <c r="AE418">
        <v>22</v>
      </c>
      <c r="AF418">
        <v>2</v>
      </c>
      <c r="AG418">
        <v>8</v>
      </c>
      <c r="AH418">
        <v>10</v>
      </c>
      <c r="AI418">
        <v>0</v>
      </c>
      <c r="AJ418">
        <v>13</v>
      </c>
      <c r="AK418">
        <v>0</v>
      </c>
      <c r="AL418">
        <v>0</v>
      </c>
      <c r="AM418">
        <v>6</v>
      </c>
      <c r="AN418">
        <v>8</v>
      </c>
      <c r="AO418">
        <v>24</v>
      </c>
      <c r="AQ418" t="str">
        <f t="shared" si="6"/>
        <v>Midfielder</v>
      </c>
    </row>
    <row r="419" spans="1:43" x14ac:dyDescent="0.35">
      <c r="A419" t="s">
        <v>325</v>
      </c>
      <c r="B419" t="s">
        <v>39</v>
      </c>
      <c r="C419" t="s">
        <v>1286</v>
      </c>
      <c r="D419">
        <v>1988</v>
      </c>
      <c r="E419">
        <v>27</v>
      </c>
      <c r="F419" t="s">
        <v>220</v>
      </c>
      <c r="G419" t="s">
        <v>115</v>
      </c>
      <c r="H419">
        <v>13500000</v>
      </c>
      <c r="I419">
        <v>15300000</v>
      </c>
      <c r="J419" t="s">
        <v>42</v>
      </c>
      <c r="K419">
        <v>34</v>
      </c>
      <c r="L419">
        <v>2290</v>
      </c>
      <c r="M419">
        <v>7</v>
      </c>
      <c r="N419">
        <v>872</v>
      </c>
      <c r="O419">
        <v>12</v>
      </c>
      <c r="P419">
        <v>2</v>
      </c>
      <c r="Q419">
        <v>0</v>
      </c>
      <c r="R419">
        <v>7</v>
      </c>
      <c r="S419">
        <v>19</v>
      </c>
      <c r="T419">
        <v>56</v>
      </c>
      <c r="U419">
        <v>16</v>
      </c>
      <c r="V419">
        <v>0</v>
      </c>
      <c r="W419">
        <v>3</v>
      </c>
      <c r="X419">
        <v>0</v>
      </c>
      <c r="Y419">
        <v>1</v>
      </c>
      <c r="Z419">
        <v>0</v>
      </c>
      <c r="AA419">
        <v>9</v>
      </c>
      <c r="AB419">
        <v>8</v>
      </c>
      <c r="AC419">
        <v>4</v>
      </c>
      <c r="AD419">
        <v>40</v>
      </c>
      <c r="AE419">
        <v>201</v>
      </c>
      <c r="AF419">
        <v>0</v>
      </c>
      <c r="AG419">
        <v>24</v>
      </c>
      <c r="AH419">
        <v>25</v>
      </c>
      <c r="AI419">
        <v>0</v>
      </c>
      <c r="AJ419">
        <v>37</v>
      </c>
      <c r="AK419">
        <v>0</v>
      </c>
      <c r="AL419">
        <v>0</v>
      </c>
      <c r="AM419">
        <v>18</v>
      </c>
      <c r="AN419">
        <v>9</v>
      </c>
      <c r="AO419">
        <v>20</v>
      </c>
      <c r="AQ419" t="str">
        <f t="shared" si="6"/>
        <v>Forward</v>
      </c>
    </row>
    <row r="420" spans="1:43" x14ac:dyDescent="0.35">
      <c r="A420" t="s">
        <v>325</v>
      </c>
      <c r="B420" t="s">
        <v>47</v>
      </c>
      <c r="C420" t="s">
        <v>1287</v>
      </c>
      <c r="D420">
        <v>1988</v>
      </c>
      <c r="E420">
        <v>28</v>
      </c>
      <c r="F420" t="s">
        <v>220</v>
      </c>
      <c r="G420" t="s">
        <v>115</v>
      </c>
      <c r="H420">
        <v>15300000</v>
      </c>
      <c r="I420">
        <v>15300000</v>
      </c>
      <c r="J420" t="s">
        <v>42</v>
      </c>
      <c r="K420">
        <v>33</v>
      </c>
      <c r="L420">
        <v>2426</v>
      </c>
      <c r="M420">
        <v>3</v>
      </c>
      <c r="N420">
        <v>1061</v>
      </c>
      <c r="O420">
        <v>5</v>
      </c>
      <c r="P420">
        <v>4</v>
      </c>
      <c r="Q420">
        <v>0</v>
      </c>
      <c r="R420">
        <v>3</v>
      </c>
      <c r="S420">
        <v>19</v>
      </c>
      <c r="T420">
        <v>63</v>
      </c>
      <c r="U420">
        <v>21</v>
      </c>
      <c r="V420">
        <v>2</v>
      </c>
      <c r="W420">
        <v>2</v>
      </c>
      <c r="X420">
        <v>0</v>
      </c>
      <c r="Y420">
        <v>1</v>
      </c>
      <c r="Z420">
        <v>0</v>
      </c>
      <c r="AA420">
        <v>9</v>
      </c>
      <c r="AB420">
        <v>20</v>
      </c>
      <c r="AC420">
        <v>6</v>
      </c>
      <c r="AD420">
        <v>65</v>
      </c>
      <c r="AE420">
        <v>184</v>
      </c>
      <c r="AF420">
        <v>2</v>
      </c>
      <c r="AG420">
        <v>17</v>
      </c>
      <c r="AH420">
        <v>30</v>
      </c>
      <c r="AI420">
        <v>0</v>
      </c>
      <c r="AJ420">
        <v>19</v>
      </c>
      <c r="AK420">
        <v>0</v>
      </c>
      <c r="AL420">
        <v>0</v>
      </c>
      <c r="AM420">
        <v>10</v>
      </c>
      <c r="AN420">
        <v>4</v>
      </c>
      <c r="AO420">
        <v>14</v>
      </c>
      <c r="AQ420" t="str">
        <f t="shared" si="6"/>
        <v>Forward</v>
      </c>
    </row>
    <row r="421" spans="1:43" x14ac:dyDescent="0.35">
      <c r="A421" t="s">
        <v>325</v>
      </c>
      <c r="B421" t="s">
        <v>43</v>
      </c>
      <c r="C421" t="s">
        <v>1288</v>
      </c>
      <c r="D421">
        <v>1988</v>
      </c>
      <c r="E421">
        <v>29</v>
      </c>
      <c r="F421" t="s">
        <v>220</v>
      </c>
      <c r="G421" t="s">
        <v>115</v>
      </c>
      <c r="H421">
        <v>15300000</v>
      </c>
      <c r="I421">
        <v>13500000</v>
      </c>
      <c r="J421" t="s">
        <v>42</v>
      </c>
      <c r="K421">
        <v>36</v>
      </c>
      <c r="L421">
        <v>2810</v>
      </c>
      <c r="M421">
        <v>6</v>
      </c>
      <c r="N421">
        <v>1111</v>
      </c>
      <c r="O421">
        <v>3</v>
      </c>
      <c r="P421">
        <v>4</v>
      </c>
      <c r="Q421">
        <v>0</v>
      </c>
      <c r="R421">
        <v>2</v>
      </c>
      <c r="S421">
        <v>23</v>
      </c>
      <c r="T421">
        <v>40</v>
      </c>
      <c r="U421">
        <v>16</v>
      </c>
      <c r="V421">
        <v>0</v>
      </c>
      <c r="W421">
        <v>5</v>
      </c>
      <c r="X421">
        <v>0</v>
      </c>
      <c r="Y421">
        <v>1</v>
      </c>
      <c r="Z421">
        <v>0</v>
      </c>
      <c r="AA421">
        <v>10</v>
      </c>
      <c r="AB421">
        <v>14</v>
      </c>
      <c r="AC421">
        <v>24</v>
      </c>
      <c r="AD421">
        <v>31</v>
      </c>
      <c r="AE421">
        <v>121</v>
      </c>
      <c r="AF421">
        <v>2</v>
      </c>
      <c r="AG421">
        <v>19</v>
      </c>
      <c r="AH421">
        <v>46</v>
      </c>
      <c r="AI421">
        <v>0</v>
      </c>
      <c r="AJ421">
        <v>46</v>
      </c>
      <c r="AK421">
        <v>1</v>
      </c>
      <c r="AL421">
        <v>0</v>
      </c>
      <c r="AM421">
        <v>18</v>
      </c>
      <c r="AN421">
        <v>8</v>
      </c>
      <c r="AO421">
        <v>42</v>
      </c>
      <c r="AQ421" t="str">
        <f t="shared" si="6"/>
        <v>Forward</v>
      </c>
    </row>
    <row r="422" spans="1:43" x14ac:dyDescent="0.35">
      <c r="A422" t="s">
        <v>326</v>
      </c>
      <c r="B422" t="s">
        <v>39</v>
      </c>
      <c r="C422" t="s">
        <v>1289</v>
      </c>
      <c r="D422">
        <v>1990</v>
      </c>
      <c r="E422">
        <v>24</v>
      </c>
      <c r="F422" t="s">
        <v>64</v>
      </c>
      <c r="G422" t="s">
        <v>51</v>
      </c>
      <c r="H422">
        <v>4400000</v>
      </c>
      <c r="I422">
        <v>5400000</v>
      </c>
      <c r="J422" t="s">
        <v>42</v>
      </c>
      <c r="K422">
        <v>16</v>
      </c>
      <c r="L422">
        <v>768</v>
      </c>
      <c r="M422">
        <v>3</v>
      </c>
      <c r="N422">
        <v>144</v>
      </c>
      <c r="O422">
        <v>0</v>
      </c>
      <c r="P422">
        <v>1</v>
      </c>
      <c r="Q422">
        <v>1</v>
      </c>
      <c r="R422">
        <v>8</v>
      </c>
      <c r="S422">
        <v>5</v>
      </c>
      <c r="T422">
        <v>22</v>
      </c>
      <c r="U422">
        <v>9</v>
      </c>
      <c r="V422">
        <v>1</v>
      </c>
      <c r="W422">
        <v>1</v>
      </c>
      <c r="X422">
        <v>0</v>
      </c>
      <c r="Y422">
        <v>0</v>
      </c>
      <c r="Z422">
        <v>1</v>
      </c>
      <c r="AA422">
        <v>2</v>
      </c>
      <c r="AB422">
        <v>0</v>
      </c>
      <c r="AC422">
        <v>5</v>
      </c>
      <c r="AD422">
        <v>0</v>
      </c>
      <c r="AE422">
        <v>9</v>
      </c>
      <c r="AF422">
        <v>0</v>
      </c>
      <c r="AG422">
        <v>3</v>
      </c>
      <c r="AH422">
        <v>20</v>
      </c>
      <c r="AI422">
        <v>0</v>
      </c>
      <c r="AJ422">
        <v>11</v>
      </c>
      <c r="AK422">
        <v>0</v>
      </c>
      <c r="AL422">
        <v>0</v>
      </c>
      <c r="AM422">
        <v>3</v>
      </c>
      <c r="AN422">
        <v>22</v>
      </c>
      <c r="AO422">
        <v>35</v>
      </c>
      <c r="AQ422" t="str">
        <f t="shared" si="6"/>
        <v>Forward</v>
      </c>
    </row>
    <row r="423" spans="1:43" x14ac:dyDescent="0.35">
      <c r="A423" t="s">
        <v>326</v>
      </c>
      <c r="B423" t="s">
        <v>43</v>
      </c>
      <c r="C423" t="s">
        <v>1290</v>
      </c>
      <c r="D423">
        <v>1990</v>
      </c>
      <c r="E423">
        <v>27</v>
      </c>
      <c r="F423" t="s">
        <v>117</v>
      </c>
      <c r="G423" t="s">
        <v>51</v>
      </c>
      <c r="H423">
        <v>11000000</v>
      </c>
      <c r="I423">
        <v>11000000</v>
      </c>
      <c r="J423" t="s">
        <v>42</v>
      </c>
      <c r="K423">
        <v>35</v>
      </c>
      <c r="L423">
        <v>1961</v>
      </c>
      <c r="M423">
        <v>6</v>
      </c>
      <c r="N423">
        <v>433</v>
      </c>
      <c r="O423">
        <v>3</v>
      </c>
      <c r="P423">
        <v>3</v>
      </c>
      <c r="Q423">
        <v>0</v>
      </c>
      <c r="R423">
        <v>12</v>
      </c>
      <c r="S423">
        <v>15</v>
      </c>
      <c r="T423">
        <v>57</v>
      </c>
      <c r="U423">
        <v>21</v>
      </c>
      <c r="V423">
        <v>1</v>
      </c>
      <c r="W423">
        <v>10</v>
      </c>
      <c r="X423">
        <v>1</v>
      </c>
      <c r="Y423">
        <v>0</v>
      </c>
      <c r="Z423">
        <v>0</v>
      </c>
      <c r="AA423">
        <v>22</v>
      </c>
      <c r="AB423">
        <v>4</v>
      </c>
      <c r="AC423">
        <v>36</v>
      </c>
      <c r="AD423">
        <v>0</v>
      </c>
      <c r="AE423">
        <v>5</v>
      </c>
      <c r="AF423">
        <v>2</v>
      </c>
      <c r="AG423">
        <v>6</v>
      </c>
      <c r="AH423">
        <v>23</v>
      </c>
      <c r="AI423">
        <v>0</v>
      </c>
      <c r="AJ423">
        <v>12</v>
      </c>
      <c r="AK423">
        <v>0</v>
      </c>
      <c r="AL423">
        <v>0</v>
      </c>
      <c r="AM423">
        <v>17</v>
      </c>
      <c r="AN423">
        <v>67</v>
      </c>
      <c r="AO423">
        <v>92</v>
      </c>
      <c r="AQ423" t="str">
        <f t="shared" si="6"/>
        <v>Forward</v>
      </c>
    </row>
    <row r="424" spans="1:43" x14ac:dyDescent="0.35">
      <c r="A424" t="s">
        <v>327</v>
      </c>
      <c r="B424" t="s">
        <v>46</v>
      </c>
      <c r="C424" t="s">
        <v>1291</v>
      </c>
      <c r="D424">
        <v>1999</v>
      </c>
      <c r="E424">
        <v>18</v>
      </c>
      <c r="F424" t="s">
        <v>56</v>
      </c>
      <c r="G424" t="s">
        <v>51</v>
      </c>
      <c r="H424">
        <v>4950000</v>
      </c>
      <c r="I424">
        <v>5500000</v>
      </c>
      <c r="J424" t="s">
        <v>55</v>
      </c>
      <c r="K424">
        <v>21</v>
      </c>
      <c r="L424">
        <v>1597</v>
      </c>
      <c r="M424">
        <v>3</v>
      </c>
      <c r="N424">
        <v>453</v>
      </c>
      <c r="O424">
        <v>5</v>
      </c>
      <c r="P424">
        <v>2</v>
      </c>
      <c r="Q424">
        <v>0</v>
      </c>
      <c r="R424">
        <v>2</v>
      </c>
      <c r="S424">
        <v>10</v>
      </c>
      <c r="T424">
        <v>27</v>
      </c>
      <c r="U424">
        <v>6</v>
      </c>
      <c r="V424">
        <v>1</v>
      </c>
      <c r="W424">
        <v>14</v>
      </c>
      <c r="X424">
        <v>0</v>
      </c>
      <c r="Y424">
        <v>0</v>
      </c>
      <c r="Z424">
        <v>0</v>
      </c>
      <c r="AA424">
        <v>1</v>
      </c>
      <c r="AB424">
        <v>4</v>
      </c>
      <c r="AC424">
        <v>21</v>
      </c>
      <c r="AD424">
        <v>22</v>
      </c>
      <c r="AE424">
        <v>117</v>
      </c>
      <c r="AF424">
        <v>3</v>
      </c>
      <c r="AG424">
        <v>13</v>
      </c>
      <c r="AH424">
        <v>15</v>
      </c>
      <c r="AI424">
        <v>0</v>
      </c>
      <c r="AJ424">
        <v>36</v>
      </c>
      <c r="AK424">
        <v>0</v>
      </c>
      <c r="AL424">
        <v>0</v>
      </c>
      <c r="AM424">
        <v>32</v>
      </c>
      <c r="AN424">
        <v>21</v>
      </c>
      <c r="AO424">
        <v>23</v>
      </c>
      <c r="AQ424" t="str">
        <f t="shared" si="6"/>
        <v>Midfielder</v>
      </c>
    </row>
    <row r="425" spans="1:43" x14ac:dyDescent="0.35">
      <c r="A425" t="s">
        <v>328</v>
      </c>
      <c r="B425" t="s">
        <v>39</v>
      </c>
      <c r="C425" t="s">
        <v>1292</v>
      </c>
      <c r="D425">
        <v>1991</v>
      </c>
      <c r="E425">
        <v>24</v>
      </c>
      <c r="F425" t="s">
        <v>44</v>
      </c>
      <c r="G425" t="s">
        <v>95</v>
      </c>
      <c r="H425">
        <v>66000000</v>
      </c>
      <c r="I425">
        <v>58500000</v>
      </c>
      <c r="J425" t="s">
        <v>42</v>
      </c>
      <c r="K425">
        <v>24</v>
      </c>
      <c r="L425">
        <v>2190</v>
      </c>
      <c r="M425">
        <v>4</v>
      </c>
      <c r="N425">
        <v>1415</v>
      </c>
      <c r="O425">
        <v>3</v>
      </c>
      <c r="P425">
        <v>2</v>
      </c>
      <c r="Q425">
        <v>0</v>
      </c>
      <c r="R425">
        <v>6</v>
      </c>
      <c r="S425">
        <v>6</v>
      </c>
      <c r="T425">
        <v>36</v>
      </c>
      <c r="U425">
        <v>14</v>
      </c>
      <c r="V425">
        <v>0</v>
      </c>
      <c r="W425">
        <v>4</v>
      </c>
      <c r="X425">
        <v>0</v>
      </c>
      <c r="Y425">
        <v>0</v>
      </c>
      <c r="Z425">
        <v>0</v>
      </c>
      <c r="AA425">
        <v>10</v>
      </c>
      <c r="AB425">
        <v>7</v>
      </c>
      <c r="AC425">
        <v>1</v>
      </c>
      <c r="AD425">
        <v>7</v>
      </c>
      <c r="AE425">
        <v>44</v>
      </c>
      <c r="AF425">
        <v>1</v>
      </c>
      <c r="AG425">
        <v>13</v>
      </c>
      <c r="AH425">
        <v>15</v>
      </c>
      <c r="AI425">
        <v>0</v>
      </c>
      <c r="AJ425">
        <v>21</v>
      </c>
      <c r="AK425">
        <v>0</v>
      </c>
      <c r="AL425">
        <v>0</v>
      </c>
      <c r="AM425">
        <v>4</v>
      </c>
      <c r="AN425">
        <v>11</v>
      </c>
      <c r="AO425">
        <v>23</v>
      </c>
      <c r="AQ425" t="str">
        <f t="shared" si="6"/>
        <v>Forward</v>
      </c>
    </row>
    <row r="426" spans="1:43" x14ac:dyDescent="0.35">
      <c r="A426" t="s">
        <v>328</v>
      </c>
      <c r="B426" t="s">
        <v>47</v>
      </c>
      <c r="C426" t="s">
        <v>1293</v>
      </c>
      <c r="D426">
        <v>1991</v>
      </c>
      <c r="E426">
        <v>25</v>
      </c>
      <c r="F426" t="s">
        <v>44</v>
      </c>
      <c r="G426" t="s">
        <v>95</v>
      </c>
      <c r="H426">
        <v>58500000</v>
      </c>
      <c r="I426">
        <v>67500000</v>
      </c>
      <c r="J426" t="s">
        <v>42</v>
      </c>
      <c r="K426">
        <v>36</v>
      </c>
      <c r="L426">
        <v>3002</v>
      </c>
      <c r="M426">
        <v>16</v>
      </c>
      <c r="N426">
        <v>1750</v>
      </c>
      <c r="O426">
        <v>5</v>
      </c>
      <c r="P426">
        <v>3</v>
      </c>
      <c r="Q426">
        <v>0</v>
      </c>
      <c r="R426">
        <v>0</v>
      </c>
      <c r="S426">
        <v>25</v>
      </c>
      <c r="T426">
        <v>77</v>
      </c>
      <c r="U426">
        <v>33</v>
      </c>
      <c r="V426">
        <v>0</v>
      </c>
      <c r="W426">
        <v>0</v>
      </c>
      <c r="X426">
        <v>0</v>
      </c>
      <c r="Y426">
        <v>2</v>
      </c>
      <c r="Z426">
        <v>0</v>
      </c>
      <c r="AA426">
        <v>8</v>
      </c>
      <c r="AB426">
        <v>6</v>
      </c>
      <c r="AC426">
        <v>9</v>
      </c>
      <c r="AD426">
        <v>46</v>
      </c>
      <c r="AE426">
        <v>84</v>
      </c>
      <c r="AF426">
        <v>0</v>
      </c>
      <c r="AG426">
        <v>28</v>
      </c>
      <c r="AH426">
        <v>19</v>
      </c>
      <c r="AI426">
        <v>0</v>
      </c>
      <c r="AJ426">
        <v>18</v>
      </c>
      <c r="AK426">
        <v>0</v>
      </c>
      <c r="AL426">
        <v>0</v>
      </c>
      <c r="AM426">
        <v>4</v>
      </c>
      <c r="AN426">
        <v>20</v>
      </c>
      <c r="AO426">
        <v>34</v>
      </c>
      <c r="AQ426" t="str">
        <f t="shared" si="6"/>
        <v>Forward</v>
      </c>
    </row>
    <row r="427" spans="1:43" x14ac:dyDescent="0.35">
      <c r="A427" t="s">
        <v>328</v>
      </c>
      <c r="B427" t="s">
        <v>43</v>
      </c>
      <c r="C427" t="s">
        <v>1294</v>
      </c>
      <c r="D427">
        <v>1991</v>
      </c>
      <c r="E427">
        <v>26</v>
      </c>
      <c r="F427" t="s">
        <v>44</v>
      </c>
      <c r="G427" t="s">
        <v>95</v>
      </c>
      <c r="H427">
        <v>67500000</v>
      </c>
      <c r="I427">
        <v>99000000</v>
      </c>
      <c r="J427" t="s">
        <v>42</v>
      </c>
      <c r="K427">
        <v>34</v>
      </c>
      <c r="L427">
        <v>2432</v>
      </c>
      <c r="M427">
        <v>12</v>
      </c>
      <c r="N427">
        <v>1369</v>
      </c>
      <c r="O427">
        <v>4</v>
      </c>
      <c r="P427">
        <v>2</v>
      </c>
      <c r="Q427">
        <v>0</v>
      </c>
      <c r="R427">
        <v>6</v>
      </c>
      <c r="S427">
        <v>17</v>
      </c>
      <c r="T427">
        <v>71</v>
      </c>
      <c r="U427">
        <v>37</v>
      </c>
      <c r="V427">
        <v>0</v>
      </c>
      <c r="W427">
        <v>0</v>
      </c>
      <c r="X427">
        <v>0</v>
      </c>
      <c r="Y427">
        <v>2</v>
      </c>
      <c r="Z427">
        <v>0</v>
      </c>
      <c r="AA427">
        <v>16</v>
      </c>
      <c r="AB427">
        <v>4</v>
      </c>
      <c r="AC427">
        <v>34</v>
      </c>
      <c r="AD427">
        <v>25</v>
      </c>
      <c r="AE427">
        <v>51</v>
      </c>
      <c r="AF427">
        <v>0</v>
      </c>
      <c r="AG427">
        <v>3</v>
      </c>
      <c r="AH427">
        <v>13</v>
      </c>
      <c r="AI427">
        <v>0</v>
      </c>
      <c r="AJ427">
        <v>6</v>
      </c>
      <c r="AK427">
        <v>0</v>
      </c>
      <c r="AL427">
        <v>0</v>
      </c>
      <c r="AM427">
        <v>0</v>
      </c>
      <c r="AN427">
        <v>8</v>
      </c>
      <c r="AO427">
        <v>19</v>
      </c>
      <c r="AQ427" t="str">
        <f t="shared" si="6"/>
        <v>Forward</v>
      </c>
    </row>
    <row r="428" spans="1:43" x14ac:dyDescent="0.35">
      <c r="A428" t="s">
        <v>328</v>
      </c>
      <c r="B428" t="s">
        <v>46</v>
      </c>
      <c r="C428" t="s">
        <v>1295</v>
      </c>
      <c r="D428">
        <v>1991</v>
      </c>
      <c r="E428">
        <v>27</v>
      </c>
      <c r="F428" t="s">
        <v>44</v>
      </c>
      <c r="G428" t="s">
        <v>95</v>
      </c>
      <c r="H428">
        <v>99000000</v>
      </c>
      <c r="I428">
        <v>135000000</v>
      </c>
      <c r="J428" t="s">
        <v>42</v>
      </c>
      <c r="K428">
        <v>37</v>
      </c>
      <c r="L428">
        <v>2925</v>
      </c>
      <c r="M428">
        <v>16</v>
      </c>
      <c r="N428">
        <v>1819</v>
      </c>
      <c r="O428">
        <v>15</v>
      </c>
      <c r="P428">
        <v>2</v>
      </c>
      <c r="Q428">
        <v>0</v>
      </c>
      <c r="R428">
        <v>5</v>
      </c>
      <c r="S428">
        <v>8</v>
      </c>
      <c r="T428">
        <v>93</v>
      </c>
      <c r="U428">
        <v>43</v>
      </c>
      <c r="V428">
        <v>3</v>
      </c>
      <c r="W428">
        <v>3</v>
      </c>
      <c r="X428">
        <v>0</v>
      </c>
      <c r="Y428">
        <v>4</v>
      </c>
      <c r="Z428">
        <v>0</v>
      </c>
      <c r="AA428">
        <v>11</v>
      </c>
      <c r="AB428">
        <v>13</v>
      </c>
      <c r="AC428">
        <v>50</v>
      </c>
      <c r="AD428">
        <v>92</v>
      </c>
      <c r="AE428">
        <v>145</v>
      </c>
      <c r="AF428">
        <v>0</v>
      </c>
      <c r="AG428">
        <v>13</v>
      </c>
      <c r="AH428">
        <v>12</v>
      </c>
      <c r="AI428">
        <v>0</v>
      </c>
      <c r="AJ428">
        <v>14</v>
      </c>
      <c r="AK428">
        <v>0</v>
      </c>
      <c r="AL428">
        <v>0</v>
      </c>
      <c r="AM428">
        <v>4</v>
      </c>
      <c r="AN428">
        <v>20</v>
      </c>
      <c r="AO428">
        <v>33</v>
      </c>
      <c r="AQ428" t="str">
        <f t="shared" si="6"/>
        <v>Forward</v>
      </c>
    </row>
    <row r="429" spans="1:43" x14ac:dyDescent="0.35">
      <c r="A429" t="s">
        <v>329</v>
      </c>
      <c r="B429" t="s">
        <v>47</v>
      </c>
      <c r="C429" t="s">
        <v>1296</v>
      </c>
      <c r="D429">
        <v>1996</v>
      </c>
      <c r="E429">
        <v>20</v>
      </c>
      <c r="F429" t="s">
        <v>50</v>
      </c>
      <c r="G429" t="s">
        <v>138</v>
      </c>
      <c r="H429">
        <v>5500000</v>
      </c>
      <c r="I429">
        <v>5500000</v>
      </c>
      <c r="J429" t="s">
        <v>55</v>
      </c>
      <c r="K429">
        <v>28</v>
      </c>
      <c r="L429">
        <v>986</v>
      </c>
      <c r="M429">
        <v>0</v>
      </c>
      <c r="N429">
        <v>473</v>
      </c>
      <c r="O429">
        <v>0</v>
      </c>
      <c r="P429">
        <v>4</v>
      </c>
      <c r="Q429">
        <v>0</v>
      </c>
      <c r="R429">
        <v>20</v>
      </c>
      <c r="S429">
        <v>3</v>
      </c>
      <c r="T429">
        <v>20</v>
      </c>
      <c r="U429">
        <v>4</v>
      </c>
      <c r="V429">
        <v>1</v>
      </c>
      <c r="W429">
        <v>4</v>
      </c>
      <c r="X429">
        <v>0</v>
      </c>
      <c r="Y429">
        <v>0</v>
      </c>
      <c r="Z429">
        <v>0</v>
      </c>
      <c r="AA429">
        <v>1</v>
      </c>
      <c r="AB429">
        <v>0</v>
      </c>
      <c r="AC429">
        <v>0</v>
      </c>
      <c r="AD429">
        <v>0</v>
      </c>
      <c r="AE429">
        <v>11</v>
      </c>
      <c r="AF429">
        <v>2</v>
      </c>
      <c r="AG429">
        <v>19</v>
      </c>
      <c r="AH429">
        <v>16</v>
      </c>
      <c r="AI429">
        <v>0</v>
      </c>
      <c r="AJ429">
        <v>22</v>
      </c>
      <c r="AK429">
        <v>0</v>
      </c>
      <c r="AL429">
        <v>0</v>
      </c>
      <c r="AM429">
        <v>10</v>
      </c>
      <c r="AN429">
        <v>3</v>
      </c>
      <c r="AO429">
        <v>12</v>
      </c>
      <c r="AQ429" t="str">
        <f t="shared" si="6"/>
        <v>Midfielder</v>
      </c>
    </row>
    <row r="430" spans="1:43" x14ac:dyDescent="0.35">
      <c r="A430" t="s">
        <v>329</v>
      </c>
      <c r="B430" t="s">
        <v>43</v>
      </c>
      <c r="C430" t="s">
        <v>1297</v>
      </c>
      <c r="D430">
        <v>1996</v>
      </c>
      <c r="E430">
        <v>21</v>
      </c>
      <c r="F430" t="s">
        <v>50</v>
      </c>
      <c r="G430" t="s">
        <v>138</v>
      </c>
      <c r="H430">
        <v>16500000</v>
      </c>
      <c r="I430">
        <v>19800000</v>
      </c>
      <c r="J430" t="s">
        <v>55</v>
      </c>
      <c r="K430">
        <v>14</v>
      </c>
      <c r="L430">
        <v>845</v>
      </c>
      <c r="M430">
        <v>0</v>
      </c>
      <c r="N430">
        <v>268</v>
      </c>
      <c r="O430">
        <v>1</v>
      </c>
      <c r="P430">
        <v>1</v>
      </c>
      <c r="Q430">
        <v>0</v>
      </c>
      <c r="R430">
        <v>5</v>
      </c>
      <c r="S430">
        <v>6</v>
      </c>
      <c r="T430">
        <v>1</v>
      </c>
      <c r="U430">
        <v>1</v>
      </c>
      <c r="V430">
        <v>0</v>
      </c>
      <c r="W430">
        <v>1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7</v>
      </c>
      <c r="AF430">
        <v>1</v>
      </c>
      <c r="AG430">
        <v>16</v>
      </c>
      <c r="AH430">
        <v>5</v>
      </c>
      <c r="AI430">
        <v>0</v>
      </c>
      <c r="AJ430">
        <v>17</v>
      </c>
      <c r="AK430">
        <v>0</v>
      </c>
      <c r="AL430">
        <v>0</v>
      </c>
      <c r="AM430">
        <v>4</v>
      </c>
      <c r="AN430">
        <v>10</v>
      </c>
      <c r="AO430">
        <v>16</v>
      </c>
      <c r="AQ430" t="str">
        <f t="shared" si="6"/>
        <v>Midfielder</v>
      </c>
    </row>
    <row r="431" spans="1:43" x14ac:dyDescent="0.35">
      <c r="A431" t="s">
        <v>330</v>
      </c>
      <c r="B431" t="s">
        <v>39</v>
      </c>
      <c r="C431" t="s">
        <v>1298</v>
      </c>
      <c r="D431">
        <v>1991</v>
      </c>
      <c r="E431">
        <v>24</v>
      </c>
      <c r="F431" t="s">
        <v>114</v>
      </c>
      <c r="G431" t="s">
        <v>67</v>
      </c>
      <c r="H431">
        <v>25200000</v>
      </c>
      <c r="I431">
        <v>20600000</v>
      </c>
      <c r="J431" t="s">
        <v>52</v>
      </c>
      <c r="K431">
        <v>22</v>
      </c>
      <c r="L431">
        <v>2010</v>
      </c>
      <c r="M431">
        <v>0</v>
      </c>
      <c r="N431">
        <v>1003</v>
      </c>
      <c r="O431">
        <v>0</v>
      </c>
      <c r="P431">
        <v>8</v>
      </c>
      <c r="Q431">
        <v>0</v>
      </c>
      <c r="R431">
        <v>0</v>
      </c>
      <c r="S431">
        <v>2</v>
      </c>
      <c r="T431">
        <v>7</v>
      </c>
      <c r="U431">
        <v>1</v>
      </c>
      <c r="V431">
        <v>0</v>
      </c>
      <c r="W431">
        <v>55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2</v>
      </c>
      <c r="AF431">
        <v>7</v>
      </c>
      <c r="AG431">
        <v>66</v>
      </c>
      <c r="AH431">
        <v>36</v>
      </c>
      <c r="AI431">
        <v>2</v>
      </c>
      <c r="AJ431">
        <v>32</v>
      </c>
      <c r="AK431">
        <v>1</v>
      </c>
      <c r="AL431">
        <v>0</v>
      </c>
      <c r="AM431">
        <v>120</v>
      </c>
      <c r="AN431">
        <v>41</v>
      </c>
      <c r="AO431">
        <v>21</v>
      </c>
      <c r="AQ431" t="str">
        <f t="shared" si="6"/>
        <v>Defensive Forward</v>
      </c>
    </row>
    <row r="432" spans="1:43" x14ac:dyDescent="0.35">
      <c r="A432" t="s">
        <v>330</v>
      </c>
      <c r="B432" t="s">
        <v>43</v>
      </c>
      <c r="C432" t="s">
        <v>1299</v>
      </c>
      <c r="D432">
        <v>1991</v>
      </c>
      <c r="E432">
        <v>26</v>
      </c>
      <c r="F432" t="s">
        <v>114</v>
      </c>
      <c r="G432" t="s">
        <v>67</v>
      </c>
      <c r="H432">
        <v>13500000</v>
      </c>
      <c r="I432">
        <v>13500000</v>
      </c>
      <c r="J432" t="s">
        <v>52</v>
      </c>
      <c r="K432">
        <v>11</v>
      </c>
      <c r="L432">
        <v>618</v>
      </c>
      <c r="M432">
        <v>0</v>
      </c>
      <c r="N432">
        <v>413</v>
      </c>
      <c r="O432">
        <v>0</v>
      </c>
      <c r="P432">
        <v>0</v>
      </c>
      <c r="Q432">
        <v>0</v>
      </c>
      <c r="R432">
        <v>5</v>
      </c>
      <c r="S432">
        <v>1</v>
      </c>
      <c r="T432">
        <v>0</v>
      </c>
      <c r="U432">
        <v>0</v>
      </c>
      <c r="V432">
        <v>0</v>
      </c>
      <c r="W432">
        <v>12</v>
      </c>
      <c r="X432">
        <v>0</v>
      </c>
      <c r="Y432">
        <v>0</v>
      </c>
      <c r="Z432">
        <v>0</v>
      </c>
      <c r="AA432">
        <v>0</v>
      </c>
      <c r="AB432">
        <v>1</v>
      </c>
      <c r="AC432">
        <v>0</v>
      </c>
      <c r="AD432">
        <v>0</v>
      </c>
      <c r="AE432">
        <v>0</v>
      </c>
      <c r="AF432">
        <v>3</v>
      </c>
      <c r="AG432">
        <v>3</v>
      </c>
      <c r="AH432">
        <v>3</v>
      </c>
      <c r="AI432">
        <v>0</v>
      </c>
      <c r="AJ432">
        <v>7</v>
      </c>
      <c r="AK432">
        <v>1</v>
      </c>
      <c r="AL432">
        <v>0</v>
      </c>
      <c r="AM432">
        <v>28</v>
      </c>
      <c r="AN432">
        <v>14</v>
      </c>
      <c r="AO432">
        <v>14</v>
      </c>
      <c r="AQ432" t="str">
        <f t="shared" si="6"/>
        <v>Defensive Forward</v>
      </c>
    </row>
    <row r="433" spans="1:43" x14ac:dyDescent="0.35">
      <c r="A433" t="s">
        <v>331</v>
      </c>
      <c r="B433" t="s">
        <v>43</v>
      </c>
      <c r="C433" t="s">
        <v>1300</v>
      </c>
      <c r="D433">
        <v>1992</v>
      </c>
      <c r="E433">
        <v>25</v>
      </c>
      <c r="F433" t="s">
        <v>58</v>
      </c>
      <c r="G433" t="s">
        <v>174</v>
      </c>
      <c r="H433">
        <v>3150000</v>
      </c>
      <c r="I433">
        <v>3150000</v>
      </c>
      <c r="J433" t="s">
        <v>42</v>
      </c>
      <c r="K433">
        <v>19</v>
      </c>
      <c r="L433">
        <v>1338</v>
      </c>
      <c r="M433">
        <v>1</v>
      </c>
      <c r="N433">
        <v>339</v>
      </c>
      <c r="O433">
        <v>1</v>
      </c>
      <c r="P433">
        <v>1</v>
      </c>
      <c r="Q433">
        <v>0</v>
      </c>
      <c r="R433">
        <v>2</v>
      </c>
      <c r="S433">
        <v>11</v>
      </c>
      <c r="T433">
        <v>12</v>
      </c>
      <c r="U433">
        <v>5</v>
      </c>
      <c r="V433">
        <v>0</v>
      </c>
      <c r="W433">
        <v>3</v>
      </c>
      <c r="X433">
        <v>0</v>
      </c>
      <c r="Y433">
        <v>0</v>
      </c>
      <c r="Z433">
        <v>0</v>
      </c>
      <c r="AA433">
        <v>5</v>
      </c>
      <c r="AB433">
        <v>1</v>
      </c>
      <c r="AC433">
        <v>7</v>
      </c>
      <c r="AD433">
        <v>0</v>
      </c>
      <c r="AE433">
        <v>24</v>
      </c>
      <c r="AF433">
        <v>1</v>
      </c>
      <c r="AG433">
        <v>2</v>
      </c>
      <c r="AH433">
        <v>20</v>
      </c>
      <c r="AI433">
        <v>0</v>
      </c>
      <c r="AJ433">
        <v>30</v>
      </c>
      <c r="AK433">
        <v>0</v>
      </c>
      <c r="AL433">
        <v>0</v>
      </c>
      <c r="AM433">
        <v>7</v>
      </c>
      <c r="AN433">
        <v>17</v>
      </c>
      <c r="AO433">
        <v>35</v>
      </c>
      <c r="AQ433" t="str">
        <f t="shared" si="6"/>
        <v>Forward</v>
      </c>
    </row>
    <row r="434" spans="1:43" x14ac:dyDescent="0.35">
      <c r="A434" t="s">
        <v>331</v>
      </c>
      <c r="B434" t="s">
        <v>46</v>
      </c>
      <c r="C434" t="s">
        <v>1301</v>
      </c>
      <c r="D434">
        <v>1992</v>
      </c>
      <c r="E434">
        <v>26</v>
      </c>
      <c r="F434" t="s">
        <v>58</v>
      </c>
      <c r="G434" t="s">
        <v>174</v>
      </c>
      <c r="H434">
        <v>3150000</v>
      </c>
      <c r="I434">
        <v>2700000</v>
      </c>
      <c r="J434" t="s">
        <v>42</v>
      </c>
      <c r="K434">
        <v>20</v>
      </c>
      <c r="L434">
        <v>1181</v>
      </c>
      <c r="M434">
        <v>0</v>
      </c>
      <c r="N434">
        <v>296</v>
      </c>
      <c r="O434">
        <v>0</v>
      </c>
      <c r="P434">
        <v>2</v>
      </c>
      <c r="Q434">
        <v>0</v>
      </c>
      <c r="R434">
        <v>7</v>
      </c>
      <c r="S434">
        <v>6</v>
      </c>
      <c r="T434">
        <v>14</v>
      </c>
      <c r="U434">
        <v>3</v>
      </c>
      <c r="V434">
        <v>0</v>
      </c>
      <c r="W434">
        <v>5</v>
      </c>
      <c r="X434">
        <v>0</v>
      </c>
      <c r="Y434">
        <v>0</v>
      </c>
      <c r="Z434">
        <v>0</v>
      </c>
      <c r="AA434">
        <v>9</v>
      </c>
      <c r="AB434">
        <v>0</v>
      </c>
      <c r="AC434">
        <v>11</v>
      </c>
      <c r="AD434">
        <v>0</v>
      </c>
      <c r="AE434">
        <v>15</v>
      </c>
      <c r="AF434">
        <v>1</v>
      </c>
      <c r="AG434">
        <v>4</v>
      </c>
      <c r="AH434">
        <v>24</v>
      </c>
      <c r="AI434">
        <v>0</v>
      </c>
      <c r="AJ434">
        <v>22</v>
      </c>
      <c r="AK434">
        <v>0</v>
      </c>
      <c r="AL434">
        <v>0</v>
      </c>
      <c r="AM434">
        <v>9</v>
      </c>
      <c r="AN434">
        <v>23</v>
      </c>
      <c r="AO434">
        <v>30</v>
      </c>
      <c r="AQ434" t="str">
        <f t="shared" si="6"/>
        <v>Forward</v>
      </c>
    </row>
    <row r="435" spans="1:43" x14ac:dyDescent="0.35">
      <c r="A435" t="s">
        <v>332</v>
      </c>
      <c r="B435" t="s">
        <v>46</v>
      </c>
      <c r="C435" t="s">
        <v>1302</v>
      </c>
      <c r="D435">
        <v>1994</v>
      </c>
      <c r="E435">
        <v>24</v>
      </c>
      <c r="F435" t="s">
        <v>44</v>
      </c>
      <c r="G435" t="s">
        <v>82</v>
      </c>
      <c r="H435">
        <v>18000000</v>
      </c>
      <c r="I435">
        <v>13500000</v>
      </c>
      <c r="J435" t="s">
        <v>52</v>
      </c>
      <c r="K435">
        <v>10</v>
      </c>
      <c r="L435">
        <v>660</v>
      </c>
      <c r="M435">
        <v>0</v>
      </c>
      <c r="N435">
        <v>436</v>
      </c>
      <c r="O435">
        <v>0</v>
      </c>
      <c r="P435">
        <v>0</v>
      </c>
      <c r="Q435">
        <v>0</v>
      </c>
      <c r="R435">
        <v>3</v>
      </c>
      <c r="S435">
        <v>0</v>
      </c>
      <c r="T435">
        <v>5</v>
      </c>
      <c r="U435">
        <v>1</v>
      </c>
      <c r="V435">
        <v>0</v>
      </c>
      <c r="W435">
        <v>3</v>
      </c>
      <c r="X435">
        <v>0</v>
      </c>
      <c r="Y435">
        <v>0</v>
      </c>
      <c r="Z435">
        <v>0</v>
      </c>
      <c r="AA435">
        <v>0</v>
      </c>
      <c r="AB435">
        <v>2</v>
      </c>
      <c r="AC435">
        <v>4</v>
      </c>
      <c r="AD435">
        <v>0</v>
      </c>
      <c r="AE435">
        <v>28</v>
      </c>
      <c r="AF435">
        <v>1</v>
      </c>
      <c r="AG435">
        <v>8</v>
      </c>
      <c r="AH435">
        <v>8</v>
      </c>
      <c r="AI435">
        <v>0</v>
      </c>
      <c r="AJ435">
        <v>14</v>
      </c>
      <c r="AK435">
        <v>0</v>
      </c>
      <c r="AL435">
        <v>0</v>
      </c>
      <c r="AM435">
        <v>8</v>
      </c>
      <c r="AN435">
        <v>5</v>
      </c>
      <c r="AO435">
        <v>9</v>
      </c>
      <c r="AQ435" t="str">
        <f t="shared" si="6"/>
        <v>Defensive Forward</v>
      </c>
    </row>
    <row r="436" spans="1:43" x14ac:dyDescent="0.35">
      <c r="A436" t="s">
        <v>333</v>
      </c>
      <c r="B436" t="s">
        <v>39</v>
      </c>
      <c r="C436" t="s">
        <v>1303</v>
      </c>
      <c r="D436">
        <v>1984</v>
      </c>
      <c r="E436">
        <v>31</v>
      </c>
      <c r="F436" t="s">
        <v>64</v>
      </c>
      <c r="G436" t="s">
        <v>334</v>
      </c>
      <c r="H436">
        <v>5500000</v>
      </c>
      <c r="I436">
        <v>2250000</v>
      </c>
      <c r="J436" t="s">
        <v>42</v>
      </c>
      <c r="K436">
        <v>12</v>
      </c>
      <c r="L436">
        <v>616</v>
      </c>
      <c r="M436">
        <v>1</v>
      </c>
      <c r="N436">
        <v>230</v>
      </c>
      <c r="O436">
        <v>1</v>
      </c>
      <c r="P436">
        <v>1</v>
      </c>
      <c r="Q436">
        <v>0</v>
      </c>
      <c r="R436">
        <v>5</v>
      </c>
      <c r="S436">
        <v>5</v>
      </c>
      <c r="T436">
        <v>12</v>
      </c>
      <c r="U436">
        <v>4</v>
      </c>
      <c r="V436">
        <v>1</v>
      </c>
      <c r="W436">
        <v>4</v>
      </c>
      <c r="X436">
        <v>1</v>
      </c>
      <c r="Y436">
        <v>0</v>
      </c>
      <c r="Z436">
        <v>0</v>
      </c>
      <c r="AA436">
        <v>11</v>
      </c>
      <c r="AB436">
        <v>0</v>
      </c>
      <c r="AC436">
        <v>2</v>
      </c>
      <c r="AD436">
        <v>0</v>
      </c>
      <c r="AE436">
        <v>6</v>
      </c>
      <c r="AF436">
        <v>0</v>
      </c>
      <c r="AG436">
        <v>1</v>
      </c>
      <c r="AH436">
        <v>10</v>
      </c>
      <c r="AI436">
        <v>0</v>
      </c>
      <c r="AJ436">
        <v>2</v>
      </c>
      <c r="AK436">
        <v>0</v>
      </c>
      <c r="AL436">
        <v>0</v>
      </c>
      <c r="AM436">
        <v>7</v>
      </c>
      <c r="AN436">
        <v>20</v>
      </c>
      <c r="AO436">
        <v>43</v>
      </c>
      <c r="AQ436" t="str">
        <f t="shared" si="6"/>
        <v>Forward</v>
      </c>
    </row>
    <row r="437" spans="1:43" x14ac:dyDescent="0.35">
      <c r="A437" t="s">
        <v>335</v>
      </c>
      <c r="B437" t="s">
        <v>39</v>
      </c>
      <c r="C437" t="s">
        <v>1304</v>
      </c>
      <c r="D437">
        <v>1987</v>
      </c>
      <c r="E437">
        <v>28</v>
      </c>
      <c r="F437" t="s">
        <v>50</v>
      </c>
      <c r="G437" t="s">
        <v>105</v>
      </c>
      <c r="H437">
        <v>11000000</v>
      </c>
      <c r="I437">
        <v>9000000</v>
      </c>
      <c r="J437" t="s">
        <v>42</v>
      </c>
      <c r="K437">
        <v>13</v>
      </c>
      <c r="L437">
        <v>509</v>
      </c>
      <c r="M437">
        <v>0</v>
      </c>
      <c r="N437">
        <v>142</v>
      </c>
      <c r="O437">
        <v>0</v>
      </c>
      <c r="P437">
        <v>0</v>
      </c>
      <c r="Q437">
        <v>0</v>
      </c>
      <c r="R437">
        <v>8</v>
      </c>
      <c r="S437">
        <v>4</v>
      </c>
      <c r="T437">
        <v>10</v>
      </c>
      <c r="U437">
        <v>0</v>
      </c>
      <c r="V437">
        <v>0</v>
      </c>
      <c r="W437">
        <v>3</v>
      </c>
      <c r="X437">
        <v>0</v>
      </c>
      <c r="Y437">
        <v>0</v>
      </c>
      <c r="Z437">
        <v>0</v>
      </c>
      <c r="AA437">
        <v>7</v>
      </c>
      <c r="AB437">
        <v>0</v>
      </c>
      <c r="AC437">
        <v>2</v>
      </c>
      <c r="AD437">
        <v>0</v>
      </c>
      <c r="AE437">
        <v>6</v>
      </c>
      <c r="AF437">
        <v>1</v>
      </c>
      <c r="AG437">
        <v>1</v>
      </c>
      <c r="AH437">
        <v>5</v>
      </c>
      <c r="AI437">
        <v>0</v>
      </c>
      <c r="AJ437">
        <v>5</v>
      </c>
      <c r="AK437">
        <v>0</v>
      </c>
      <c r="AL437">
        <v>0</v>
      </c>
      <c r="AM437">
        <v>4</v>
      </c>
      <c r="AN437">
        <v>10</v>
      </c>
      <c r="AO437">
        <v>29</v>
      </c>
      <c r="AQ437" t="str">
        <f t="shared" si="6"/>
        <v>Forward</v>
      </c>
    </row>
    <row r="438" spans="1:43" x14ac:dyDescent="0.35">
      <c r="A438" t="s">
        <v>336</v>
      </c>
      <c r="B438" t="s">
        <v>39</v>
      </c>
      <c r="C438" t="s">
        <v>1305</v>
      </c>
      <c r="D438">
        <v>1994</v>
      </c>
      <c r="E438">
        <v>21</v>
      </c>
      <c r="F438" t="s">
        <v>80</v>
      </c>
      <c r="G438" t="s">
        <v>146</v>
      </c>
      <c r="H438">
        <v>19800000</v>
      </c>
      <c r="I438">
        <v>16500000</v>
      </c>
      <c r="J438" t="s">
        <v>55</v>
      </c>
      <c r="K438">
        <v>30</v>
      </c>
      <c r="L438">
        <v>2492</v>
      </c>
      <c r="M438">
        <v>1</v>
      </c>
      <c r="N438">
        <v>1793</v>
      </c>
      <c r="O438">
        <v>0</v>
      </c>
      <c r="P438">
        <v>9</v>
      </c>
      <c r="Q438">
        <v>0</v>
      </c>
      <c r="R438">
        <v>2</v>
      </c>
      <c r="S438">
        <v>4</v>
      </c>
      <c r="T438">
        <v>30</v>
      </c>
      <c r="U438">
        <v>13</v>
      </c>
      <c r="V438">
        <v>1</v>
      </c>
      <c r="W438">
        <v>18</v>
      </c>
      <c r="X438">
        <v>0</v>
      </c>
      <c r="Y438">
        <v>0</v>
      </c>
      <c r="Z438">
        <v>0</v>
      </c>
      <c r="AA438">
        <v>5</v>
      </c>
      <c r="AB438">
        <v>6</v>
      </c>
      <c r="AC438">
        <v>0</v>
      </c>
      <c r="AD438">
        <v>0</v>
      </c>
      <c r="AE438">
        <v>9</v>
      </c>
      <c r="AF438">
        <v>9</v>
      </c>
      <c r="AG438">
        <v>62</v>
      </c>
      <c r="AH438">
        <v>36</v>
      </c>
      <c r="AI438">
        <v>0</v>
      </c>
      <c r="AJ438">
        <v>79</v>
      </c>
      <c r="AK438">
        <v>2</v>
      </c>
      <c r="AL438">
        <v>0</v>
      </c>
      <c r="AM438">
        <v>43</v>
      </c>
      <c r="AN438">
        <v>45</v>
      </c>
      <c r="AO438">
        <v>40</v>
      </c>
      <c r="AQ438" t="str">
        <f t="shared" si="6"/>
        <v>Midfielder</v>
      </c>
    </row>
    <row r="439" spans="1:43" x14ac:dyDescent="0.35">
      <c r="A439" t="s">
        <v>336</v>
      </c>
      <c r="B439" t="s">
        <v>47</v>
      </c>
      <c r="C439" t="s">
        <v>1306</v>
      </c>
      <c r="D439">
        <v>1994</v>
      </c>
      <c r="E439">
        <v>22</v>
      </c>
      <c r="F439" t="s">
        <v>80</v>
      </c>
      <c r="G439" t="s">
        <v>146</v>
      </c>
      <c r="H439">
        <v>16500000</v>
      </c>
      <c r="I439">
        <v>33000000</v>
      </c>
      <c r="J439" t="s">
        <v>55</v>
      </c>
      <c r="K439">
        <v>32</v>
      </c>
      <c r="L439">
        <v>2368</v>
      </c>
      <c r="M439">
        <v>5</v>
      </c>
      <c r="N439">
        <v>1659</v>
      </c>
      <c r="O439">
        <v>2</v>
      </c>
      <c r="P439">
        <v>6</v>
      </c>
      <c r="Q439">
        <v>0</v>
      </c>
      <c r="R439">
        <v>6</v>
      </c>
      <c r="S439">
        <v>3</v>
      </c>
      <c r="T439">
        <v>45</v>
      </c>
      <c r="U439">
        <v>11</v>
      </c>
      <c r="V439">
        <v>0</v>
      </c>
      <c r="W439">
        <v>29</v>
      </c>
      <c r="X439">
        <v>1</v>
      </c>
      <c r="Y439">
        <v>0</v>
      </c>
      <c r="Z439">
        <v>0</v>
      </c>
      <c r="AA439">
        <v>2</v>
      </c>
      <c r="AB439">
        <v>6</v>
      </c>
      <c r="AC439">
        <v>0</v>
      </c>
      <c r="AD439">
        <v>0</v>
      </c>
      <c r="AE439">
        <v>23</v>
      </c>
      <c r="AF439">
        <v>3</v>
      </c>
      <c r="AG439">
        <v>32</v>
      </c>
      <c r="AH439">
        <v>70</v>
      </c>
      <c r="AI439">
        <v>0</v>
      </c>
      <c r="AJ439">
        <v>66</v>
      </c>
      <c r="AK439">
        <v>0</v>
      </c>
      <c r="AL439">
        <v>0</v>
      </c>
      <c r="AM439">
        <v>52</v>
      </c>
      <c r="AN439">
        <v>68</v>
      </c>
      <c r="AO439">
        <v>57</v>
      </c>
      <c r="AQ439" t="str">
        <f t="shared" si="6"/>
        <v>Midfielder</v>
      </c>
    </row>
    <row r="440" spans="1:43" x14ac:dyDescent="0.35">
      <c r="A440" t="s">
        <v>336</v>
      </c>
      <c r="B440" t="s">
        <v>43</v>
      </c>
      <c r="C440" t="s">
        <v>1307</v>
      </c>
      <c r="D440">
        <v>1994</v>
      </c>
      <c r="E440">
        <v>23</v>
      </c>
      <c r="F440" t="s">
        <v>80</v>
      </c>
      <c r="G440" t="s">
        <v>146</v>
      </c>
      <c r="H440">
        <v>11000000</v>
      </c>
      <c r="I440">
        <v>19800000</v>
      </c>
      <c r="J440" t="s">
        <v>55</v>
      </c>
      <c r="K440">
        <v>26</v>
      </c>
      <c r="L440">
        <v>2094</v>
      </c>
      <c r="M440">
        <v>3</v>
      </c>
      <c r="N440">
        <v>1543</v>
      </c>
      <c r="O440">
        <v>4</v>
      </c>
      <c r="P440">
        <v>8</v>
      </c>
      <c r="Q440">
        <v>0</v>
      </c>
      <c r="R440">
        <v>2</v>
      </c>
      <c r="S440">
        <v>5</v>
      </c>
      <c r="T440">
        <v>27</v>
      </c>
      <c r="U440">
        <v>8</v>
      </c>
      <c r="V440">
        <v>1</v>
      </c>
      <c r="W440">
        <v>20</v>
      </c>
      <c r="X440">
        <v>2</v>
      </c>
      <c r="Y440">
        <v>0</v>
      </c>
      <c r="Z440">
        <v>0</v>
      </c>
      <c r="AA440">
        <v>0</v>
      </c>
      <c r="AB440">
        <v>11</v>
      </c>
      <c r="AC440">
        <v>19</v>
      </c>
      <c r="AD440">
        <v>0</v>
      </c>
      <c r="AE440">
        <v>11</v>
      </c>
      <c r="AF440">
        <v>4</v>
      </c>
      <c r="AG440">
        <v>28</v>
      </c>
      <c r="AH440">
        <v>27</v>
      </c>
      <c r="AI440">
        <v>0</v>
      </c>
      <c r="AJ440">
        <v>67</v>
      </c>
      <c r="AK440">
        <v>0</v>
      </c>
      <c r="AL440">
        <v>0</v>
      </c>
      <c r="AM440">
        <v>32</v>
      </c>
      <c r="AN440">
        <v>46</v>
      </c>
      <c r="AO440">
        <v>49</v>
      </c>
      <c r="AQ440" t="str">
        <f t="shared" si="6"/>
        <v>Midfielder</v>
      </c>
    </row>
    <row r="441" spans="1:43" x14ac:dyDescent="0.35">
      <c r="A441" t="s">
        <v>337</v>
      </c>
      <c r="B441" t="s">
        <v>39</v>
      </c>
      <c r="C441" t="s">
        <v>1308</v>
      </c>
      <c r="D441">
        <v>1989</v>
      </c>
      <c r="E441">
        <v>25</v>
      </c>
      <c r="F441" t="s">
        <v>50</v>
      </c>
      <c r="G441" t="s">
        <v>167</v>
      </c>
      <c r="H441">
        <v>12000000</v>
      </c>
      <c r="I441">
        <v>9000000</v>
      </c>
      <c r="J441" t="s">
        <v>42</v>
      </c>
      <c r="K441">
        <v>19</v>
      </c>
      <c r="L441">
        <v>1009</v>
      </c>
      <c r="M441">
        <v>4</v>
      </c>
      <c r="N441">
        <v>248</v>
      </c>
      <c r="O441">
        <v>2</v>
      </c>
      <c r="P441">
        <v>1</v>
      </c>
      <c r="Q441">
        <v>0</v>
      </c>
      <c r="R441">
        <v>9</v>
      </c>
      <c r="S441">
        <v>7</v>
      </c>
      <c r="T441">
        <v>34</v>
      </c>
      <c r="U441">
        <v>12</v>
      </c>
      <c r="V441">
        <v>0</v>
      </c>
      <c r="W441">
        <v>15</v>
      </c>
      <c r="X441">
        <v>0</v>
      </c>
      <c r="Y441">
        <v>0</v>
      </c>
      <c r="Z441">
        <v>1</v>
      </c>
      <c r="AA441">
        <v>9</v>
      </c>
      <c r="AB441">
        <v>0</v>
      </c>
      <c r="AC441">
        <v>4</v>
      </c>
      <c r="AD441">
        <v>7</v>
      </c>
      <c r="AE441">
        <v>24</v>
      </c>
      <c r="AF441">
        <v>0</v>
      </c>
      <c r="AG441">
        <v>10</v>
      </c>
      <c r="AH441">
        <v>11</v>
      </c>
      <c r="AI441">
        <v>0</v>
      </c>
      <c r="AJ441">
        <v>19</v>
      </c>
      <c r="AK441">
        <v>0</v>
      </c>
      <c r="AL441">
        <v>0</v>
      </c>
      <c r="AM441">
        <v>16</v>
      </c>
      <c r="AN441">
        <v>23</v>
      </c>
      <c r="AO441">
        <v>42</v>
      </c>
      <c r="AQ441" t="str">
        <f t="shared" si="6"/>
        <v>Forward</v>
      </c>
    </row>
    <row r="442" spans="1:43" x14ac:dyDescent="0.35">
      <c r="A442" t="s">
        <v>337</v>
      </c>
      <c r="B442" t="s">
        <v>47</v>
      </c>
      <c r="C442" t="s">
        <v>1309</v>
      </c>
      <c r="D442">
        <v>1989</v>
      </c>
      <c r="E442">
        <v>26</v>
      </c>
      <c r="F442" t="s">
        <v>54</v>
      </c>
      <c r="G442" t="s">
        <v>167</v>
      </c>
      <c r="H442">
        <v>9000000</v>
      </c>
      <c r="I442">
        <v>9000000</v>
      </c>
      <c r="J442" t="s">
        <v>42</v>
      </c>
      <c r="K442">
        <v>24</v>
      </c>
      <c r="L442">
        <v>921</v>
      </c>
      <c r="M442">
        <v>3</v>
      </c>
      <c r="N442">
        <v>228</v>
      </c>
      <c r="O442">
        <v>1</v>
      </c>
      <c r="P442">
        <v>1</v>
      </c>
      <c r="Q442">
        <v>0</v>
      </c>
      <c r="R442">
        <v>16</v>
      </c>
      <c r="S442">
        <v>7</v>
      </c>
      <c r="T442">
        <v>31</v>
      </c>
      <c r="U442">
        <v>12</v>
      </c>
      <c r="V442">
        <v>0</v>
      </c>
      <c r="W442">
        <v>6</v>
      </c>
      <c r="X442">
        <v>0</v>
      </c>
      <c r="Y442">
        <v>0</v>
      </c>
      <c r="Z442">
        <v>0</v>
      </c>
      <c r="AA442">
        <v>6</v>
      </c>
      <c r="AB442">
        <v>2</v>
      </c>
      <c r="AC442">
        <v>3</v>
      </c>
      <c r="AD442">
        <v>0</v>
      </c>
      <c r="AE442">
        <v>23</v>
      </c>
      <c r="AF442">
        <v>1</v>
      </c>
      <c r="AG442">
        <v>11</v>
      </c>
      <c r="AH442">
        <v>26</v>
      </c>
      <c r="AI442">
        <v>0</v>
      </c>
      <c r="AJ442">
        <v>16</v>
      </c>
      <c r="AK442">
        <v>0</v>
      </c>
      <c r="AL442">
        <v>0</v>
      </c>
      <c r="AM442">
        <v>12</v>
      </c>
      <c r="AN442">
        <v>18</v>
      </c>
      <c r="AO442">
        <v>52</v>
      </c>
      <c r="AQ442" t="str">
        <f t="shared" si="6"/>
        <v>Forward</v>
      </c>
    </row>
    <row r="443" spans="1:43" x14ac:dyDescent="0.35">
      <c r="A443" t="s">
        <v>338</v>
      </c>
      <c r="B443" t="s">
        <v>46</v>
      </c>
      <c r="C443" t="s">
        <v>1310</v>
      </c>
      <c r="D443">
        <v>1994</v>
      </c>
      <c r="E443">
        <v>24</v>
      </c>
      <c r="F443" t="s">
        <v>129</v>
      </c>
      <c r="G443" t="s">
        <v>172</v>
      </c>
      <c r="H443">
        <v>31500000</v>
      </c>
      <c r="I443">
        <v>22500000</v>
      </c>
      <c r="J443" t="s">
        <v>52</v>
      </c>
      <c r="K443">
        <v>12</v>
      </c>
      <c r="L443">
        <v>639</v>
      </c>
      <c r="M443">
        <v>0</v>
      </c>
      <c r="N443">
        <v>302</v>
      </c>
      <c r="O443">
        <v>0</v>
      </c>
      <c r="P443">
        <v>0</v>
      </c>
      <c r="Q443">
        <v>1</v>
      </c>
      <c r="R443">
        <v>4</v>
      </c>
      <c r="S443">
        <v>2</v>
      </c>
      <c r="T443">
        <v>3</v>
      </c>
      <c r="U443">
        <v>1</v>
      </c>
      <c r="V443">
        <v>0</v>
      </c>
      <c r="W443">
        <v>11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0</v>
      </c>
      <c r="AE443">
        <v>0</v>
      </c>
      <c r="AF443">
        <v>4</v>
      </c>
      <c r="AG443">
        <v>13</v>
      </c>
      <c r="AH443">
        <v>5</v>
      </c>
      <c r="AI443">
        <v>0</v>
      </c>
      <c r="AJ443">
        <v>15</v>
      </c>
      <c r="AK443">
        <v>0</v>
      </c>
      <c r="AL443">
        <v>0</v>
      </c>
      <c r="AM443">
        <v>37</v>
      </c>
      <c r="AN443">
        <v>13</v>
      </c>
      <c r="AO443">
        <v>4</v>
      </c>
      <c r="AQ443" t="str">
        <f t="shared" si="6"/>
        <v>Defensive Forward</v>
      </c>
    </row>
    <row r="444" spans="1:43" x14ac:dyDescent="0.35">
      <c r="A444" t="s">
        <v>338</v>
      </c>
      <c r="B444" t="s">
        <v>43</v>
      </c>
      <c r="C444" t="s">
        <v>1311</v>
      </c>
      <c r="D444">
        <v>1994</v>
      </c>
      <c r="E444">
        <v>23</v>
      </c>
      <c r="F444" t="s">
        <v>129</v>
      </c>
      <c r="G444" t="s">
        <v>172</v>
      </c>
      <c r="H444">
        <v>27000000</v>
      </c>
      <c r="I444">
        <v>31500000</v>
      </c>
      <c r="J444" t="s">
        <v>52</v>
      </c>
      <c r="K444">
        <v>13</v>
      </c>
      <c r="L444">
        <v>1000</v>
      </c>
      <c r="M444">
        <v>1</v>
      </c>
      <c r="N444">
        <v>426</v>
      </c>
      <c r="O444">
        <v>0</v>
      </c>
      <c r="P444">
        <v>2</v>
      </c>
      <c r="Q444">
        <v>0</v>
      </c>
      <c r="R444">
        <v>2</v>
      </c>
      <c r="S444">
        <v>0</v>
      </c>
      <c r="T444">
        <v>1</v>
      </c>
      <c r="U444">
        <v>1</v>
      </c>
      <c r="V444">
        <v>0</v>
      </c>
      <c r="W444">
        <v>14</v>
      </c>
      <c r="X444">
        <v>0</v>
      </c>
      <c r="Y444">
        <v>0</v>
      </c>
      <c r="Z444">
        <v>0</v>
      </c>
      <c r="AA444">
        <v>0</v>
      </c>
      <c r="AB444">
        <v>1</v>
      </c>
      <c r="AC444">
        <v>0</v>
      </c>
      <c r="AD444">
        <v>0</v>
      </c>
      <c r="AE444">
        <v>0</v>
      </c>
      <c r="AF444">
        <v>6</v>
      </c>
      <c r="AG444">
        <v>25</v>
      </c>
      <c r="AH444">
        <v>10</v>
      </c>
      <c r="AI444">
        <v>0</v>
      </c>
      <c r="AJ444">
        <v>17</v>
      </c>
      <c r="AK444">
        <v>0</v>
      </c>
      <c r="AL444">
        <v>1</v>
      </c>
      <c r="AM444">
        <v>56</v>
      </c>
      <c r="AN444">
        <v>17</v>
      </c>
      <c r="AO444">
        <v>8</v>
      </c>
      <c r="AQ444" t="str">
        <f t="shared" si="6"/>
        <v>Defensive Forward</v>
      </c>
    </row>
    <row r="445" spans="1:43" x14ac:dyDescent="0.35">
      <c r="A445" t="s">
        <v>338</v>
      </c>
      <c r="B445" t="s">
        <v>47</v>
      </c>
      <c r="C445" t="s">
        <v>1312</v>
      </c>
      <c r="D445">
        <v>1994</v>
      </c>
      <c r="E445">
        <v>22</v>
      </c>
      <c r="F445" t="s">
        <v>129</v>
      </c>
      <c r="G445" t="s">
        <v>172</v>
      </c>
      <c r="H445">
        <v>18000000</v>
      </c>
      <c r="I445">
        <v>27000000</v>
      </c>
      <c r="J445" t="s">
        <v>52</v>
      </c>
      <c r="K445">
        <v>25</v>
      </c>
      <c r="L445">
        <v>2060</v>
      </c>
      <c r="M445">
        <v>0</v>
      </c>
      <c r="N445">
        <v>876</v>
      </c>
      <c r="O445">
        <v>0</v>
      </c>
      <c r="P445">
        <v>4</v>
      </c>
      <c r="Q445">
        <v>0</v>
      </c>
      <c r="R445">
        <v>1</v>
      </c>
      <c r="S445">
        <v>3</v>
      </c>
      <c r="T445">
        <v>6</v>
      </c>
      <c r="U445">
        <v>1</v>
      </c>
      <c r="V445">
        <v>1</v>
      </c>
      <c r="W445">
        <v>60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0</v>
      </c>
      <c r="AE445">
        <v>2</v>
      </c>
      <c r="AF445">
        <v>16</v>
      </c>
      <c r="AG445">
        <v>60</v>
      </c>
      <c r="AH445">
        <v>28</v>
      </c>
      <c r="AI445">
        <v>1</v>
      </c>
      <c r="AJ445">
        <v>60</v>
      </c>
      <c r="AK445">
        <v>0</v>
      </c>
      <c r="AL445">
        <v>0</v>
      </c>
      <c r="AM445">
        <v>126</v>
      </c>
      <c r="AN445">
        <v>37</v>
      </c>
      <c r="AO445">
        <v>30</v>
      </c>
      <c r="AQ445" t="str">
        <f t="shared" si="6"/>
        <v>Defensive Forward</v>
      </c>
    </row>
    <row r="446" spans="1:43" x14ac:dyDescent="0.35">
      <c r="A446" t="s">
        <v>339</v>
      </c>
      <c r="B446" t="s">
        <v>39</v>
      </c>
      <c r="C446" t="s">
        <v>1313</v>
      </c>
      <c r="D446">
        <v>1994</v>
      </c>
      <c r="E446">
        <v>21</v>
      </c>
      <c r="F446" t="s">
        <v>191</v>
      </c>
      <c r="G446" t="s">
        <v>51</v>
      </c>
      <c r="H446">
        <v>19800000</v>
      </c>
      <c r="I446">
        <v>27500000</v>
      </c>
      <c r="J446" t="s">
        <v>55</v>
      </c>
      <c r="K446">
        <v>37</v>
      </c>
      <c r="L446">
        <v>3266</v>
      </c>
      <c r="M446">
        <v>3</v>
      </c>
      <c r="N446">
        <v>2084</v>
      </c>
      <c r="O446">
        <v>0</v>
      </c>
      <c r="P446">
        <v>10</v>
      </c>
      <c r="Q446">
        <v>0</v>
      </c>
      <c r="R446">
        <v>0</v>
      </c>
      <c r="S446">
        <v>5</v>
      </c>
      <c r="T446">
        <v>30</v>
      </c>
      <c r="U446">
        <v>7</v>
      </c>
      <c r="V446">
        <v>0</v>
      </c>
      <c r="W446">
        <v>48</v>
      </c>
      <c r="X446">
        <v>2</v>
      </c>
      <c r="Y446">
        <v>0</v>
      </c>
      <c r="Z446">
        <v>0</v>
      </c>
      <c r="AA446">
        <v>0</v>
      </c>
      <c r="AB446">
        <v>5</v>
      </c>
      <c r="AC446">
        <v>1</v>
      </c>
      <c r="AD446">
        <v>0</v>
      </c>
      <c r="AE446">
        <v>19</v>
      </c>
      <c r="AF446">
        <v>21</v>
      </c>
      <c r="AG446">
        <v>80</v>
      </c>
      <c r="AH446">
        <v>52</v>
      </c>
      <c r="AI446">
        <v>0</v>
      </c>
      <c r="AJ446">
        <v>80</v>
      </c>
      <c r="AK446">
        <v>0</v>
      </c>
      <c r="AL446">
        <v>0</v>
      </c>
      <c r="AM446">
        <v>70</v>
      </c>
      <c r="AN446">
        <v>88</v>
      </c>
      <c r="AO446">
        <v>68</v>
      </c>
      <c r="AQ446" t="str">
        <f t="shared" si="6"/>
        <v>Midfielder</v>
      </c>
    </row>
    <row r="447" spans="1:43" x14ac:dyDescent="0.35">
      <c r="A447" t="s">
        <v>339</v>
      </c>
      <c r="B447" t="s">
        <v>47</v>
      </c>
      <c r="C447" t="s">
        <v>1314</v>
      </c>
      <c r="D447">
        <v>1994</v>
      </c>
      <c r="E447">
        <v>22</v>
      </c>
      <c r="F447" t="s">
        <v>191</v>
      </c>
      <c r="G447" t="s">
        <v>51</v>
      </c>
      <c r="H447">
        <v>44000000</v>
      </c>
      <c r="I447">
        <v>44000000</v>
      </c>
      <c r="J447" t="s">
        <v>55</v>
      </c>
      <c r="K447">
        <v>36</v>
      </c>
      <c r="L447">
        <v>3044</v>
      </c>
      <c r="M447">
        <v>2</v>
      </c>
      <c r="N447">
        <v>1981</v>
      </c>
      <c r="O447">
        <v>0</v>
      </c>
      <c r="P447">
        <v>6</v>
      </c>
      <c r="Q447">
        <v>0</v>
      </c>
      <c r="R447">
        <v>2</v>
      </c>
      <c r="S447">
        <v>3</v>
      </c>
      <c r="T447">
        <v>23</v>
      </c>
      <c r="U447">
        <v>7</v>
      </c>
      <c r="V447">
        <v>0</v>
      </c>
      <c r="W447">
        <v>87</v>
      </c>
      <c r="X447">
        <v>0</v>
      </c>
      <c r="Y447">
        <v>0</v>
      </c>
      <c r="Z447">
        <v>0</v>
      </c>
      <c r="AA447">
        <v>3</v>
      </c>
      <c r="AB447">
        <v>0</v>
      </c>
      <c r="AC447">
        <v>1</v>
      </c>
      <c r="AD447">
        <v>0</v>
      </c>
      <c r="AE447">
        <v>20</v>
      </c>
      <c r="AF447">
        <v>17</v>
      </c>
      <c r="AG447">
        <v>35</v>
      </c>
      <c r="AH447">
        <v>24</v>
      </c>
      <c r="AI447">
        <v>0</v>
      </c>
      <c r="AJ447">
        <v>48</v>
      </c>
      <c r="AK447">
        <v>1</v>
      </c>
      <c r="AL447">
        <v>0</v>
      </c>
      <c r="AM447">
        <v>149</v>
      </c>
      <c r="AN447">
        <v>73</v>
      </c>
      <c r="AO447">
        <v>55</v>
      </c>
      <c r="AQ447" t="str">
        <f t="shared" si="6"/>
        <v>Midfielder</v>
      </c>
    </row>
    <row r="448" spans="1:43" x14ac:dyDescent="0.35">
      <c r="A448" t="s">
        <v>339</v>
      </c>
      <c r="B448" t="s">
        <v>46</v>
      </c>
      <c r="C448" t="s">
        <v>1315</v>
      </c>
      <c r="D448">
        <v>1994</v>
      </c>
      <c r="E448">
        <v>24</v>
      </c>
      <c r="F448" t="s">
        <v>191</v>
      </c>
      <c r="G448" t="s">
        <v>51</v>
      </c>
      <c r="H448">
        <v>27500000</v>
      </c>
      <c r="I448">
        <v>44000000</v>
      </c>
      <c r="J448" t="s">
        <v>55</v>
      </c>
      <c r="K448">
        <v>20</v>
      </c>
      <c r="L448">
        <v>1509</v>
      </c>
      <c r="M448">
        <v>3</v>
      </c>
      <c r="N448">
        <v>1082</v>
      </c>
      <c r="O448">
        <v>0</v>
      </c>
      <c r="P448">
        <v>4</v>
      </c>
      <c r="Q448">
        <v>0</v>
      </c>
      <c r="R448">
        <v>2</v>
      </c>
      <c r="S448">
        <v>6</v>
      </c>
      <c r="T448">
        <v>9</v>
      </c>
      <c r="U448">
        <v>3</v>
      </c>
      <c r="V448">
        <v>0</v>
      </c>
      <c r="W448">
        <v>23</v>
      </c>
      <c r="X448">
        <v>1</v>
      </c>
      <c r="Y448">
        <v>0</v>
      </c>
      <c r="Z448">
        <v>0</v>
      </c>
      <c r="AA448">
        <v>0</v>
      </c>
      <c r="AB448">
        <v>5</v>
      </c>
      <c r="AC448">
        <v>6</v>
      </c>
      <c r="AD448">
        <v>0</v>
      </c>
      <c r="AE448">
        <v>6</v>
      </c>
      <c r="AF448">
        <v>12</v>
      </c>
      <c r="AG448">
        <v>22</v>
      </c>
      <c r="AH448">
        <v>24</v>
      </c>
      <c r="AI448">
        <v>0</v>
      </c>
      <c r="AJ448">
        <v>27</v>
      </c>
      <c r="AK448">
        <v>0</v>
      </c>
      <c r="AL448">
        <v>0</v>
      </c>
      <c r="AM448">
        <v>43</v>
      </c>
      <c r="AN448">
        <v>36</v>
      </c>
      <c r="AO448">
        <v>31</v>
      </c>
      <c r="AQ448" t="str">
        <f t="shared" si="6"/>
        <v>Midfielder</v>
      </c>
    </row>
    <row r="449" spans="1:43" x14ac:dyDescent="0.35">
      <c r="A449" t="s">
        <v>339</v>
      </c>
      <c r="B449" t="s">
        <v>43</v>
      </c>
      <c r="C449" t="s">
        <v>1316</v>
      </c>
      <c r="D449">
        <v>1994</v>
      </c>
      <c r="E449">
        <v>23</v>
      </c>
      <c r="F449" t="s">
        <v>191</v>
      </c>
      <c r="G449" t="s">
        <v>51</v>
      </c>
      <c r="H449">
        <v>24200000</v>
      </c>
      <c r="I449">
        <v>28600000</v>
      </c>
      <c r="J449" t="s">
        <v>55</v>
      </c>
      <c r="K449">
        <v>34</v>
      </c>
      <c r="L449">
        <v>2827</v>
      </c>
      <c r="M449">
        <v>0</v>
      </c>
      <c r="N449">
        <v>2248</v>
      </c>
      <c r="O449">
        <v>2</v>
      </c>
      <c r="P449">
        <v>4</v>
      </c>
      <c r="Q449">
        <v>0</v>
      </c>
      <c r="R449">
        <v>2</v>
      </c>
      <c r="S449">
        <v>5</v>
      </c>
      <c r="T449">
        <v>32</v>
      </c>
      <c r="U449">
        <v>7</v>
      </c>
      <c r="V449">
        <v>1</v>
      </c>
      <c r="W449">
        <v>46</v>
      </c>
      <c r="X449">
        <v>0</v>
      </c>
      <c r="Y449">
        <v>0</v>
      </c>
      <c r="Z449">
        <v>0</v>
      </c>
      <c r="AA449">
        <v>1</v>
      </c>
      <c r="AB449">
        <v>2</v>
      </c>
      <c r="AC449">
        <v>25</v>
      </c>
      <c r="AD449">
        <v>0</v>
      </c>
      <c r="AE449">
        <v>26</v>
      </c>
      <c r="AF449">
        <v>11</v>
      </c>
      <c r="AG449">
        <v>48</v>
      </c>
      <c r="AH449">
        <v>23</v>
      </c>
      <c r="AI449">
        <v>1</v>
      </c>
      <c r="AJ449">
        <v>61</v>
      </c>
      <c r="AK449">
        <v>2</v>
      </c>
      <c r="AL449">
        <v>0</v>
      </c>
      <c r="AM449">
        <v>82</v>
      </c>
      <c r="AN449">
        <v>83</v>
      </c>
      <c r="AO449">
        <v>62</v>
      </c>
      <c r="AQ449" t="str">
        <f t="shared" si="6"/>
        <v>Midfielder</v>
      </c>
    </row>
    <row r="450" spans="1:43" x14ac:dyDescent="0.35">
      <c r="A450" t="s">
        <v>340</v>
      </c>
      <c r="B450" t="s">
        <v>43</v>
      </c>
      <c r="C450" t="s">
        <v>1317</v>
      </c>
      <c r="D450">
        <v>1989</v>
      </c>
      <c r="E450">
        <v>28</v>
      </c>
      <c r="F450" t="s">
        <v>184</v>
      </c>
      <c r="G450" t="s">
        <v>126</v>
      </c>
      <c r="H450">
        <v>5400000</v>
      </c>
      <c r="I450">
        <v>7200000</v>
      </c>
      <c r="J450" t="s">
        <v>42</v>
      </c>
      <c r="K450">
        <v>30</v>
      </c>
      <c r="L450">
        <v>2247</v>
      </c>
      <c r="M450">
        <v>5</v>
      </c>
      <c r="N450">
        <v>641</v>
      </c>
      <c r="O450">
        <v>5</v>
      </c>
      <c r="P450">
        <v>3</v>
      </c>
      <c r="Q450">
        <v>0</v>
      </c>
      <c r="R450">
        <v>4</v>
      </c>
      <c r="S450">
        <v>9</v>
      </c>
      <c r="T450">
        <v>60</v>
      </c>
      <c r="U450">
        <v>20</v>
      </c>
      <c r="V450">
        <v>1</v>
      </c>
      <c r="W450">
        <v>11</v>
      </c>
      <c r="X450">
        <v>1</v>
      </c>
      <c r="Y450">
        <v>0</v>
      </c>
      <c r="Z450">
        <v>0</v>
      </c>
      <c r="AA450">
        <v>14</v>
      </c>
      <c r="AB450">
        <v>1</v>
      </c>
      <c r="AC450">
        <v>40</v>
      </c>
      <c r="AD450">
        <v>0</v>
      </c>
      <c r="AE450">
        <v>35</v>
      </c>
      <c r="AF450">
        <v>3</v>
      </c>
      <c r="AG450">
        <v>23</v>
      </c>
      <c r="AH450">
        <v>21</v>
      </c>
      <c r="AI450">
        <v>0</v>
      </c>
      <c r="AJ450">
        <v>42</v>
      </c>
      <c r="AK450">
        <v>0</v>
      </c>
      <c r="AL450">
        <v>0</v>
      </c>
      <c r="AM450">
        <v>25</v>
      </c>
      <c r="AN450">
        <v>60</v>
      </c>
      <c r="AO450">
        <v>74</v>
      </c>
      <c r="AQ450" t="str">
        <f t="shared" ref="AQ450:AQ513" si="7">IF(J450 = "FW", REPLACE(J450,1,2,"Forward"),IF(J450 = "DF", "Defensive Forward", "Midfielder"))</f>
        <v>Forward</v>
      </c>
    </row>
    <row r="451" spans="1:43" x14ac:dyDescent="0.35">
      <c r="A451" t="s">
        <v>341</v>
      </c>
      <c r="B451" t="s">
        <v>46</v>
      </c>
      <c r="C451" t="s">
        <v>1318</v>
      </c>
      <c r="D451">
        <v>1992</v>
      </c>
      <c r="E451">
        <v>26</v>
      </c>
      <c r="F451" t="s">
        <v>58</v>
      </c>
      <c r="G451" t="s">
        <v>146</v>
      </c>
      <c r="H451">
        <v>900000</v>
      </c>
      <c r="I451">
        <v>1800000</v>
      </c>
      <c r="J451" t="s">
        <v>52</v>
      </c>
      <c r="K451">
        <v>28</v>
      </c>
      <c r="L451">
        <v>2052</v>
      </c>
      <c r="M451">
        <v>0</v>
      </c>
      <c r="N451">
        <v>774</v>
      </c>
      <c r="O451">
        <v>1</v>
      </c>
      <c r="P451">
        <v>0</v>
      </c>
      <c r="Q451">
        <v>0</v>
      </c>
      <c r="R451">
        <v>7</v>
      </c>
      <c r="S451">
        <v>3</v>
      </c>
      <c r="T451">
        <v>9</v>
      </c>
      <c r="U451">
        <v>0</v>
      </c>
      <c r="V451">
        <v>1</v>
      </c>
      <c r="W451">
        <v>12</v>
      </c>
      <c r="X451">
        <v>0</v>
      </c>
      <c r="Y451">
        <v>0</v>
      </c>
      <c r="Z451">
        <v>0</v>
      </c>
      <c r="AA451">
        <v>1</v>
      </c>
      <c r="AB451">
        <v>0</v>
      </c>
      <c r="AC451">
        <v>9</v>
      </c>
      <c r="AD451">
        <v>1</v>
      </c>
      <c r="AE451">
        <v>66</v>
      </c>
      <c r="AF451">
        <v>6</v>
      </c>
      <c r="AG451">
        <v>41</v>
      </c>
      <c r="AH451">
        <v>13</v>
      </c>
      <c r="AI451">
        <v>0</v>
      </c>
      <c r="AJ451">
        <v>35</v>
      </c>
      <c r="AK451">
        <v>0</v>
      </c>
      <c r="AL451">
        <v>0</v>
      </c>
      <c r="AM451">
        <v>37</v>
      </c>
      <c r="AN451">
        <v>22</v>
      </c>
      <c r="AO451">
        <v>36</v>
      </c>
      <c r="AQ451" t="str">
        <f t="shared" si="7"/>
        <v>Defensive Forward</v>
      </c>
    </row>
    <row r="452" spans="1:43" x14ac:dyDescent="0.35">
      <c r="A452" t="s">
        <v>342</v>
      </c>
      <c r="B452" t="s">
        <v>39</v>
      </c>
      <c r="C452" t="s">
        <v>1319</v>
      </c>
      <c r="D452">
        <v>1992</v>
      </c>
      <c r="E452">
        <v>23</v>
      </c>
      <c r="F452" t="s">
        <v>191</v>
      </c>
      <c r="G452" t="s">
        <v>262</v>
      </c>
      <c r="H452">
        <v>27500000</v>
      </c>
      <c r="I452">
        <v>22000000</v>
      </c>
      <c r="J452" t="s">
        <v>55</v>
      </c>
      <c r="K452">
        <v>34</v>
      </c>
      <c r="L452">
        <v>2383</v>
      </c>
      <c r="M452">
        <v>5</v>
      </c>
      <c r="N452">
        <v>985</v>
      </c>
      <c r="O452">
        <v>9</v>
      </c>
      <c r="P452">
        <v>9</v>
      </c>
      <c r="Q452">
        <v>0</v>
      </c>
      <c r="R452">
        <v>6</v>
      </c>
      <c r="S452">
        <v>19</v>
      </c>
      <c r="T452">
        <v>59</v>
      </c>
      <c r="U452">
        <v>21</v>
      </c>
      <c r="V452">
        <v>2</v>
      </c>
      <c r="W452">
        <v>2</v>
      </c>
      <c r="X452">
        <v>0</v>
      </c>
      <c r="Y452">
        <v>0</v>
      </c>
      <c r="Z452">
        <v>0</v>
      </c>
      <c r="AA452">
        <v>14</v>
      </c>
      <c r="AB452">
        <v>12</v>
      </c>
      <c r="AC452">
        <v>5</v>
      </c>
      <c r="AD452">
        <v>99</v>
      </c>
      <c r="AE452">
        <v>139</v>
      </c>
      <c r="AF452">
        <v>2</v>
      </c>
      <c r="AG452">
        <v>27</v>
      </c>
      <c r="AH452">
        <v>66</v>
      </c>
      <c r="AI452">
        <v>0</v>
      </c>
      <c r="AJ452">
        <v>81</v>
      </c>
      <c r="AK452">
        <v>0</v>
      </c>
      <c r="AL452">
        <v>0</v>
      </c>
      <c r="AM452">
        <v>5</v>
      </c>
      <c r="AN452">
        <v>12</v>
      </c>
      <c r="AO452">
        <v>27</v>
      </c>
      <c r="AQ452" t="str">
        <f t="shared" si="7"/>
        <v>Midfielder</v>
      </c>
    </row>
    <row r="453" spans="1:43" x14ac:dyDescent="0.35">
      <c r="A453" t="s">
        <v>342</v>
      </c>
      <c r="B453" t="s">
        <v>43</v>
      </c>
      <c r="C453" t="s">
        <v>1320</v>
      </c>
      <c r="D453">
        <v>1992</v>
      </c>
      <c r="E453">
        <v>25</v>
      </c>
      <c r="F453" t="s">
        <v>191</v>
      </c>
      <c r="G453" t="s">
        <v>262</v>
      </c>
      <c r="H453">
        <v>22000000</v>
      </c>
      <c r="I453">
        <v>19800000</v>
      </c>
      <c r="J453" t="s">
        <v>55</v>
      </c>
      <c r="K453">
        <v>25</v>
      </c>
      <c r="L453">
        <v>832</v>
      </c>
      <c r="M453">
        <v>2</v>
      </c>
      <c r="N453">
        <v>446</v>
      </c>
      <c r="O453">
        <v>2</v>
      </c>
      <c r="P453">
        <v>4</v>
      </c>
      <c r="Q453">
        <v>0</v>
      </c>
      <c r="R453">
        <v>18</v>
      </c>
      <c r="S453">
        <v>7</v>
      </c>
      <c r="T453">
        <v>20</v>
      </c>
      <c r="U453">
        <v>6</v>
      </c>
      <c r="V453">
        <v>1</v>
      </c>
      <c r="W453">
        <v>4</v>
      </c>
      <c r="X453">
        <v>0</v>
      </c>
      <c r="Y453">
        <v>0</v>
      </c>
      <c r="Z453">
        <v>0</v>
      </c>
      <c r="AA453">
        <v>3</v>
      </c>
      <c r="AB453">
        <v>5</v>
      </c>
      <c r="AC453">
        <v>14</v>
      </c>
      <c r="AD453">
        <v>18</v>
      </c>
      <c r="AE453">
        <v>25</v>
      </c>
      <c r="AF453">
        <v>1</v>
      </c>
      <c r="AG453">
        <v>7</v>
      </c>
      <c r="AH453">
        <v>24</v>
      </c>
      <c r="AI453">
        <v>0</v>
      </c>
      <c r="AJ453">
        <v>23</v>
      </c>
      <c r="AK453">
        <v>0</v>
      </c>
      <c r="AL453">
        <v>0</v>
      </c>
      <c r="AM453">
        <v>4</v>
      </c>
      <c r="AN453">
        <v>6</v>
      </c>
      <c r="AO453">
        <v>14</v>
      </c>
      <c r="AQ453" t="str">
        <f t="shared" si="7"/>
        <v>Midfielder</v>
      </c>
    </row>
    <row r="454" spans="1:43" x14ac:dyDescent="0.35">
      <c r="A454" t="s">
        <v>342</v>
      </c>
      <c r="B454" t="s">
        <v>46</v>
      </c>
      <c r="C454" t="s">
        <v>1321</v>
      </c>
      <c r="D454">
        <v>1992</v>
      </c>
      <c r="E454">
        <v>26</v>
      </c>
      <c r="F454" t="s">
        <v>191</v>
      </c>
      <c r="G454" t="s">
        <v>262</v>
      </c>
      <c r="H454">
        <v>8250000</v>
      </c>
      <c r="I454">
        <v>9900000</v>
      </c>
      <c r="J454" t="s">
        <v>55</v>
      </c>
      <c r="K454">
        <v>19</v>
      </c>
      <c r="L454">
        <v>972</v>
      </c>
      <c r="M454">
        <v>4</v>
      </c>
      <c r="N454">
        <v>422</v>
      </c>
      <c r="O454">
        <v>2</v>
      </c>
      <c r="P454">
        <v>2</v>
      </c>
      <c r="Q454">
        <v>0</v>
      </c>
      <c r="R454">
        <v>10</v>
      </c>
      <c r="S454">
        <v>7</v>
      </c>
      <c r="T454">
        <v>29</v>
      </c>
      <c r="U454">
        <v>11</v>
      </c>
      <c r="V454">
        <v>1</v>
      </c>
      <c r="W454">
        <v>0</v>
      </c>
      <c r="X454">
        <v>1</v>
      </c>
      <c r="Y454">
        <v>0</v>
      </c>
      <c r="Z454">
        <v>0</v>
      </c>
      <c r="AA454">
        <v>1</v>
      </c>
      <c r="AB454">
        <v>6</v>
      </c>
      <c r="AC454">
        <v>18</v>
      </c>
      <c r="AD454">
        <v>20</v>
      </c>
      <c r="AE454">
        <v>28</v>
      </c>
      <c r="AF454">
        <v>0</v>
      </c>
      <c r="AG454">
        <v>7</v>
      </c>
      <c r="AH454">
        <v>23</v>
      </c>
      <c r="AI454">
        <v>0</v>
      </c>
      <c r="AJ454">
        <v>17</v>
      </c>
      <c r="AK454">
        <v>0</v>
      </c>
      <c r="AL454">
        <v>0</v>
      </c>
      <c r="AM454">
        <v>0</v>
      </c>
      <c r="AN454">
        <v>4</v>
      </c>
      <c r="AO454">
        <v>15</v>
      </c>
      <c r="AQ454" t="str">
        <f t="shared" si="7"/>
        <v>Midfielder</v>
      </c>
    </row>
    <row r="455" spans="1:43" x14ac:dyDescent="0.35">
      <c r="A455" t="s">
        <v>343</v>
      </c>
      <c r="B455" t="s">
        <v>47</v>
      </c>
      <c r="C455" t="s">
        <v>1322</v>
      </c>
      <c r="D455">
        <v>1988</v>
      </c>
      <c r="E455">
        <v>27</v>
      </c>
      <c r="F455" t="s">
        <v>184</v>
      </c>
      <c r="G455" t="s">
        <v>216</v>
      </c>
      <c r="H455">
        <v>6300000</v>
      </c>
      <c r="I455">
        <v>6300000</v>
      </c>
      <c r="J455" t="s">
        <v>52</v>
      </c>
      <c r="K455">
        <v>36</v>
      </c>
      <c r="L455">
        <v>3151</v>
      </c>
      <c r="M455">
        <v>0</v>
      </c>
      <c r="N455">
        <v>1331</v>
      </c>
      <c r="O455">
        <v>1</v>
      </c>
      <c r="P455">
        <v>4</v>
      </c>
      <c r="Q455">
        <v>0</v>
      </c>
      <c r="R455">
        <v>1</v>
      </c>
      <c r="S455">
        <v>0</v>
      </c>
      <c r="T455">
        <v>9</v>
      </c>
      <c r="U455">
        <v>0</v>
      </c>
      <c r="V455">
        <v>0</v>
      </c>
      <c r="W455">
        <v>60</v>
      </c>
      <c r="X455">
        <v>0</v>
      </c>
      <c r="Y455">
        <v>0</v>
      </c>
      <c r="Z455">
        <v>0</v>
      </c>
      <c r="AA455">
        <v>1</v>
      </c>
      <c r="AB455">
        <v>0</v>
      </c>
      <c r="AC455">
        <v>1</v>
      </c>
      <c r="AD455">
        <v>0</v>
      </c>
      <c r="AE455">
        <v>109</v>
      </c>
      <c r="AF455">
        <v>20</v>
      </c>
      <c r="AG455">
        <v>54</v>
      </c>
      <c r="AH455">
        <v>60</v>
      </c>
      <c r="AI455">
        <v>0</v>
      </c>
      <c r="AJ455">
        <v>106</v>
      </c>
      <c r="AK455">
        <v>1</v>
      </c>
      <c r="AL455">
        <v>0</v>
      </c>
      <c r="AM455">
        <v>110</v>
      </c>
      <c r="AN455">
        <v>54</v>
      </c>
      <c r="AO455">
        <v>39</v>
      </c>
      <c r="AQ455" t="str">
        <f t="shared" si="7"/>
        <v>Defensive Forward</v>
      </c>
    </row>
    <row r="456" spans="1:43" x14ac:dyDescent="0.35">
      <c r="A456" t="s">
        <v>343</v>
      </c>
      <c r="B456" t="s">
        <v>43</v>
      </c>
      <c r="C456" t="s">
        <v>1323</v>
      </c>
      <c r="D456">
        <v>1988</v>
      </c>
      <c r="E456">
        <v>29</v>
      </c>
      <c r="F456" t="s">
        <v>184</v>
      </c>
      <c r="G456" t="s">
        <v>216</v>
      </c>
      <c r="H456">
        <v>6300000</v>
      </c>
      <c r="I456">
        <v>5400000</v>
      </c>
      <c r="J456" t="s">
        <v>52</v>
      </c>
      <c r="K456">
        <v>31</v>
      </c>
      <c r="L456">
        <v>2720</v>
      </c>
      <c r="M456">
        <v>0</v>
      </c>
      <c r="N456">
        <v>1000</v>
      </c>
      <c r="O456">
        <v>1</v>
      </c>
      <c r="P456">
        <v>5</v>
      </c>
      <c r="Q456">
        <v>0</v>
      </c>
      <c r="R456">
        <v>1</v>
      </c>
      <c r="S456">
        <v>3</v>
      </c>
      <c r="T456">
        <v>1</v>
      </c>
      <c r="U456">
        <v>1</v>
      </c>
      <c r="V456">
        <v>0</v>
      </c>
      <c r="W456">
        <v>48</v>
      </c>
      <c r="X456">
        <v>0</v>
      </c>
      <c r="Y456">
        <v>0</v>
      </c>
      <c r="Z456">
        <v>0</v>
      </c>
      <c r="AA456">
        <v>2</v>
      </c>
      <c r="AB456">
        <v>0</v>
      </c>
      <c r="AC456">
        <v>0</v>
      </c>
      <c r="AD456">
        <v>0</v>
      </c>
      <c r="AE456">
        <v>64</v>
      </c>
      <c r="AF456">
        <v>25</v>
      </c>
      <c r="AG456">
        <v>61</v>
      </c>
      <c r="AH456">
        <v>58</v>
      </c>
      <c r="AI456">
        <v>0</v>
      </c>
      <c r="AJ456">
        <v>71</v>
      </c>
      <c r="AK456">
        <v>1</v>
      </c>
      <c r="AL456">
        <v>0</v>
      </c>
      <c r="AM456">
        <v>106</v>
      </c>
      <c r="AN456">
        <v>53</v>
      </c>
      <c r="AO456">
        <v>46</v>
      </c>
      <c r="AQ456" t="str">
        <f t="shared" si="7"/>
        <v>Defensive Forward</v>
      </c>
    </row>
    <row r="457" spans="1:43" x14ac:dyDescent="0.35">
      <c r="A457" t="s">
        <v>343</v>
      </c>
      <c r="B457" t="s">
        <v>39</v>
      </c>
      <c r="C457" t="s">
        <v>1324</v>
      </c>
      <c r="D457">
        <v>1988</v>
      </c>
      <c r="E457">
        <v>26</v>
      </c>
      <c r="F457" t="s">
        <v>184</v>
      </c>
      <c r="G457" t="s">
        <v>216</v>
      </c>
      <c r="H457">
        <v>2700000</v>
      </c>
      <c r="I457">
        <v>6300000</v>
      </c>
      <c r="J457" t="s">
        <v>52</v>
      </c>
      <c r="K457">
        <v>35</v>
      </c>
      <c r="L457">
        <v>3096</v>
      </c>
      <c r="M457">
        <v>0</v>
      </c>
      <c r="N457">
        <v>1504</v>
      </c>
      <c r="O457">
        <v>1</v>
      </c>
      <c r="P457">
        <v>10</v>
      </c>
      <c r="Q457">
        <v>0</v>
      </c>
      <c r="R457">
        <v>0</v>
      </c>
      <c r="S457">
        <v>3</v>
      </c>
      <c r="T457">
        <v>5</v>
      </c>
      <c r="U457">
        <v>1</v>
      </c>
      <c r="V457">
        <v>0</v>
      </c>
      <c r="W457">
        <v>47</v>
      </c>
      <c r="X457">
        <v>0</v>
      </c>
      <c r="Y457">
        <v>0</v>
      </c>
      <c r="Z457">
        <v>0</v>
      </c>
      <c r="AA457">
        <v>0</v>
      </c>
      <c r="AB457">
        <v>1</v>
      </c>
      <c r="AC457">
        <v>0</v>
      </c>
      <c r="AD457">
        <v>2</v>
      </c>
      <c r="AE457">
        <v>103</v>
      </c>
      <c r="AF457">
        <v>18</v>
      </c>
      <c r="AG457">
        <v>95</v>
      </c>
      <c r="AH457">
        <v>58</v>
      </c>
      <c r="AI457">
        <v>0</v>
      </c>
      <c r="AJ457">
        <v>116</v>
      </c>
      <c r="AK457">
        <v>1</v>
      </c>
      <c r="AL457">
        <v>0</v>
      </c>
      <c r="AM457">
        <v>93</v>
      </c>
      <c r="AN457">
        <v>47</v>
      </c>
      <c r="AO457">
        <v>44</v>
      </c>
      <c r="AQ457" t="str">
        <f t="shared" si="7"/>
        <v>Defensive Forward</v>
      </c>
    </row>
    <row r="458" spans="1:43" x14ac:dyDescent="0.35">
      <c r="A458" t="s">
        <v>344</v>
      </c>
      <c r="B458" t="s">
        <v>39</v>
      </c>
      <c r="C458" t="s">
        <v>1325</v>
      </c>
      <c r="D458">
        <v>1988</v>
      </c>
      <c r="E458">
        <v>27</v>
      </c>
      <c r="F458" t="s">
        <v>66</v>
      </c>
      <c r="G458" t="s">
        <v>67</v>
      </c>
      <c r="H458">
        <v>9900000</v>
      </c>
      <c r="I458">
        <v>9900000</v>
      </c>
      <c r="J458" t="s">
        <v>55</v>
      </c>
      <c r="K458">
        <v>33</v>
      </c>
      <c r="L458">
        <v>2822</v>
      </c>
      <c r="M458">
        <v>0</v>
      </c>
      <c r="N458">
        <v>1544</v>
      </c>
      <c r="O458">
        <v>0</v>
      </c>
      <c r="P458">
        <v>7</v>
      </c>
      <c r="Q458">
        <v>0</v>
      </c>
      <c r="R458">
        <v>0</v>
      </c>
      <c r="S458">
        <v>8</v>
      </c>
      <c r="T458">
        <v>35</v>
      </c>
      <c r="U458">
        <v>8</v>
      </c>
      <c r="V458">
        <v>0</v>
      </c>
      <c r="W458">
        <v>17</v>
      </c>
      <c r="X458">
        <v>0</v>
      </c>
      <c r="Y458">
        <v>0</v>
      </c>
      <c r="Z458">
        <v>0</v>
      </c>
      <c r="AA458">
        <v>2</v>
      </c>
      <c r="AB458">
        <v>3</v>
      </c>
      <c r="AC458">
        <v>5</v>
      </c>
      <c r="AD458">
        <v>3</v>
      </c>
      <c r="AE458">
        <v>34</v>
      </c>
      <c r="AF458">
        <v>7</v>
      </c>
      <c r="AG458">
        <v>82</v>
      </c>
      <c r="AH458">
        <v>53</v>
      </c>
      <c r="AI458">
        <v>0</v>
      </c>
      <c r="AJ458">
        <v>95</v>
      </c>
      <c r="AK458">
        <v>0</v>
      </c>
      <c r="AL458">
        <v>0</v>
      </c>
      <c r="AM458">
        <v>45</v>
      </c>
      <c r="AN458">
        <v>37</v>
      </c>
      <c r="AO458">
        <v>24</v>
      </c>
      <c r="AQ458" t="str">
        <f t="shared" si="7"/>
        <v>Midfielder</v>
      </c>
    </row>
    <row r="459" spans="1:43" x14ac:dyDescent="0.35">
      <c r="A459" t="s">
        <v>344</v>
      </c>
      <c r="B459" t="s">
        <v>47</v>
      </c>
      <c r="C459" t="s">
        <v>1326</v>
      </c>
      <c r="D459">
        <v>1988</v>
      </c>
      <c r="E459">
        <v>28</v>
      </c>
      <c r="F459" t="s">
        <v>66</v>
      </c>
      <c r="G459" t="s">
        <v>67</v>
      </c>
      <c r="H459">
        <v>9900000</v>
      </c>
      <c r="I459">
        <v>8800000</v>
      </c>
      <c r="J459" t="s">
        <v>55</v>
      </c>
      <c r="K459">
        <v>37</v>
      </c>
      <c r="L459">
        <v>3212</v>
      </c>
      <c r="M459">
        <v>7</v>
      </c>
      <c r="N459">
        <v>1483</v>
      </c>
      <c r="O459">
        <v>1</v>
      </c>
      <c r="P459">
        <v>5</v>
      </c>
      <c r="Q459">
        <v>0</v>
      </c>
      <c r="R459">
        <v>0</v>
      </c>
      <c r="S459">
        <v>10</v>
      </c>
      <c r="T459">
        <v>50</v>
      </c>
      <c r="U459">
        <v>19</v>
      </c>
      <c r="V459">
        <v>0</v>
      </c>
      <c r="W459">
        <v>10</v>
      </c>
      <c r="X459">
        <v>1</v>
      </c>
      <c r="Y459">
        <v>0</v>
      </c>
      <c r="Z459">
        <v>0</v>
      </c>
      <c r="AA459">
        <v>1</v>
      </c>
      <c r="AB459">
        <v>2</v>
      </c>
      <c r="AC459">
        <v>3</v>
      </c>
      <c r="AD459">
        <v>37</v>
      </c>
      <c r="AE459">
        <v>78</v>
      </c>
      <c r="AF459">
        <v>7</v>
      </c>
      <c r="AG459">
        <v>59</v>
      </c>
      <c r="AH459">
        <v>51</v>
      </c>
      <c r="AI459">
        <v>0</v>
      </c>
      <c r="AJ459">
        <v>61</v>
      </c>
      <c r="AK459">
        <v>1</v>
      </c>
      <c r="AL459">
        <v>0</v>
      </c>
      <c r="AM459">
        <v>25</v>
      </c>
      <c r="AN459">
        <v>33</v>
      </c>
      <c r="AO459">
        <v>35</v>
      </c>
      <c r="AQ459" t="str">
        <f t="shared" si="7"/>
        <v>Midfielder</v>
      </c>
    </row>
    <row r="460" spans="1:43" x14ac:dyDescent="0.35">
      <c r="A460" t="s">
        <v>344</v>
      </c>
      <c r="B460" t="s">
        <v>43</v>
      </c>
      <c r="C460" t="s">
        <v>1327</v>
      </c>
      <c r="D460">
        <v>1988</v>
      </c>
      <c r="E460">
        <v>29</v>
      </c>
      <c r="F460" t="s">
        <v>66</v>
      </c>
      <c r="G460" t="s">
        <v>67</v>
      </c>
      <c r="H460">
        <v>8800000</v>
      </c>
      <c r="I460">
        <v>8800000</v>
      </c>
      <c r="J460" t="s">
        <v>55</v>
      </c>
      <c r="K460">
        <v>23</v>
      </c>
      <c r="L460">
        <v>1541</v>
      </c>
      <c r="M460">
        <v>1</v>
      </c>
      <c r="N460">
        <v>875</v>
      </c>
      <c r="O460">
        <v>0</v>
      </c>
      <c r="P460">
        <v>3</v>
      </c>
      <c r="Q460">
        <v>0</v>
      </c>
      <c r="R460">
        <v>5</v>
      </c>
      <c r="S460">
        <v>5</v>
      </c>
      <c r="T460">
        <v>23</v>
      </c>
      <c r="U460">
        <v>3</v>
      </c>
      <c r="V460">
        <v>1</v>
      </c>
      <c r="W460">
        <v>22</v>
      </c>
      <c r="X460">
        <v>0</v>
      </c>
      <c r="Y460">
        <v>0</v>
      </c>
      <c r="Z460">
        <v>0</v>
      </c>
      <c r="AA460">
        <v>1</v>
      </c>
      <c r="AB460">
        <v>5</v>
      </c>
      <c r="AC460">
        <v>20</v>
      </c>
      <c r="AD460">
        <v>2</v>
      </c>
      <c r="AE460">
        <v>4</v>
      </c>
      <c r="AF460">
        <v>1</v>
      </c>
      <c r="AG460">
        <v>43</v>
      </c>
      <c r="AH460">
        <v>21</v>
      </c>
      <c r="AI460">
        <v>0</v>
      </c>
      <c r="AJ460">
        <v>43</v>
      </c>
      <c r="AK460">
        <v>0</v>
      </c>
      <c r="AL460">
        <v>0</v>
      </c>
      <c r="AM460">
        <v>35</v>
      </c>
      <c r="AN460">
        <v>42</v>
      </c>
      <c r="AO460">
        <v>23</v>
      </c>
      <c r="AQ460" t="str">
        <f t="shared" si="7"/>
        <v>Midfielder</v>
      </c>
    </row>
    <row r="461" spans="1:43" x14ac:dyDescent="0.35">
      <c r="A461" t="s">
        <v>344</v>
      </c>
      <c r="B461" t="s">
        <v>46</v>
      </c>
      <c r="C461" t="s">
        <v>1328</v>
      </c>
      <c r="D461">
        <v>1988</v>
      </c>
      <c r="E461">
        <v>30</v>
      </c>
      <c r="F461" t="s">
        <v>66</v>
      </c>
      <c r="G461" t="s">
        <v>67</v>
      </c>
      <c r="H461">
        <v>450000</v>
      </c>
      <c r="I461">
        <v>1800000</v>
      </c>
      <c r="J461" t="s">
        <v>55</v>
      </c>
      <c r="K461">
        <v>33</v>
      </c>
      <c r="L461">
        <v>2946</v>
      </c>
      <c r="M461">
        <v>1</v>
      </c>
      <c r="N461">
        <v>1749</v>
      </c>
      <c r="O461">
        <v>3</v>
      </c>
      <c r="P461">
        <v>14</v>
      </c>
      <c r="Q461">
        <v>1</v>
      </c>
      <c r="R461">
        <v>0</v>
      </c>
      <c r="S461">
        <v>2</v>
      </c>
      <c r="T461">
        <v>18</v>
      </c>
      <c r="U461">
        <v>4</v>
      </c>
      <c r="V461">
        <v>0</v>
      </c>
      <c r="W461">
        <v>51</v>
      </c>
      <c r="X461">
        <v>0</v>
      </c>
      <c r="Y461">
        <v>0</v>
      </c>
      <c r="Z461">
        <v>0</v>
      </c>
      <c r="AA461">
        <v>0</v>
      </c>
      <c r="AB461">
        <v>5</v>
      </c>
      <c r="AC461">
        <v>14</v>
      </c>
      <c r="AD461">
        <v>1</v>
      </c>
      <c r="AE461">
        <v>5</v>
      </c>
      <c r="AF461">
        <v>13</v>
      </c>
      <c r="AG461">
        <v>86</v>
      </c>
      <c r="AH461">
        <v>47</v>
      </c>
      <c r="AI461">
        <v>0</v>
      </c>
      <c r="AJ461">
        <v>90</v>
      </c>
      <c r="AK461">
        <v>0</v>
      </c>
      <c r="AL461">
        <v>0</v>
      </c>
      <c r="AM461">
        <v>91</v>
      </c>
      <c r="AN461">
        <v>66</v>
      </c>
      <c r="AO461">
        <v>49</v>
      </c>
      <c r="AQ461" t="str">
        <f t="shared" si="7"/>
        <v>Midfielder</v>
      </c>
    </row>
    <row r="462" spans="1:43" x14ac:dyDescent="0.35">
      <c r="A462" t="s">
        <v>345</v>
      </c>
      <c r="B462" t="s">
        <v>39</v>
      </c>
      <c r="C462" t="s">
        <v>1329</v>
      </c>
      <c r="D462">
        <v>1990</v>
      </c>
      <c r="E462">
        <v>25</v>
      </c>
      <c r="F462" t="s">
        <v>84</v>
      </c>
      <c r="G462" t="s">
        <v>260</v>
      </c>
      <c r="H462">
        <v>2200000</v>
      </c>
      <c r="I462">
        <v>2200000</v>
      </c>
      <c r="J462" t="s">
        <v>55</v>
      </c>
      <c r="K462">
        <v>16</v>
      </c>
      <c r="L462">
        <v>752</v>
      </c>
      <c r="M462">
        <v>0</v>
      </c>
      <c r="N462">
        <v>379</v>
      </c>
      <c r="O462">
        <v>1</v>
      </c>
      <c r="P462">
        <v>2</v>
      </c>
      <c r="Q462">
        <v>0</v>
      </c>
      <c r="R462">
        <v>10</v>
      </c>
      <c r="S462">
        <v>3</v>
      </c>
      <c r="T462">
        <v>6</v>
      </c>
      <c r="U462">
        <v>2</v>
      </c>
      <c r="V462">
        <v>0</v>
      </c>
      <c r="W462">
        <v>4</v>
      </c>
      <c r="X462">
        <v>0</v>
      </c>
      <c r="Y462">
        <v>0</v>
      </c>
      <c r="Z462">
        <v>0</v>
      </c>
      <c r="AA462">
        <v>0</v>
      </c>
      <c r="AB462">
        <v>4</v>
      </c>
      <c r="AC462">
        <v>1</v>
      </c>
      <c r="AD462">
        <v>1</v>
      </c>
      <c r="AE462">
        <v>1</v>
      </c>
      <c r="AF462">
        <v>0</v>
      </c>
      <c r="AG462">
        <v>8</v>
      </c>
      <c r="AH462">
        <v>6</v>
      </c>
      <c r="AI462">
        <v>0</v>
      </c>
      <c r="AJ462">
        <v>9</v>
      </c>
      <c r="AK462">
        <v>2</v>
      </c>
      <c r="AL462">
        <v>0</v>
      </c>
      <c r="AM462">
        <v>13</v>
      </c>
      <c r="AN462">
        <v>3</v>
      </c>
      <c r="AO462">
        <v>6</v>
      </c>
      <c r="AQ462" t="str">
        <f t="shared" si="7"/>
        <v>Midfielder</v>
      </c>
    </row>
    <row r="463" spans="1:43" x14ac:dyDescent="0.35">
      <c r="A463" t="s">
        <v>346</v>
      </c>
      <c r="B463" t="s">
        <v>47</v>
      </c>
      <c r="C463" t="s">
        <v>1330</v>
      </c>
      <c r="D463">
        <v>1986</v>
      </c>
      <c r="E463">
        <v>30</v>
      </c>
      <c r="F463" t="s">
        <v>71</v>
      </c>
      <c r="G463" t="s">
        <v>154</v>
      </c>
      <c r="H463">
        <v>11000000</v>
      </c>
      <c r="I463">
        <v>11000000</v>
      </c>
      <c r="J463" t="s">
        <v>55</v>
      </c>
      <c r="K463">
        <v>11</v>
      </c>
      <c r="L463">
        <v>576</v>
      </c>
      <c r="M463">
        <v>0</v>
      </c>
      <c r="N463">
        <v>279</v>
      </c>
      <c r="O463">
        <v>0</v>
      </c>
      <c r="P463">
        <v>1</v>
      </c>
      <c r="Q463">
        <v>0</v>
      </c>
      <c r="R463">
        <v>4</v>
      </c>
      <c r="S463">
        <v>5</v>
      </c>
      <c r="T463">
        <v>3</v>
      </c>
      <c r="U463">
        <v>0</v>
      </c>
      <c r="V463">
        <v>0</v>
      </c>
      <c r="W463">
        <v>1</v>
      </c>
      <c r="X463">
        <v>0</v>
      </c>
      <c r="Y463">
        <v>0</v>
      </c>
      <c r="Z463">
        <v>0</v>
      </c>
      <c r="AA463">
        <v>0</v>
      </c>
      <c r="AB463">
        <v>1</v>
      </c>
      <c r="AC463">
        <v>0</v>
      </c>
      <c r="AD463">
        <v>7</v>
      </c>
      <c r="AE463">
        <v>17</v>
      </c>
      <c r="AF463">
        <v>0</v>
      </c>
      <c r="AG463">
        <v>4</v>
      </c>
      <c r="AH463">
        <v>14</v>
      </c>
      <c r="AI463">
        <v>0</v>
      </c>
      <c r="AJ463">
        <v>17</v>
      </c>
      <c r="AK463">
        <v>0</v>
      </c>
      <c r="AL463">
        <v>0</v>
      </c>
      <c r="AM463">
        <v>1</v>
      </c>
      <c r="AN463">
        <v>5</v>
      </c>
      <c r="AO463">
        <v>11</v>
      </c>
      <c r="AQ463" t="str">
        <f t="shared" si="7"/>
        <v>Midfielder</v>
      </c>
    </row>
    <row r="464" spans="1:43" x14ac:dyDescent="0.35">
      <c r="A464" t="s">
        <v>347</v>
      </c>
      <c r="B464" t="s">
        <v>43</v>
      </c>
      <c r="C464" t="s">
        <v>1331</v>
      </c>
      <c r="D464">
        <v>1989</v>
      </c>
      <c r="E464">
        <v>28</v>
      </c>
      <c r="F464" t="s">
        <v>134</v>
      </c>
      <c r="G464" t="s">
        <v>82</v>
      </c>
      <c r="H464">
        <v>4950000</v>
      </c>
      <c r="I464">
        <v>4950000</v>
      </c>
      <c r="J464" t="s">
        <v>52</v>
      </c>
      <c r="K464">
        <v>20</v>
      </c>
      <c r="L464">
        <v>1315</v>
      </c>
      <c r="M464">
        <v>0</v>
      </c>
      <c r="N464">
        <v>455</v>
      </c>
      <c r="O464">
        <v>0</v>
      </c>
      <c r="P464">
        <v>3</v>
      </c>
      <c r="Q464">
        <v>0</v>
      </c>
      <c r="R464">
        <v>5</v>
      </c>
      <c r="S464">
        <v>3</v>
      </c>
      <c r="T464">
        <v>2</v>
      </c>
      <c r="U464">
        <v>2</v>
      </c>
      <c r="V464">
        <v>0</v>
      </c>
      <c r="W464">
        <v>30</v>
      </c>
      <c r="X464">
        <v>0</v>
      </c>
      <c r="Y464">
        <v>0</v>
      </c>
      <c r="Z464">
        <v>0</v>
      </c>
      <c r="AA464">
        <v>0</v>
      </c>
      <c r="AB464">
        <v>1</v>
      </c>
      <c r="AC464">
        <v>0</v>
      </c>
      <c r="AD464">
        <v>0</v>
      </c>
      <c r="AE464">
        <v>33</v>
      </c>
      <c r="AF464">
        <v>3</v>
      </c>
      <c r="AG464">
        <v>19</v>
      </c>
      <c r="AH464">
        <v>8</v>
      </c>
      <c r="AI464">
        <v>0</v>
      </c>
      <c r="AJ464">
        <v>20</v>
      </c>
      <c r="AK464">
        <v>0</v>
      </c>
      <c r="AL464">
        <v>0</v>
      </c>
      <c r="AM464">
        <v>51</v>
      </c>
      <c r="AN464">
        <v>27</v>
      </c>
      <c r="AO464">
        <v>19</v>
      </c>
      <c r="AQ464" t="str">
        <f t="shared" si="7"/>
        <v>Defensive Forward</v>
      </c>
    </row>
    <row r="465" spans="1:43" x14ac:dyDescent="0.35">
      <c r="A465" t="s">
        <v>348</v>
      </c>
      <c r="B465" t="s">
        <v>46</v>
      </c>
      <c r="C465" t="s">
        <v>1332</v>
      </c>
      <c r="D465">
        <v>1991</v>
      </c>
      <c r="E465">
        <v>26</v>
      </c>
      <c r="F465" t="s">
        <v>50</v>
      </c>
      <c r="G465" t="s">
        <v>349</v>
      </c>
      <c r="H465">
        <v>4500000</v>
      </c>
      <c r="I465">
        <v>10800000</v>
      </c>
      <c r="J465" t="s">
        <v>52</v>
      </c>
      <c r="K465">
        <v>23</v>
      </c>
      <c r="L465">
        <v>2014</v>
      </c>
      <c r="M465">
        <v>1</v>
      </c>
      <c r="N465">
        <v>832</v>
      </c>
      <c r="O465">
        <v>0</v>
      </c>
      <c r="P465">
        <v>0</v>
      </c>
      <c r="Q465">
        <v>0</v>
      </c>
      <c r="R465">
        <v>0</v>
      </c>
      <c r="S465">
        <v>1</v>
      </c>
      <c r="T465">
        <v>19</v>
      </c>
      <c r="U465">
        <v>2</v>
      </c>
      <c r="V465">
        <v>1</v>
      </c>
      <c r="W465">
        <v>82</v>
      </c>
      <c r="X465">
        <v>0</v>
      </c>
      <c r="Y465">
        <v>0</v>
      </c>
      <c r="Z465">
        <v>0</v>
      </c>
      <c r="AA465">
        <v>0</v>
      </c>
      <c r="AB465">
        <v>1</v>
      </c>
      <c r="AC465">
        <v>17</v>
      </c>
      <c r="AD465">
        <v>0</v>
      </c>
      <c r="AE465">
        <v>1</v>
      </c>
      <c r="AF465">
        <v>15</v>
      </c>
      <c r="AG465">
        <v>53</v>
      </c>
      <c r="AH465">
        <v>19</v>
      </c>
      <c r="AI465">
        <v>1</v>
      </c>
      <c r="AJ465">
        <v>40</v>
      </c>
      <c r="AK465">
        <v>0</v>
      </c>
      <c r="AL465">
        <v>0</v>
      </c>
      <c r="AM465">
        <v>172</v>
      </c>
      <c r="AN465">
        <v>70</v>
      </c>
      <c r="AO465">
        <v>62</v>
      </c>
      <c r="AQ465" t="str">
        <f t="shared" si="7"/>
        <v>Defensive Forward</v>
      </c>
    </row>
    <row r="466" spans="1:43" x14ac:dyDescent="0.35">
      <c r="A466" t="s">
        <v>350</v>
      </c>
      <c r="B466" t="s">
        <v>39</v>
      </c>
      <c r="C466" t="s">
        <v>1333</v>
      </c>
      <c r="D466">
        <v>1989</v>
      </c>
      <c r="E466">
        <v>25</v>
      </c>
      <c r="F466" t="s">
        <v>114</v>
      </c>
      <c r="G466" t="s">
        <v>51</v>
      </c>
      <c r="H466">
        <v>16500000</v>
      </c>
      <c r="I466">
        <v>16500000</v>
      </c>
      <c r="J466" t="s">
        <v>55</v>
      </c>
      <c r="K466">
        <v>17</v>
      </c>
      <c r="L466">
        <v>753</v>
      </c>
      <c r="M466">
        <v>2</v>
      </c>
      <c r="N466">
        <v>483</v>
      </c>
      <c r="O466">
        <v>0</v>
      </c>
      <c r="P466">
        <v>0</v>
      </c>
      <c r="Q466">
        <v>0</v>
      </c>
      <c r="R466">
        <v>9</v>
      </c>
      <c r="S466">
        <v>7</v>
      </c>
      <c r="T466">
        <v>13</v>
      </c>
      <c r="U466">
        <v>0</v>
      </c>
      <c r="V466">
        <v>1</v>
      </c>
      <c r="W466">
        <v>1</v>
      </c>
      <c r="X466">
        <v>0</v>
      </c>
      <c r="Y466">
        <v>0</v>
      </c>
      <c r="Z466">
        <v>0</v>
      </c>
      <c r="AA466">
        <v>0</v>
      </c>
      <c r="AB466">
        <v>1</v>
      </c>
      <c r="AC466">
        <v>0</v>
      </c>
      <c r="AD466">
        <v>0</v>
      </c>
      <c r="AE466">
        <v>7</v>
      </c>
      <c r="AF466">
        <v>2</v>
      </c>
      <c r="AG466">
        <v>22</v>
      </c>
      <c r="AH466">
        <v>7</v>
      </c>
      <c r="AI466">
        <v>0</v>
      </c>
      <c r="AJ466">
        <v>26</v>
      </c>
      <c r="AK466">
        <v>0</v>
      </c>
      <c r="AL466">
        <v>0</v>
      </c>
      <c r="AM466">
        <v>8</v>
      </c>
      <c r="AN466">
        <v>6</v>
      </c>
      <c r="AO466">
        <v>9</v>
      </c>
      <c r="AQ466" t="str">
        <f t="shared" si="7"/>
        <v>Midfielder</v>
      </c>
    </row>
    <row r="467" spans="1:43" x14ac:dyDescent="0.35">
      <c r="A467" t="s">
        <v>350</v>
      </c>
      <c r="B467" t="s">
        <v>46</v>
      </c>
      <c r="C467" t="s">
        <v>1334</v>
      </c>
      <c r="D467">
        <v>1989</v>
      </c>
      <c r="E467">
        <v>28</v>
      </c>
      <c r="F467" t="s">
        <v>114</v>
      </c>
      <c r="G467" t="s">
        <v>51</v>
      </c>
      <c r="H467">
        <v>8800000</v>
      </c>
      <c r="I467">
        <v>16500000</v>
      </c>
      <c r="J467" t="s">
        <v>55</v>
      </c>
      <c r="K467">
        <v>11</v>
      </c>
      <c r="L467">
        <v>725</v>
      </c>
      <c r="M467">
        <v>0</v>
      </c>
      <c r="N467">
        <v>693</v>
      </c>
      <c r="O467">
        <v>1</v>
      </c>
      <c r="P467">
        <v>1</v>
      </c>
      <c r="Q467">
        <v>1</v>
      </c>
      <c r="R467">
        <v>3</v>
      </c>
      <c r="S467">
        <v>2</v>
      </c>
      <c r="T467">
        <v>4</v>
      </c>
      <c r="U467">
        <v>3</v>
      </c>
      <c r="V467">
        <v>0</v>
      </c>
      <c r="W467">
        <v>5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1</v>
      </c>
      <c r="AD467">
        <v>0</v>
      </c>
      <c r="AE467">
        <v>8</v>
      </c>
      <c r="AF467">
        <v>0</v>
      </c>
      <c r="AG467">
        <v>13</v>
      </c>
      <c r="AH467">
        <v>6</v>
      </c>
      <c r="AI467">
        <v>0</v>
      </c>
      <c r="AJ467">
        <v>23</v>
      </c>
      <c r="AK467">
        <v>0</v>
      </c>
      <c r="AL467">
        <v>0</v>
      </c>
      <c r="AM467">
        <v>17</v>
      </c>
      <c r="AN467">
        <v>9</v>
      </c>
      <c r="AO467">
        <v>14</v>
      </c>
      <c r="AQ467" t="str">
        <f t="shared" si="7"/>
        <v>Midfielder</v>
      </c>
    </row>
    <row r="468" spans="1:43" x14ac:dyDescent="0.35">
      <c r="A468" t="s">
        <v>350</v>
      </c>
      <c r="B468" t="s">
        <v>43</v>
      </c>
      <c r="C468" t="s">
        <v>1335</v>
      </c>
      <c r="D468">
        <v>1989</v>
      </c>
      <c r="E468">
        <v>28</v>
      </c>
      <c r="F468" t="s">
        <v>114</v>
      </c>
      <c r="G468" t="s">
        <v>51</v>
      </c>
      <c r="H468">
        <v>30800000</v>
      </c>
      <c r="I468">
        <v>30800000</v>
      </c>
      <c r="J468" t="s">
        <v>55</v>
      </c>
      <c r="K468">
        <v>22</v>
      </c>
      <c r="L468">
        <v>1746</v>
      </c>
      <c r="M468">
        <v>1</v>
      </c>
      <c r="N468">
        <v>1614</v>
      </c>
      <c r="O468">
        <v>2</v>
      </c>
      <c r="P468">
        <v>2</v>
      </c>
      <c r="Q468">
        <v>0</v>
      </c>
      <c r="R468">
        <v>1</v>
      </c>
      <c r="S468">
        <v>6</v>
      </c>
      <c r="T468">
        <v>10</v>
      </c>
      <c r="U468">
        <v>3</v>
      </c>
      <c r="V468">
        <v>0</v>
      </c>
      <c r="W468">
        <v>11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7</v>
      </c>
      <c r="AD468">
        <v>0</v>
      </c>
      <c r="AE468">
        <v>13</v>
      </c>
      <c r="AF468">
        <v>0</v>
      </c>
      <c r="AG468">
        <v>30</v>
      </c>
      <c r="AH468">
        <v>15</v>
      </c>
      <c r="AI468">
        <v>1</v>
      </c>
      <c r="AJ468">
        <v>46</v>
      </c>
      <c r="AK468">
        <v>1</v>
      </c>
      <c r="AL468">
        <v>0</v>
      </c>
      <c r="AM468">
        <v>35</v>
      </c>
      <c r="AN468">
        <v>21</v>
      </c>
      <c r="AO468">
        <v>31</v>
      </c>
      <c r="AQ468" t="str">
        <f t="shared" si="7"/>
        <v>Midfielder</v>
      </c>
    </row>
    <row r="469" spans="1:43" x14ac:dyDescent="0.35">
      <c r="A469" t="s">
        <v>351</v>
      </c>
      <c r="B469" t="s">
        <v>46</v>
      </c>
      <c r="C469" t="s">
        <v>1336</v>
      </c>
      <c r="D469">
        <v>1991</v>
      </c>
      <c r="E469">
        <v>26</v>
      </c>
      <c r="F469" t="s">
        <v>117</v>
      </c>
      <c r="G469" t="s">
        <v>138</v>
      </c>
      <c r="H469">
        <v>2700000</v>
      </c>
      <c r="I469">
        <v>7200000</v>
      </c>
      <c r="J469" t="s">
        <v>52</v>
      </c>
      <c r="K469">
        <v>24</v>
      </c>
      <c r="L469">
        <v>2003</v>
      </c>
      <c r="M469">
        <v>4</v>
      </c>
      <c r="N469">
        <v>994</v>
      </c>
      <c r="O469">
        <v>1</v>
      </c>
      <c r="P469">
        <v>0</v>
      </c>
      <c r="Q469">
        <v>0</v>
      </c>
      <c r="R469">
        <v>2</v>
      </c>
      <c r="S469">
        <v>5</v>
      </c>
      <c r="T469">
        <v>25</v>
      </c>
      <c r="U469">
        <v>7</v>
      </c>
      <c r="V469">
        <v>0</v>
      </c>
      <c r="W469">
        <v>76</v>
      </c>
      <c r="X469">
        <v>0</v>
      </c>
      <c r="Y469">
        <v>0</v>
      </c>
      <c r="Z469">
        <v>0</v>
      </c>
      <c r="AA469">
        <v>1</v>
      </c>
      <c r="AB469">
        <v>4</v>
      </c>
      <c r="AC469">
        <v>18</v>
      </c>
      <c r="AD469">
        <v>0</v>
      </c>
      <c r="AE469">
        <v>17</v>
      </c>
      <c r="AF469">
        <v>16</v>
      </c>
      <c r="AG469">
        <v>67</v>
      </c>
      <c r="AH469">
        <v>28</v>
      </c>
      <c r="AI469">
        <v>0</v>
      </c>
      <c r="AJ469">
        <v>60</v>
      </c>
      <c r="AK469">
        <v>0</v>
      </c>
      <c r="AL469">
        <v>0</v>
      </c>
      <c r="AM469">
        <v>137</v>
      </c>
      <c r="AN469">
        <v>65</v>
      </c>
      <c r="AO469">
        <v>65</v>
      </c>
      <c r="AQ469" t="str">
        <f t="shared" si="7"/>
        <v>Defensive Forward</v>
      </c>
    </row>
    <row r="470" spans="1:43" x14ac:dyDescent="0.35">
      <c r="A470" t="s">
        <v>352</v>
      </c>
      <c r="B470" t="s">
        <v>46</v>
      </c>
      <c r="C470" t="s">
        <v>1337</v>
      </c>
      <c r="D470">
        <v>1993</v>
      </c>
      <c r="E470">
        <v>24</v>
      </c>
      <c r="F470" t="s">
        <v>80</v>
      </c>
      <c r="G470" t="s">
        <v>154</v>
      </c>
      <c r="H470">
        <v>40500000</v>
      </c>
      <c r="I470">
        <v>45000000</v>
      </c>
      <c r="J470" t="s">
        <v>52</v>
      </c>
      <c r="K470">
        <v>28</v>
      </c>
      <c r="L470">
        <v>2012</v>
      </c>
      <c r="M470">
        <v>0</v>
      </c>
      <c r="N470">
        <v>1610</v>
      </c>
      <c r="O470">
        <v>2</v>
      </c>
      <c r="P470">
        <v>6</v>
      </c>
      <c r="Q470">
        <v>0</v>
      </c>
      <c r="R470">
        <v>7</v>
      </c>
      <c r="S470">
        <v>3</v>
      </c>
      <c r="T470">
        <v>17</v>
      </c>
      <c r="U470">
        <v>4</v>
      </c>
      <c r="V470">
        <v>0</v>
      </c>
      <c r="W470">
        <v>11</v>
      </c>
      <c r="X470">
        <v>0</v>
      </c>
      <c r="Y470">
        <v>0</v>
      </c>
      <c r="Z470">
        <v>0</v>
      </c>
      <c r="AA470">
        <v>0</v>
      </c>
      <c r="AB470">
        <v>2</v>
      </c>
      <c r="AC470">
        <v>13</v>
      </c>
      <c r="AD470">
        <v>0</v>
      </c>
      <c r="AE470">
        <v>10</v>
      </c>
      <c r="AF470">
        <v>6</v>
      </c>
      <c r="AG470">
        <v>28</v>
      </c>
      <c r="AH470">
        <v>29</v>
      </c>
      <c r="AI470">
        <v>0</v>
      </c>
      <c r="AJ470">
        <v>59</v>
      </c>
      <c r="AK470">
        <v>0</v>
      </c>
      <c r="AL470">
        <v>0</v>
      </c>
      <c r="AM470">
        <v>26</v>
      </c>
      <c r="AN470">
        <v>56</v>
      </c>
      <c r="AO470">
        <v>40</v>
      </c>
      <c r="AQ470" t="str">
        <f t="shared" si="7"/>
        <v>Defensive Forward</v>
      </c>
    </row>
    <row r="471" spans="1:43" x14ac:dyDescent="0.35">
      <c r="A471" t="s">
        <v>353</v>
      </c>
      <c r="B471" t="s">
        <v>39</v>
      </c>
      <c r="C471" t="s">
        <v>1338</v>
      </c>
      <c r="D471">
        <v>1991</v>
      </c>
      <c r="E471">
        <v>24</v>
      </c>
      <c r="F471" t="s">
        <v>78</v>
      </c>
      <c r="G471" t="s">
        <v>82</v>
      </c>
      <c r="H471">
        <v>6600000</v>
      </c>
      <c r="I471">
        <v>4500000</v>
      </c>
      <c r="J471" t="s">
        <v>42</v>
      </c>
      <c r="K471">
        <v>26</v>
      </c>
      <c r="L471">
        <v>1899</v>
      </c>
      <c r="M471">
        <v>5</v>
      </c>
      <c r="N471">
        <v>550</v>
      </c>
      <c r="O471">
        <v>0</v>
      </c>
      <c r="P471">
        <v>6</v>
      </c>
      <c r="Q471">
        <v>0</v>
      </c>
      <c r="R471">
        <v>4</v>
      </c>
      <c r="S471">
        <v>11</v>
      </c>
      <c r="T471">
        <v>48</v>
      </c>
      <c r="U471">
        <v>18</v>
      </c>
      <c r="V471">
        <v>0</v>
      </c>
      <c r="W471">
        <v>9</v>
      </c>
      <c r="X471">
        <v>0</v>
      </c>
      <c r="Y471">
        <v>1</v>
      </c>
      <c r="Z471">
        <v>0</v>
      </c>
      <c r="AA471">
        <v>2</v>
      </c>
      <c r="AB471">
        <v>4</v>
      </c>
      <c r="AC471">
        <v>3</v>
      </c>
      <c r="AD471">
        <v>6</v>
      </c>
      <c r="AE471">
        <v>29</v>
      </c>
      <c r="AF471">
        <v>2</v>
      </c>
      <c r="AG471">
        <v>22</v>
      </c>
      <c r="AH471">
        <v>31</v>
      </c>
      <c r="AI471">
        <v>0</v>
      </c>
      <c r="AJ471">
        <v>24</v>
      </c>
      <c r="AK471">
        <v>0</v>
      </c>
      <c r="AL471">
        <v>0</v>
      </c>
      <c r="AM471">
        <v>30</v>
      </c>
      <c r="AN471">
        <v>25</v>
      </c>
      <c r="AO471">
        <v>52</v>
      </c>
      <c r="AQ471" t="str">
        <f t="shared" si="7"/>
        <v>Forward</v>
      </c>
    </row>
    <row r="472" spans="1:43" x14ac:dyDescent="0.35">
      <c r="A472" t="s">
        <v>353</v>
      </c>
      <c r="B472" t="s">
        <v>47</v>
      </c>
      <c r="C472" t="s">
        <v>1339</v>
      </c>
      <c r="D472">
        <v>1991</v>
      </c>
      <c r="E472">
        <v>25</v>
      </c>
      <c r="F472" t="s">
        <v>78</v>
      </c>
      <c r="G472" t="s">
        <v>82</v>
      </c>
      <c r="H472">
        <v>6500000</v>
      </c>
      <c r="I472">
        <v>5400000</v>
      </c>
      <c r="J472" t="s">
        <v>42</v>
      </c>
      <c r="K472">
        <v>24</v>
      </c>
      <c r="L472">
        <v>1740</v>
      </c>
      <c r="M472">
        <v>2</v>
      </c>
      <c r="N472">
        <v>503</v>
      </c>
      <c r="O472">
        <v>0</v>
      </c>
      <c r="P472">
        <v>5</v>
      </c>
      <c r="Q472">
        <v>0</v>
      </c>
      <c r="R472">
        <v>5</v>
      </c>
      <c r="S472">
        <v>5</v>
      </c>
      <c r="T472">
        <v>33</v>
      </c>
      <c r="U472">
        <v>14</v>
      </c>
      <c r="V472">
        <v>0</v>
      </c>
      <c r="W472">
        <v>11</v>
      </c>
      <c r="X472">
        <v>0</v>
      </c>
      <c r="Y472">
        <v>0</v>
      </c>
      <c r="Z472">
        <v>0</v>
      </c>
      <c r="AA472">
        <v>0</v>
      </c>
      <c r="AB472">
        <v>2</v>
      </c>
      <c r="AC472">
        <v>0</v>
      </c>
      <c r="AD472">
        <v>2</v>
      </c>
      <c r="AE472">
        <v>37</v>
      </c>
      <c r="AF472">
        <v>2</v>
      </c>
      <c r="AG472">
        <v>23</v>
      </c>
      <c r="AH472">
        <v>27</v>
      </c>
      <c r="AI472">
        <v>0</v>
      </c>
      <c r="AJ472">
        <v>20</v>
      </c>
      <c r="AK472">
        <v>0</v>
      </c>
      <c r="AL472">
        <v>0</v>
      </c>
      <c r="AM472">
        <v>27</v>
      </c>
      <c r="AN472">
        <v>27</v>
      </c>
      <c r="AO472">
        <v>34</v>
      </c>
      <c r="AQ472" t="str">
        <f t="shared" si="7"/>
        <v>Forward</v>
      </c>
    </row>
    <row r="473" spans="1:43" x14ac:dyDescent="0.35">
      <c r="A473" t="s">
        <v>353</v>
      </c>
      <c r="B473" t="s">
        <v>47</v>
      </c>
      <c r="C473" t="s">
        <v>1339</v>
      </c>
      <c r="D473">
        <v>1991</v>
      </c>
      <c r="E473">
        <v>25</v>
      </c>
      <c r="F473" t="s">
        <v>78</v>
      </c>
      <c r="G473" t="s">
        <v>82</v>
      </c>
      <c r="H473">
        <v>5400000</v>
      </c>
      <c r="I473">
        <v>4500000</v>
      </c>
      <c r="J473" t="s">
        <v>42</v>
      </c>
      <c r="K473">
        <v>24</v>
      </c>
      <c r="L473">
        <v>1849</v>
      </c>
      <c r="M473">
        <v>0</v>
      </c>
      <c r="N473">
        <v>709</v>
      </c>
      <c r="O473">
        <v>0</v>
      </c>
      <c r="P473">
        <v>8</v>
      </c>
      <c r="Q473">
        <v>0</v>
      </c>
      <c r="R473">
        <v>3</v>
      </c>
      <c r="S473">
        <v>5</v>
      </c>
      <c r="T473">
        <v>5</v>
      </c>
      <c r="U473">
        <v>2</v>
      </c>
      <c r="V473">
        <v>0</v>
      </c>
      <c r="W473">
        <v>42</v>
      </c>
      <c r="X473">
        <v>0</v>
      </c>
      <c r="Y473">
        <v>0</v>
      </c>
      <c r="Z473">
        <v>0</v>
      </c>
      <c r="AA473">
        <v>4</v>
      </c>
      <c r="AB473">
        <v>2</v>
      </c>
      <c r="AC473">
        <v>0</v>
      </c>
      <c r="AD473">
        <v>0</v>
      </c>
      <c r="AE473">
        <v>70</v>
      </c>
      <c r="AF473">
        <v>7</v>
      </c>
      <c r="AG473">
        <v>35</v>
      </c>
      <c r="AH473">
        <v>29</v>
      </c>
      <c r="AI473">
        <v>1</v>
      </c>
      <c r="AJ473">
        <v>63</v>
      </c>
      <c r="AK473">
        <v>0</v>
      </c>
      <c r="AL473">
        <v>0</v>
      </c>
      <c r="AM473">
        <v>66</v>
      </c>
      <c r="AN473">
        <v>42</v>
      </c>
      <c r="AO473">
        <v>39</v>
      </c>
      <c r="AQ473" t="str">
        <f t="shared" si="7"/>
        <v>Forward</v>
      </c>
    </row>
    <row r="474" spans="1:43" x14ac:dyDescent="0.35">
      <c r="A474" t="s">
        <v>354</v>
      </c>
      <c r="B474" t="s">
        <v>39</v>
      </c>
      <c r="C474" t="s">
        <v>1340</v>
      </c>
      <c r="D474">
        <v>1982</v>
      </c>
      <c r="E474">
        <v>33</v>
      </c>
      <c r="F474" t="s">
        <v>117</v>
      </c>
      <c r="G474" t="s">
        <v>262</v>
      </c>
      <c r="H474">
        <v>1800000</v>
      </c>
      <c r="I474">
        <v>1800000</v>
      </c>
      <c r="J474" t="s">
        <v>52</v>
      </c>
      <c r="K474">
        <v>26</v>
      </c>
      <c r="L474">
        <v>2293</v>
      </c>
      <c r="M474">
        <v>1</v>
      </c>
      <c r="N474">
        <v>849</v>
      </c>
      <c r="O474">
        <v>0</v>
      </c>
      <c r="P474">
        <v>2</v>
      </c>
      <c r="Q474">
        <v>1</v>
      </c>
      <c r="R474">
        <v>0</v>
      </c>
      <c r="S474">
        <v>1</v>
      </c>
      <c r="T474">
        <v>10</v>
      </c>
      <c r="U474">
        <v>3</v>
      </c>
      <c r="V474">
        <v>1</v>
      </c>
      <c r="W474">
        <v>47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0</v>
      </c>
      <c r="AE474">
        <v>4</v>
      </c>
      <c r="AF474">
        <v>29</v>
      </c>
      <c r="AG474">
        <v>61</v>
      </c>
      <c r="AH474">
        <v>9</v>
      </c>
      <c r="AI474">
        <v>0</v>
      </c>
      <c r="AJ474">
        <v>43</v>
      </c>
      <c r="AK474">
        <v>0</v>
      </c>
      <c r="AL474">
        <v>1</v>
      </c>
      <c r="AM474">
        <v>97</v>
      </c>
      <c r="AN474">
        <v>32</v>
      </c>
      <c r="AO474">
        <v>33</v>
      </c>
      <c r="AQ474" t="str">
        <f t="shared" si="7"/>
        <v>Defensive Forward</v>
      </c>
    </row>
    <row r="475" spans="1:43" x14ac:dyDescent="0.35">
      <c r="A475" t="s">
        <v>355</v>
      </c>
      <c r="B475" t="s">
        <v>47</v>
      </c>
      <c r="C475" t="s">
        <v>1341</v>
      </c>
      <c r="D475">
        <v>1989</v>
      </c>
      <c r="E475">
        <v>27</v>
      </c>
      <c r="F475" t="s">
        <v>40</v>
      </c>
      <c r="G475" t="s">
        <v>262</v>
      </c>
      <c r="H475">
        <v>8100000</v>
      </c>
      <c r="I475">
        <v>8100000</v>
      </c>
      <c r="J475" t="s">
        <v>52</v>
      </c>
      <c r="K475">
        <v>27</v>
      </c>
      <c r="L475">
        <v>2430</v>
      </c>
      <c r="M475">
        <v>0</v>
      </c>
      <c r="N475">
        <v>1133</v>
      </c>
      <c r="O475">
        <v>2</v>
      </c>
      <c r="P475">
        <v>7</v>
      </c>
      <c r="Q475">
        <v>0</v>
      </c>
      <c r="R475">
        <v>0</v>
      </c>
      <c r="S475">
        <v>0</v>
      </c>
      <c r="T475">
        <v>15</v>
      </c>
      <c r="U475">
        <v>2</v>
      </c>
      <c r="V475">
        <v>0</v>
      </c>
      <c r="W475">
        <v>117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5</v>
      </c>
      <c r="AF475">
        <v>20</v>
      </c>
      <c r="AG475">
        <v>50</v>
      </c>
      <c r="AH475">
        <v>26</v>
      </c>
      <c r="AI475">
        <v>0</v>
      </c>
      <c r="AJ475">
        <v>44</v>
      </c>
      <c r="AK475">
        <v>1</v>
      </c>
      <c r="AL475">
        <v>0</v>
      </c>
      <c r="AM475">
        <v>187</v>
      </c>
      <c r="AN475">
        <v>69</v>
      </c>
      <c r="AO475">
        <v>36</v>
      </c>
      <c r="AQ475" t="str">
        <f t="shared" si="7"/>
        <v>Defensive Forward</v>
      </c>
    </row>
    <row r="476" spans="1:43" x14ac:dyDescent="0.35">
      <c r="A476" t="s">
        <v>355</v>
      </c>
      <c r="B476" t="s">
        <v>39</v>
      </c>
      <c r="C476" t="s">
        <v>1342</v>
      </c>
      <c r="D476">
        <v>1989</v>
      </c>
      <c r="E476">
        <v>26</v>
      </c>
      <c r="F476" t="s">
        <v>40</v>
      </c>
      <c r="G476" t="s">
        <v>262</v>
      </c>
      <c r="H476">
        <v>8100000</v>
      </c>
      <c r="I476">
        <v>8100000</v>
      </c>
      <c r="J476" t="s">
        <v>52</v>
      </c>
      <c r="K476">
        <v>32</v>
      </c>
      <c r="L476">
        <v>2880</v>
      </c>
      <c r="M476">
        <v>1</v>
      </c>
      <c r="N476">
        <v>1697</v>
      </c>
      <c r="O476">
        <v>1</v>
      </c>
      <c r="P476">
        <v>3</v>
      </c>
      <c r="Q476">
        <v>0</v>
      </c>
      <c r="R476">
        <v>0</v>
      </c>
      <c r="S476">
        <v>0</v>
      </c>
      <c r="T476">
        <v>17</v>
      </c>
      <c r="U476">
        <v>0</v>
      </c>
      <c r="V476">
        <v>1</v>
      </c>
      <c r="W476">
        <v>137</v>
      </c>
      <c r="X476">
        <v>0</v>
      </c>
      <c r="Y476">
        <v>0</v>
      </c>
      <c r="Z476">
        <v>0</v>
      </c>
      <c r="AA476">
        <v>2</v>
      </c>
      <c r="AB476">
        <v>2</v>
      </c>
      <c r="AC476">
        <v>2</v>
      </c>
      <c r="AD476">
        <v>0</v>
      </c>
      <c r="AE476">
        <v>2</v>
      </c>
      <c r="AF476">
        <v>23</v>
      </c>
      <c r="AG476">
        <v>80</v>
      </c>
      <c r="AH476">
        <v>31</v>
      </c>
      <c r="AI476">
        <v>0</v>
      </c>
      <c r="AJ476">
        <v>58</v>
      </c>
      <c r="AK476">
        <v>1</v>
      </c>
      <c r="AL476">
        <v>2</v>
      </c>
      <c r="AM476">
        <v>217</v>
      </c>
      <c r="AN476">
        <v>87</v>
      </c>
      <c r="AO476">
        <v>60</v>
      </c>
      <c r="AQ476" t="str">
        <f t="shared" si="7"/>
        <v>Defensive Forward</v>
      </c>
    </row>
    <row r="477" spans="1:43" x14ac:dyDescent="0.35">
      <c r="A477" t="s">
        <v>355</v>
      </c>
      <c r="B477" t="s">
        <v>46</v>
      </c>
      <c r="C477" t="s">
        <v>1343</v>
      </c>
      <c r="D477">
        <v>1989</v>
      </c>
      <c r="E477">
        <v>29</v>
      </c>
      <c r="F477" t="s">
        <v>117</v>
      </c>
      <c r="G477" t="s">
        <v>262</v>
      </c>
      <c r="H477">
        <v>7200000</v>
      </c>
      <c r="I477">
        <v>6300000</v>
      </c>
      <c r="J477" t="s">
        <v>52</v>
      </c>
      <c r="K477">
        <v>19</v>
      </c>
      <c r="L477">
        <v>1482</v>
      </c>
      <c r="M477">
        <v>0</v>
      </c>
      <c r="N477">
        <v>611</v>
      </c>
      <c r="O477">
        <v>1</v>
      </c>
      <c r="P477">
        <v>0</v>
      </c>
      <c r="Q477">
        <v>0</v>
      </c>
      <c r="R477">
        <v>2</v>
      </c>
      <c r="S477">
        <v>2</v>
      </c>
      <c r="T477">
        <v>4</v>
      </c>
      <c r="U477">
        <v>1</v>
      </c>
      <c r="V477">
        <v>0</v>
      </c>
      <c r="W477">
        <v>55</v>
      </c>
      <c r="X477">
        <v>0</v>
      </c>
      <c r="Y477">
        <v>0</v>
      </c>
      <c r="Z477">
        <v>0</v>
      </c>
      <c r="AA477">
        <v>1</v>
      </c>
      <c r="AB477">
        <v>0</v>
      </c>
      <c r="AC477">
        <v>3</v>
      </c>
      <c r="AD477">
        <v>0</v>
      </c>
      <c r="AE477">
        <v>5</v>
      </c>
      <c r="AF477">
        <v>12</v>
      </c>
      <c r="AG477">
        <v>25</v>
      </c>
      <c r="AH477">
        <v>12</v>
      </c>
      <c r="AI477">
        <v>0</v>
      </c>
      <c r="AJ477">
        <v>16</v>
      </c>
      <c r="AK477">
        <v>0</v>
      </c>
      <c r="AL477">
        <v>0</v>
      </c>
      <c r="AM477">
        <v>102</v>
      </c>
      <c r="AN477">
        <v>38</v>
      </c>
      <c r="AO477">
        <v>31</v>
      </c>
      <c r="AQ477" t="str">
        <f t="shared" si="7"/>
        <v>Defensive Forward</v>
      </c>
    </row>
    <row r="478" spans="1:43" x14ac:dyDescent="0.35">
      <c r="A478" t="s">
        <v>355</v>
      </c>
      <c r="B478" t="s">
        <v>43</v>
      </c>
      <c r="C478" t="s">
        <v>1344</v>
      </c>
      <c r="D478">
        <v>1989</v>
      </c>
      <c r="E478">
        <v>28</v>
      </c>
      <c r="F478" t="s">
        <v>40</v>
      </c>
      <c r="G478" t="s">
        <v>262</v>
      </c>
      <c r="H478">
        <v>8100000</v>
      </c>
      <c r="I478">
        <v>7200000</v>
      </c>
      <c r="J478" t="s">
        <v>52</v>
      </c>
      <c r="K478">
        <v>30</v>
      </c>
      <c r="L478">
        <v>2677</v>
      </c>
      <c r="M478">
        <v>1</v>
      </c>
      <c r="N478">
        <v>1210</v>
      </c>
      <c r="O478">
        <v>1</v>
      </c>
      <c r="P478">
        <v>5</v>
      </c>
      <c r="Q478">
        <v>0</v>
      </c>
      <c r="R478">
        <v>0</v>
      </c>
      <c r="S478">
        <v>1</v>
      </c>
      <c r="T478">
        <v>4</v>
      </c>
      <c r="U478">
        <v>4</v>
      </c>
      <c r="V478">
        <v>0</v>
      </c>
      <c r="W478">
        <v>123</v>
      </c>
      <c r="X478">
        <v>1</v>
      </c>
      <c r="Y478">
        <v>0</v>
      </c>
      <c r="Z478">
        <v>0</v>
      </c>
      <c r="AA478">
        <v>2</v>
      </c>
      <c r="AB478">
        <v>0</v>
      </c>
      <c r="AC478">
        <v>0</v>
      </c>
      <c r="AD478">
        <v>0</v>
      </c>
      <c r="AE478">
        <v>4</v>
      </c>
      <c r="AF478">
        <v>27</v>
      </c>
      <c r="AG478">
        <v>38</v>
      </c>
      <c r="AH478">
        <v>29</v>
      </c>
      <c r="AI478">
        <v>0</v>
      </c>
      <c r="AJ478">
        <v>40</v>
      </c>
      <c r="AK478">
        <v>0</v>
      </c>
      <c r="AL478">
        <v>1</v>
      </c>
      <c r="AM478">
        <v>198</v>
      </c>
      <c r="AN478">
        <v>72</v>
      </c>
      <c r="AO478">
        <v>63</v>
      </c>
      <c r="AQ478" t="str">
        <f t="shared" si="7"/>
        <v>Defensive Forward</v>
      </c>
    </row>
    <row r="479" spans="1:43" x14ac:dyDescent="0.35">
      <c r="A479" t="s">
        <v>356</v>
      </c>
      <c r="B479" t="s">
        <v>46</v>
      </c>
      <c r="C479" t="s">
        <v>1345</v>
      </c>
      <c r="D479">
        <v>1993</v>
      </c>
      <c r="E479">
        <v>25</v>
      </c>
      <c r="F479" t="s">
        <v>50</v>
      </c>
      <c r="G479" t="s">
        <v>154</v>
      </c>
      <c r="H479">
        <v>33000000</v>
      </c>
      <c r="I479">
        <v>36000000</v>
      </c>
      <c r="J479" t="s">
        <v>42</v>
      </c>
      <c r="K479">
        <v>36</v>
      </c>
      <c r="L479">
        <v>3051</v>
      </c>
      <c r="M479">
        <v>9</v>
      </c>
      <c r="N479">
        <v>1667</v>
      </c>
      <c r="O479">
        <v>4</v>
      </c>
      <c r="P479">
        <v>3</v>
      </c>
      <c r="Q479">
        <v>0</v>
      </c>
      <c r="R479">
        <v>0</v>
      </c>
      <c r="S479">
        <v>11</v>
      </c>
      <c r="T479">
        <v>58</v>
      </c>
      <c r="U479">
        <v>25</v>
      </c>
      <c r="V479">
        <v>2</v>
      </c>
      <c r="W479">
        <v>3</v>
      </c>
      <c r="X479">
        <v>0</v>
      </c>
      <c r="Y479">
        <v>0</v>
      </c>
      <c r="Z479">
        <v>0</v>
      </c>
      <c r="AA479">
        <v>5</v>
      </c>
      <c r="AB479">
        <v>22</v>
      </c>
      <c r="AC479">
        <v>33</v>
      </c>
      <c r="AD479">
        <v>49</v>
      </c>
      <c r="AE479">
        <v>121</v>
      </c>
      <c r="AF479">
        <v>0</v>
      </c>
      <c r="AG479">
        <v>41</v>
      </c>
      <c r="AH479">
        <v>27</v>
      </c>
      <c r="AI479">
        <v>0</v>
      </c>
      <c r="AJ479">
        <v>89</v>
      </c>
      <c r="AK479">
        <v>0</v>
      </c>
      <c r="AL479">
        <v>0</v>
      </c>
      <c r="AM479">
        <v>12</v>
      </c>
      <c r="AN479">
        <v>10</v>
      </c>
      <c r="AO479">
        <v>26</v>
      </c>
      <c r="AQ479" t="str">
        <f t="shared" si="7"/>
        <v>Forward</v>
      </c>
    </row>
    <row r="480" spans="1:43" x14ac:dyDescent="0.35">
      <c r="A480" t="s">
        <v>357</v>
      </c>
      <c r="B480" t="s">
        <v>39</v>
      </c>
      <c r="C480" t="s">
        <v>1346</v>
      </c>
      <c r="D480">
        <v>1985</v>
      </c>
      <c r="E480">
        <v>30</v>
      </c>
      <c r="F480" t="s">
        <v>114</v>
      </c>
      <c r="G480" t="s">
        <v>154</v>
      </c>
      <c r="H480">
        <v>30800000</v>
      </c>
      <c r="I480">
        <v>19800000</v>
      </c>
      <c r="J480" t="s">
        <v>55</v>
      </c>
      <c r="K480">
        <v>33</v>
      </c>
      <c r="L480">
        <v>2732</v>
      </c>
      <c r="M480">
        <v>2</v>
      </c>
      <c r="N480">
        <v>1872</v>
      </c>
      <c r="O480">
        <v>2</v>
      </c>
      <c r="P480">
        <v>8</v>
      </c>
      <c r="Q480">
        <v>0</v>
      </c>
      <c r="R480">
        <v>2</v>
      </c>
      <c r="S480">
        <v>4</v>
      </c>
      <c r="T480">
        <v>29</v>
      </c>
      <c r="U480">
        <v>0</v>
      </c>
      <c r="V480">
        <v>1</v>
      </c>
      <c r="W480">
        <v>25</v>
      </c>
      <c r="X480">
        <v>0</v>
      </c>
      <c r="Y480">
        <v>0</v>
      </c>
      <c r="Z480">
        <v>0</v>
      </c>
      <c r="AA480">
        <v>0</v>
      </c>
      <c r="AB480">
        <v>5</v>
      </c>
      <c r="AC480">
        <v>0</v>
      </c>
      <c r="AD480">
        <v>0</v>
      </c>
      <c r="AE480">
        <v>11</v>
      </c>
      <c r="AF480">
        <v>7</v>
      </c>
      <c r="AG480">
        <v>56</v>
      </c>
      <c r="AH480">
        <v>55</v>
      </c>
      <c r="AI480">
        <v>0</v>
      </c>
      <c r="AJ480">
        <v>105</v>
      </c>
      <c r="AK480">
        <v>0</v>
      </c>
      <c r="AL480">
        <v>0</v>
      </c>
      <c r="AM480">
        <v>44</v>
      </c>
      <c r="AN480">
        <v>43</v>
      </c>
      <c r="AO480">
        <v>45</v>
      </c>
      <c r="AQ480" t="str">
        <f t="shared" si="7"/>
        <v>Midfielder</v>
      </c>
    </row>
    <row r="481" spans="1:43" x14ac:dyDescent="0.35">
      <c r="A481" t="s">
        <v>357</v>
      </c>
      <c r="B481" t="s">
        <v>47</v>
      </c>
      <c r="C481" t="s">
        <v>1347</v>
      </c>
      <c r="D481">
        <v>1985</v>
      </c>
      <c r="E481">
        <v>31</v>
      </c>
      <c r="F481" t="s">
        <v>114</v>
      </c>
      <c r="G481" t="s">
        <v>154</v>
      </c>
      <c r="H481">
        <v>16500000</v>
      </c>
      <c r="I481">
        <v>13200000</v>
      </c>
      <c r="J481" t="s">
        <v>55</v>
      </c>
      <c r="K481">
        <v>32</v>
      </c>
      <c r="L481">
        <v>2754</v>
      </c>
      <c r="M481">
        <v>2</v>
      </c>
      <c r="N481">
        <v>2180</v>
      </c>
      <c r="O481">
        <v>1</v>
      </c>
      <c r="P481">
        <v>4</v>
      </c>
      <c r="Q481">
        <v>2</v>
      </c>
      <c r="R481">
        <v>1</v>
      </c>
      <c r="S481">
        <v>0</v>
      </c>
      <c r="T481">
        <v>36</v>
      </c>
      <c r="U481">
        <v>11</v>
      </c>
      <c r="V481">
        <v>0</v>
      </c>
      <c r="W481">
        <v>37</v>
      </c>
      <c r="X481">
        <v>1</v>
      </c>
      <c r="Y481">
        <v>0</v>
      </c>
      <c r="Z481">
        <v>0</v>
      </c>
      <c r="AA481">
        <v>1</v>
      </c>
      <c r="AB481">
        <v>14</v>
      </c>
      <c r="AC481">
        <v>4</v>
      </c>
      <c r="AD481">
        <v>0</v>
      </c>
      <c r="AE481">
        <v>23</v>
      </c>
      <c r="AF481">
        <v>5</v>
      </c>
      <c r="AG481">
        <v>65</v>
      </c>
      <c r="AH481">
        <v>48</v>
      </c>
      <c r="AI481">
        <v>0</v>
      </c>
      <c r="AJ481">
        <v>82</v>
      </c>
      <c r="AK481">
        <v>0</v>
      </c>
      <c r="AL481">
        <v>0</v>
      </c>
      <c r="AM481">
        <v>60</v>
      </c>
      <c r="AN481">
        <v>52</v>
      </c>
      <c r="AO481">
        <v>52</v>
      </c>
      <c r="AQ481" t="str">
        <f t="shared" si="7"/>
        <v>Midfielder</v>
      </c>
    </row>
    <row r="482" spans="1:43" x14ac:dyDescent="0.35">
      <c r="A482" t="s">
        <v>357</v>
      </c>
      <c r="B482" t="s">
        <v>46</v>
      </c>
      <c r="C482" t="s">
        <v>1348</v>
      </c>
      <c r="D482">
        <v>1985</v>
      </c>
      <c r="E482">
        <v>33</v>
      </c>
      <c r="F482" t="s">
        <v>114</v>
      </c>
      <c r="G482" t="s">
        <v>154</v>
      </c>
      <c r="H482">
        <v>19800000</v>
      </c>
      <c r="I482">
        <v>16500000</v>
      </c>
      <c r="J482" t="s">
        <v>55</v>
      </c>
      <c r="K482">
        <v>29</v>
      </c>
      <c r="L482">
        <v>2381</v>
      </c>
      <c r="M482">
        <v>1</v>
      </c>
      <c r="N482">
        <v>2050</v>
      </c>
      <c r="O482">
        <v>3</v>
      </c>
      <c r="P482">
        <v>5</v>
      </c>
      <c r="Q482">
        <v>0</v>
      </c>
      <c r="R482">
        <v>2</v>
      </c>
      <c r="S482">
        <v>6</v>
      </c>
      <c r="T482">
        <v>30</v>
      </c>
      <c r="U482">
        <v>7</v>
      </c>
      <c r="V482">
        <v>0</v>
      </c>
      <c r="W482">
        <v>47</v>
      </c>
      <c r="X482">
        <v>0</v>
      </c>
      <c r="Y482">
        <v>0</v>
      </c>
      <c r="Z482">
        <v>0</v>
      </c>
      <c r="AA482">
        <v>2</v>
      </c>
      <c r="AB482">
        <v>13</v>
      </c>
      <c r="AC482">
        <v>23</v>
      </c>
      <c r="AD482">
        <v>0</v>
      </c>
      <c r="AE482">
        <v>4</v>
      </c>
      <c r="AF482">
        <v>4</v>
      </c>
      <c r="AG482">
        <v>41</v>
      </c>
      <c r="AH482">
        <v>40</v>
      </c>
      <c r="AI482">
        <v>0</v>
      </c>
      <c r="AJ482">
        <v>57</v>
      </c>
      <c r="AK482">
        <v>0</v>
      </c>
      <c r="AL482">
        <v>0</v>
      </c>
      <c r="AM482">
        <v>69</v>
      </c>
      <c r="AN482">
        <v>77</v>
      </c>
      <c r="AO482">
        <v>66</v>
      </c>
      <c r="AQ482" t="str">
        <f t="shared" si="7"/>
        <v>Midfielder</v>
      </c>
    </row>
    <row r="483" spans="1:43" x14ac:dyDescent="0.35">
      <c r="A483" t="s">
        <v>357</v>
      </c>
      <c r="B483" t="s">
        <v>43</v>
      </c>
      <c r="C483" t="s">
        <v>1349</v>
      </c>
      <c r="D483">
        <v>1985</v>
      </c>
      <c r="E483">
        <v>32</v>
      </c>
      <c r="F483" t="s">
        <v>114</v>
      </c>
      <c r="G483" t="s">
        <v>154</v>
      </c>
      <c r="H483">
        <v>17600000</v>
      </c>
      <c r="I483">
        <v>17600000</v>
      </c>
      <c r="J483" t="s">
        <v>55</v>
      </c>
      <c r="K483">
        <v>34</v>
      </c>
      <c r="L483">
        <v>2885</v>
      </c>
      <c r="M483">
        <v>5</v>
      </c>
      <c r="N483">
        <v>2975</v>
      </c>
      <c r="O483">
        <v>3</v>
      </c>
      <c r="P483">
        <v>7</v>
      </c>
      <c r="Q483">
        <v>0</v>
      </c>
      <c r="R483">
        <v>1</v>
      </c>
      <c r="S483">
        <v>5</v>
      </c>
      <c r="T483">
        <v>47</v>
      </c>
      <c r="U483">
        <v>19</v>
      </c>
      <c r="V483">
        <v>0</v>
      </c>
      <c r="W483">
        <v>47</v>
      </c>
      <c r="X483">
        <v>0</v>
      </c>
      <c r="Y483">
        <v>0</v>
      </c>
      <c r="Z483">
        <v>0</v>
      </c>
      <c r="AA483">
        <v>0</v>
      </c>
      <c r="AB483">
        <v>18</v>
      </c>
      <c r="AC483">
        <v>28</v>
      </c>
      <c r="AD483">
        <v>1</v>
      </c>
      <c r="AE483">
        <v>9</v>
      </c>
      <c r="AF483">
        <v>6</v>
      </c>
      <c r="AG483">
        <v>47</v>
      </c>
      <c r="AH483">
        <v>41</v>
      </c>
      <c r="AI483">
        <v>0</v>
      </c>
      <c r="AJ483">
        <v>62</v>
      </c>
      <c r="AK483">
        <v>0</v>
      </c>
      <c r="AL483">
        <v>0</v>
      </c>
      <c r="AM483">
        <v>65</v>
      </c>
      <c r="AN483">
        <v>94</v>
      </c>
      <c r="AO483">
        <v>76</v>
      </c>
      <c r="AQ483" t="str">
        <f t="shared" si="7"/>
        <v>Midfielder</v>
      </c>
    </row>
    <row r="484" spans="1:43" x14ac:dyDescent="0.35">
      <c r="A484" t="s">
        <v>358</v>
      </c>
      <c r="B484" t="s">
        <v>39</v>
      </c>
      <c r="C484" t="s">
        <v>1350</v>
      </c>
      <c r="D484">
        <v>1987</v>
      </c>
      <c r="E484">
        <v>28</v>
      </c>
      <c r="F484" t="s">
        <v>114</v>
      </c>
      <c r="G484" t="s">
        <v>154</v>
      </c>
      <c r="H484">
        <v>17600000</v>
      </c>
      <c r="I484">
        <v>11000000</v>
      </c>
      <c r="J484" t="s">
        <v>55</v>
      </c>
      <c r="K484">
        <v>19</v>
      </c>
      <c r="L484">
        <v>1697</v>
      </c>
      <c r="M484">
        <v>2</v>
      </c>
      <c r="N484">
        <v>915</v>
      </c>
      <c r="O484">
        <v>0</v>
      </c>
      <c r="P484">
        <v>4</v>
      </c>
      <c r="Q484">
        <v>0</v>
      </c>
      <c r="R484">
        <v>7</v>
      </c>
      <c r="S484">
        <v>3</v>
      </c>
      <c r="T484">
        <v>15</v>
      </c>
      <c r="U484">
        <v>0</v>
      </c>
      <c r="V484">
        <v>1</v>
      </c>
      <c r="W484">
        <v>20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4</v>
      </c>
      <c r="AD484">
        <v>0</v>
      </c>
      <c r="AE484">
        <v>1</v>
      </c>
      <c r="AF484">
        <v>5</v>
      </c>
      <c r="AG484">
        <v>43</v>
      </c>
      <c r="AH484">
        <v>27</v>
      </c>
      <c r="AI484">
        <v>0</v>
      </c>
      <c r="AJ484">
        <v>60</v>
      </c>
      <c r="AK484">
        <v>0</v>
      </c>
      <c r="AL484">
        <v>0</v>
      </c>
      <c r="AM484">
        <v>36</v>
      </c>
      <c r="AN484">
        <v>38</v>
      </c>
      <c r="AO484">
        <v>27</v>
      </c>
      <c r="AQ484" t="str">
        <f t="shared" si="7"/>
        <v>Midfielder</v>
      </c>
    </row>
    <row r="485" spans="1:43" x14ac:dyDescent="0.35">
      <c r="A485" t="s">
        <v>358</v>
      </c>
      <c r="B485" t="s">
        <v>47</v>
      </c>
      <c r="C485" t="s">
        <v>1351</v>
      </c>
      <c r="D485">
        <v>1987</v>
      </c>
      <c r="E485">
        <v>29</v>
      </c>
      <c r="F485" t="s">
        <v>114</v>
      </c>
      <c r="G485" t="s">
        <v>154</v>
      </c>
      <c r="H485">
        <v>1100000</v>
      </c>
      <c r="I485">
        <v>2700000</v>
      </c>
      <c r="J485" t="s">
        <v>55</v>
      </c>
      <c r="K485">
        <v>15</v>
      </c>
      <c r="L485">
        <v>560</v>
      </c>
      <c r="M485">
        <v>0</v>
      </c>
      <c r="N485">
        <v>370</v>
      </c>
      <c r="O485">
        <v>0</v>
      </c>
      <c r="P485">
        <v>3</v>
      </c>
      <c r="Q485">
        <v>0</v>
      </c>
      <c r="R485">
        <v>10</v>
      </c>
      <c r="S485">
        <v>1</v>
      </c>
      <c r="T485">
        <v>2</v>
      </c>
      <c r="U485">
        <v>0</v>
      </c>
      <c r="V485">
        <v>0</v>
      </c>
      <c r="W485">
        <v>23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14</v>
      </c>
      <c r="AH485">
        <v>11</v>
      </c>
      <c r="AI485">
        <v>0</v>
      </c>
      <c r="AJ485">
        <v>21</v>
      </c>
      <c r="AK485">
        <v>0</v>
      </c>
      <c r="AL485">
        <v>0</v>
      </c>
      <c r="AM485">
        <v>32</v>
      </c>
      <c r="AN485">
        <v>18</v>
      </c>
      <c r="AO485">
        <v>16</v>
      </c>
      <c r="AQ485" t="str">
        <f t="shared" si="7"/>
        <v>Midfielder</v>
      </c>
    </row>
    <row r="486" spans="1:43" x14ac:dyDescent="0.35">
      <c r="A486" t="s">
        <v>359</v>
      </c>
      <c r="B486" t="s">
        <v>47</v>
      </c>
      <c r="C486" t="s">
        <v>1352</v>
      </c>
      <c r="D486">
        <v>1985</v>
      </c>
      <c r="E486">
        <v>31</v>
      </c>
      <c r="F486" t="s">
        <v>40</v>
      </c>
      <c r="G486" t="s">
        <v>45</v>
      </c>
      <c r="H486">
        <v>5400000</v>
      </c>
      <c r="I486">
        <v>5400000</v>
      </c>
      <c r="J486" t="s">
        <v>42</v>
      </c>
      <c r="K486">
        <v>33</v>
      </c>
      <c r="L486">
        <v>2453</v>
      </c>
      <c r="M486">
        <v>15</v>
      </c>
      <c r="N486">
        <v>900</v>
      </c>
      <c r="O486">
        <v>1</v>
      </c>
      <c r="P486">
        <v>2</v>
      </c>
      <c r="Q486">
        <v>0</v>
      </c>
      <c r="R486">
        <v>5</v>
      </c>
      <c r="S486">
        <v>14</v>
      </c>
      <c r="T486">
        <v>52</v>
      </c>
      <c r="U486">
        <v>26</v>
      </c>
      <c r="V486">
        <v>2</v>
      </c>
      <c r="W486">
        <v>27</v>
      </c>
      <c r="X486">
        <v>8</v>
      </c>
      <c r="Y486">
        <v>0</v>
      </c>
      <c r="Z486">
        <v>0</v>
      </c>
      <c r="AA486">
        <v>12</v>
      </c>
      <c r="AB486">
        <v>0</v>
      </c>
      <c r="AC486">
        <v>5</v>
      </c>
      <c r="AD486">
        <v>0</v>
      </c>
      <c r="AE486">
        <v>8</v>
      </c>
      <c r="AF486">
        <v>4</v>
      </c>
      <c r="AG486">
        <v>2</v>
      </c>
      <c r="AH486">
        <v>51</v>
      </c>
      <c r="AI486">
        <v>0</v>
      </c>
      <c r="AJ486">
        <v>18</v>
      </c>
      <c r="AK486">
        <v>0</v>
      </c>
      <c r="AL486">
        <v>0</v>
      </c>
      <c r="AM486">
        <v>36</v>
      </c>
      <c r="AN486">
        <v>156</v>
      </c>
      <c r="AO486">
        <v>125</v>
      </c>
      <c r="AQ486" t="str">
        <f t="shared" si="7"/>
        <v>Forward</v>
      </c>
    </row>
    <row r="487" spans="1:43" x14ac:dyDescent="0.35">
      <c r="A487" t="s">
        <v>359</v>
      </c>
      <c r="B487" t="s">
        <v>43</v>
      </c>
      <c r="C487" t="s">
        <v>1353</v>
      </c>
      <c r="D487">
        <v>1985</v>
      </c>
      <c r="E487">
        <v>32</v>
      </c>
      <c r="F487" t="s">
        <v>191</v>
      </c>
      <c r="G487" t="s">
        <v>45</v>
      </c>
      <c r="H487">
        <v>6600000</v>
      </c>
      <c r="I487">
        <v>6300000</v>
      </c>
      <c r="J487" t="s">
        <v>42</v>
      </c>
      <c r="K487">
        <v>16</v>
      </c>
      <c r="L487">
        <v>225</v>
      </c>
      <c r="M487">
        <v>1</v>
      </c>
      <c r="N487">
        <v>88</v>
      </c>
      <c r="O487">
        <v>0</v>
      </c>
      <c r="P487">
        <v>1</v>
      </c>
      <c r="Q487">
        <v>0</v>
      </c>
      <c r="R487">
        <v>15</v>
      </c>
      <c r="S487">
        <v>1</v>
      </c>
      <c r="T487">
        <v>2</v>
      </c>
      <c r="U487">
        <v>2</v>
      </c>
      <c r="V487">
        <v>0</v>
      </c>
      <c r="W487">
        <v>5</v>
      </c>
      <c r="X487">
        <v>1</v>
      </c>
      <c r="Y487">
        <v>0</v>
      </c>
      <c r="Z487">
        <v>0</v>
      </c>
      <c r="AA487">
        <v>2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4</v>
      </c>
      <c r="AI487">
        <v>0</v>
      </c>
      <c r="AJ487">
        <v>6</v>
      </c>
      <c r="AK487">
        <v>0</v>
      </c>
      <c r="AL487">
        <v>0</v>
      </c>
      <c r="AM487">
        <v>6</v>
      </c>
      <c r="AN487">
        <v>15</v>
      </c>
      <c r="AO487">
        <v>17</v>
      </c>
      <c r="AQ487" t="str">
        <f t="shared" si="7"/>
        <v>Forward</v>
      </c>
    </row>
    <row r="488" spans="1:43" x14ac:dyDescent="0.35">
      <c r="A488" t="s">
        <v>359</v>
      </c>
      <c r="B488" t="s">
        <v>46</v>
      </c>
      <c r="C488" t="s">
        <v>1354</v>
      </c>
      <c r="D488">
        <v>1985</v>
      </c>
      <c r="E488">
        <v>33</v>
      </c>
      <c r="F488" t="s">
        <v>191</v>
      </c>
      <c r="G488" t="s">
        <v>45</v>
      </c>
      <c r="H488">
        <v>6300000</v>
      </c>
      <c r="I488">
        <v>3150000</v>
      </c>
      <c r="J488" t="s">
        <v>42</v>
      </c>
      <c r="K488">
        <v>20</v>
      </c>
      <c r="L488">
        <v>684</v>
      </c>
      <c r="M488">
        <v>1</v>
      </c>
      <c r="N488">
        <v>223</v>
      </c>
      <c r="O488">
        <v>4</v>
      </c>
      <c r="P488">
        <v>2</v>
      </c>
      <c r="Q488">
        <v>0</v>
      </c>
      <c r="R488">
        <v>14</v>
      </c>
      <c r="S488">
        <v>3</v>
      </c>
      <c r="T488">
        <v>24</v>
      </c>
      <c r="U488">
        <v>5</v>
      </c>
      <c r="V488">
        <v>1</v>
      </c>
      <c r="W488">
        <v>9</v>
      </c>
      <c r="X488">
        <v>1</v>
      </c>
      <c r="Y488">
        <v>0</v>
      </c>
      <c r="Z488">
        <v>0</v>
      </c>
      <c r="AA488">
        <v>5</v>
      </c>
      <c r="AB488">
        <v>1</v>
      </c>
      <c r="AC488">
        <v>19</v>
      </c>
      <c r="AD488">
        <v>0</v>
      </c>
      <c r="AE488">
        <v>1</v>
      </c>
      <c r="AF488">
        <v>2</v>
      </c>
      <c r="AG488">
        <v>1</v>
      </c>
      <c r="AH488">
        <v>12</v>
      </c>
      <c r="AI488">
        <v>0</v>
      </c>
      <c r="AJ488">
        <v>4</v>
      </c>
      <c r="AK488">
        <v>0</v>
      </c>
      <c r="AL488">
        <v>1</v>
      </c>
      <c r="AM488">
        <v>10</v>
      </c>
      <c r="AN488">
        <v>54</v>
      </c>
      <c r="AO488">
        <v>50</v>
      </c>
      <c r="AQ488" t="str">
        <f t="shared" si="7"/>
        <v>Forward</v>
      </c>
    </row>
    <row r="489" spans="1:43" x14ac:dyDescent="0.35">
      <c r="A489" t="s">
        <v>360</v>
      </c>
      <c r="B489" t="s">
        <v>46</v>
      </c>
      <c r="C489" t="s">
        <v>1355</v>
      </c>
      <c r="D489">
        <v>1994</v>
      </c>
      <c r="E489">
        <v>24</v>
      </c>
      <c r="F489" t="s">
        <v>58</v>
      </c>
      <c r="G489" t="s">
        <v>361</v>
      </c>
      <c r="H489">
        <v>4500000</v>
      </c>
      <c r="I489">
        <v>6300000</v>
      </c>
      <c r="J489" t="s">
        <v>52</v>
      </c>
      <c r="K489">
        <v>24</v>
      </c>
      <c r="L489">
        <v>1840</v>
      </c>
      <c r="M489">
        <v>0</v>
      </c>
      <c r="N489">
        <v>726</v>
      </c>
      <c r="O489">
        <v>0</v>
      </c>
      <c r="P489">
        <v>1</v>
      </c>
      <c r="Q489">
        <v>0</v>
      </c>
      <c r="R489">
        <v>5</v>
      </c>
      <c r="S489">
        <v>3</v>
      </c>
      <c r="T489">
        <v>6</v>
      </c>
      <c r="U489">
        <v>2</v>
      </c>
      <c r="V489">
        <v>0</v>
      </c>
      <c r="W489">
        <v>11</v>
      </c>
      <c r="X489">
        <v>0</v>
      </c>
      <c r="Y489">
        <v>0</v>
      </c>
      <c r="Z489">
        <v>0</v>
      </c>
      <c r="AA489">
        <v>2</v>
      </c>
      <c r="AB489">
        <v>2</v>
      </c>
      <c r="AC489">
        <v>4</v>
      </c>
      <c r="AD489">
        <v>0</v>
      </c>
      <c r="AE489">
        <v>91</v>
      </c>
      <c r="AF489">
        <v>7</v>
      </c>
      <c r="AG489">
        <v>21</v>
      </c>
      <c r="AH489">
        <v>11</v>
      </c>
      <c r="AI489">
        <v>0</v>
      </c>
      <c r="AJ489">
        <v>30</v>
      </c>
      <c r="AK489">
        <v>1</v>
      </c>
      <c r="AL489">
        <v>0</v>
      </c>
      <c r="AM489">
        <v>27</v>
      </c>
      <c r="AN489">
        <v>23</v>
      </c>
      <c r="AO489">
        <v>23</v>
      </c>
      <c r="AQ489" t="str">
        <f t="shared" si="7"/>
        <v>Defensive Forward</v>
      </c>
    </row>
    <row r="490" spans="1:43" x14ac:dyDescent="0.35">
      <c r="A490" t="s">
        <v>360</v>
      </c>
      <c r="B490" t="s">
        <v>43</v>
      </c>
      <c r="C490" t="s">
        <v>1356</v>
      </c>
      <c r="D490">
        <v>1994</v>
      </c>
      <c r="E490">
        <v>23</v>
      </c>
      <c r="F490" t="s">
        <v>58</v>
      </c>
      <c r="G490" t="s">
        <v>361</v>
      </c>
      <c r="H490">
        <v>2250000</v>
      </c>
      <c r="I490">
        <v>4500000</v>
      </c>
      <c r="J490" t="s">
        <v>52</v>
      </c>
      <c r="K490">
        <v>23</v>
      </c>
      <c r="L490">
        <v>1672</v>
      </c>
      <c r="M490">
        <v>0</v>
      </c>
      <c r="N490">
        <v>618</v>
      </c>
      <c r="O490">
        <v>1</v>
      </c>
      <c r="P490">
        <v>3</v>
      </c>
      <c r="Q490">
        <v>0</v>
      </c>
      <c r="R490">
        <v>4</v>
      </c>
      <c r="S490">
        <v>3</v>
      </c>
      <c r="T490">
        <v>2</v>
      </c>
      <c r="U490">
        <v>2</v>
      </c>
      <c r="V490">
        <v>0</v>
      </c>
      <c r="W490">
        <v>16</v>
      </c>
      <c r="X490">
        <v>0</v>
      </c>
      <c r="Y490">
        <v>0</v>
      </c>
      <c r="Z490">
        <v>0</v>
      </c>
      <c r="AA490">
        <v>4</v>
      </c>
      <c r="AB490">
        <v>2</v>
      </c>
      <c r="AC490">
        <v>0</v>
      </c>
      <c r="AD490">
        <v>4</v>
      </c>
      <c r="AE490">
        <v>98</v>
      </c>
      <c r="AF490">
        <v>10</v>
      </c>
      <c r="AG490">
        <v>17</v>
      </c>
      <c r="AH490">
        <v>17</v>
      </c>
      <c r="AI490">
        <v>0</v>
      </c>
      <c r="AJ490">
        <v>21</v>
      </c>
      <c r="AK490">
        <v>0</v>
      </c>
      <c r="AL490">
        <v>0</v>
      </c>
      <c r="AM490">
        <v>38</v>
      </c>
      <c r="AN490">
        <v>15</v>
      </c>
      <c r="AO490">
        <v>22</v>
      </c>
      <c r="AQ490" t="str">
        <f t="shared" si="7"/>
        <v>Defensive Forward</v>
      </c>
    </row>
    <row r="491" spans="1:43" x14ac:dyDescent="0.35">
      <c r="A491" t="s">
        <v>362</v>
      </c>
      <c r="B491" t="s">
        <v>46</v>
      </c>
      <c r="C491" t="s">
        <v>1357</v>
      </c>
      <c r="D491">
        <v>1991</v>
      </c>
      <c r="E491">
        <v>27</v>
      </c>
      <c r="F491" t="s">
        <v>117</v>
      </c>
      <c r="G491" t="s">
        <v>67</v>
      </c>
      <c r="H491">
        <v>7200000</v>
      </c>
      <c r="I491">
        <v>7200000</v>
      </c>
      <c r="J491" t="s">
        <v>52</v>
      </c>
      <c r="K491">
        <v>12</v>
      </c>
      <c r="L491">
        <v>1055</v>
      </c>
      <c r="M491">
        <v>0</v>
      </c>
      <c r="N491">
        <v>563</v>
      </c>
      <c r="O491">
        <v>0</v>
      </c>
      <c r="P491">
        <v>0</v>
      </c>
      <c r="Q491">
        <v>0</v>
      </c>
      <c r="R491">
        <v>0</v>
      </c>
      <c r="S491">
        <v>1</v>
      </c>
      <c r="T491">
        <v>7</v>
      </c>
      <c r="U491">
        <v>2</v>
      </c>
      <c r="V491">
        <v>0</v>
      </c>
      <c r="W491">
        <v>28</v>
      </c>
      <c r="X491">
        <v>0</v>
      </c>
      <c r="Y491">
        <v>0</v>
      </c>
      <c r="Z491">
        <v>0</v>
      </c>
      <c r="AA491">
        <v>0</v>
      </c>
      <c r="AB491">
        <v>3</v>
      </c>
      <c r="AC491">
        <v>5</v>
      </c>
      <c r="AD491">
        <v>0</v>
      </c>
      <c r="AE491">
        <v>7</v>
      </c>
      <c r="AF491">
        <v>5</v>
      </c>
      <c r="AG491">
        <v>21</v>
      </c>
      <c r="AH491">
        <v>11</v>
      </c>
      <c r="AI491">
        <v>0</v>
      </c>
      <c r="AJ491">
        <v>25</v>
      </c>
      <c r="AK491">
        <v>0</v>
      </c>
      <c r="AL491">
        <v>0</v>
      </c>
      <c r="AM491">
        <v>44</v>
      </c>
      <c r="AN491">
        <v>31</v>
      </c>
      <c r="AO491">
        <v>17</v>
      </c>
      <c r="AQ491" t="str">
        <f t="shared" si="7"/>
        <v>Defensive Forward</v>
      </c>
    </row>
    <row r="492" spans="1:43" x14ac:dyDescent="0.35">
      <c r="A492" t="s">
        <v>362</v>
      </c>
      <c r="B492" t="s">
        <v>43</v>
      </c>
      <c r="C492" t="s">
        <v>1358</v>
      </c>
      <c r="D492">
        <v>1991</v>
      </c>
      <c r="E492">
        <v>26</v>
      </c>
      <c r="F492" t="s">
        <v>117</v>
      </c>
      <c r="G492" t="s">
        <v>67</v>
      </c>
      <c r="H492">
        <v>4500000</v>
      </c>
      <c r="I492">
        <v>7200000</v>
      </c>
      <c r="J492" t="s">
        <v>52</v>
      </c>
      <c r="K492">
        <v>24</v>
      </c>
      <c r="L492">
        <v>2104</v>
      </c>
      <c r="M492">
        <v>0</v>
      </c>
      <c r="N492">
        <v>1071</v>
      </c>
      <c r="O492">
        <v>2</v>
      </c>
      <c r="P492">
        <v>3</v>
      </c>
      <c r="Q492">
        <v>0</v>
      </c>
      <c r="R492">
        <v>0</v>
      </c>
      <c r="S492">
        <v>1</v>
      </c>
      <c r="T492">
        <v>13</v>
      </c>
      <c r="U492">
        <v>3</v>
      </c>
      <c r="V492">
        <v>0</v>
      </c>
      <c r="W492">
        <v>81</v>
      </c>
      <c r="X492">
        <v>0</v>
      </c>
      <c r="Y492">
        <v>0</v>
      </c>
      <c r="Z492">
        <v>0</v>
      </c>
      <c r="AA492">
        <v>2</v>
      </c>
      <c r="AB492">
        <v>2</v>
      </c>
      <c r="AC492">
        <v>10</v>
      </c>
      <c r="AD492">
        <v>0</v>
      </c>
      <c r="AE492">
        <v>4</v>
      </c>
      <c r="AF492">
        <v>15</v>
      </c>
      <c r="AG492">
        <v>46</v>
      </c>
      <c r="AH492">
        <v>17</v>
      </c>
      <c r="AI492">
        <v>1</v>
      </c>
      <c r="AJ492">
        <v>33</v>
      </c>
      <c r="AK492">
        <v>0</v>
      </c>
      <c r="AL492">
        <v>0</v>
      </c>
      <c r="AM492">
        <v>146</v>
      </c>
      <c r="AN492">
        <v>83</v>
      </c>
      <c r="AO492">
        <v>51</v>
      </c>
      <c r="AQ492" t="str">
        <f t="shared" si="7"/>
        <v>Defensive Forward</v>
      </c>
    </row>
    <row r="493" spans="1:43" x14ac:dyDescent="0.35">
      <c r="A493" t="s">
        <v>363</v>
      </c>
      <c r="B493" t="s">
        <v>39</v>
      </c>
      <c r="C493" t="s">
        <v>1359</v>
      </c>
      <c r="D493">
        <v>1993</v>
      </c>
      <c r="E493">
        <v>22</v>
      </c>
      <c r="F493" t="s">
        <v>117</v>
      </c>
      <c r="G493" t="s">
        <v>67</v>
      </c>
      <c r="H493">
        <v>13100000</v>
      </c>
      <c r="I493">
        <v>13100000</v>
      </c>
      <c r="J493" t="s">
        <v>42</v>
      </c>
      <c r="K493">
        <v>13</v>
      </c>
      <c r="L493">
        <v>420</v>
      </c>
      <c r="M493">
        <v>0</v>
      </c>
      <c r="N493">
        <v>172</v>
      </c>
      <c r="O493">
        <v>0</v>
      </c>
      <c r="P493">
        <v>1</v>
      </c>
      <c r="Q493">
        <v>0</v>
      </c>
      <c r="R493">
        <v>10</v>
      </c>
      <c r="S493">
        <v>3</v>
      </c>
      <c r="T493">
        <v>8</v>
      </c>
      <c r="U493">
        <v>1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2</v>
      </c>
      <c r="AC493">
        <v>0</v>
      </c>
      <c r="AD493">
        <v>16</v>
      </c>
      <c r="AE493">
        <v>47</v>
      </c>
      <c r="AF493">
        <v>0</v>
      </c>
      <c r="AG493">
        <v>7</v>
      </c>
      <c r="AH493">
        <v>5</v>
      </c>
      <c r="AI493">
        <v>0</v>
      </c>
      <c r="AJ493">
        <v>8</v>
      </c>
      <c r="AK493">
        <v>0</v>
      </c>
      <c r="AL493">
        <v>0</v>
      </c>
      <c r="AM493">
        <v>2</v>
      </c>
      <c r="AN493">
        <v>2</v>
      </c>
      <c r="AO493">
        <v>9</v>
      </c>
      <c r="AQ493" t="str">
        <f t="shared" si="7"/>
        <v>Forward</v>
      </c>
    </row>
    <row r="494" spans="1:43" x14ac:dyDescent="0.35">
      <c r="A494" t="s">
        <v>364</v>
      </c>
      <c r="B494" t="s">
        <v>46</v>
      </c>
      <c r="C494" t="s">
        <v>1360</v>
      </c>
      <c r="D494">
        <v>1993</v>
      </c>
      <c r="E494">
        <v>25</v>
      </c>
      <c r="F494" t="s">
        <v>134</v>
      </c>
      <c r="G494" t="s">
        <v>365</v>
      </c>
      <c r="H494">
        <v>6600000</v>
      </c>
      <c r="I494">
        <v>6600000</v>
      </c>
      <c r="J494" t="s">
        <v>42</v>
      </c>
      <c r="K494">
        <v>23</v>
      </c>
      <c r="L494">
        <v>873</v>
      </c>
      <c r="M494">
        <v>3</v>
      </c>
      <c r="N494">
        <v>165</v>
      </c>
      <c r="O494">
        <v>0</v>
      </c>
      <c r="P494">
        <v>5</v>
      </c>
      <c r="Q494">
        <v>0</v>
      </c>
      <c r="R494">
        <v>15</v>
      </c>
      <c r="S494">
        <v>8</v>
      </c>
      <c r="T494">
        <v>19</v>
      </c>
      <c r="U494">
        <v>8</v>
      </c>
      <c r="V494">
        <v>0</v>
      </c>
      <c r="W494">
        <v>5</v>
      </c>
      <c r="X494">
        <v>2</v>
      </c>
      <c r="Y494">
        <v>0</v>
      </c>
      <c r="Z494">
        <v>0</v>
      </c>
      <c r="AA494">
        <v>4</v>
      </c>
      <c r="AB494">
        <v>0</v>
      </c>
      <c r="AC494">
        <v>11</v>
      </c>
      <c r="AD494">
        <v>0</v>
      </c>
      <c r="AE494">
        <v>5</v>
      </c>
      <c r="AF494">
        <v>1</v>
      </c>
      <c r="AG494">
        <v>3</v>
      </c>
      <c r="AH494">
        <v>28</v>
      </c>
      <c r="AI494">
        <v>0</v>
      </c>
      <c r="AJ494">
        <v>10</v>
      </c>
      <c r="AK494">
        <v>0</v>
      </c>
      <c r="AL494">
        <v>0</v>
      </c>
      <c r="AM494">
        <v>12</v>
      </c>
      <c r="AN494">
        <v>37</v>
      </c>
      <c r="AO494">
        <v>73</v>
      </c>
      <c r="AQ494" t="str">
        <f t="shared" si="7"/>
        <v>Forward</v>
      </c>
    </row>
    <row r="495" spans="1:43" x14ac:dyDescent="0.35">
      <c r="A495" t="s">
        <v>366</v>
      </c>
      <c r="B495" t="s">
        <v>46</v>
      </c>
      <c r="C495" t="s">
        <v>1361</v>
      </c>
      <c r="D495">
        <v>1988</v>
      </c>
      <c r="E495">
        <v>29</v>
      </c>
      <c r="F495" t="s">
        <v>74</v>
      </c>
      <c r="G495" t="s">
        <v>334</v>
      </c>
      <c r="H495">
        <v>3300000</v>
      </c>
      <c r="I495">
        <v>2250000</v>
      </c>
      <c r="J495" t="s">
        <v>42</v>
      </c>
      <c r="K495">
        <v>16</v>
      </c>
      <c r="L495">
        <v>468</v>
      </c>
      <c r="M495">
        <v>1</v>
      </c>
      <c r="N495">
        <v>192</v>
      </c>
      <c r="O495">
        <v>0</v>
      </c>
      <c r="P495">
        <v>0</v>
      </c>
      <c r="Q495">
        <v>0</v>
      </c>
      <c r="R495">
        <v>13</v>
      </c>
      <c r="S495">
        <v>2</v>
      </c>
      <c r="T495">
        <v>7</v>
      </c>
      <c r="U495">
        <v>1</v>
      </c>
      <c r="V495">
        <v>0</v>
      </c>
      <c r="W495">
        <v>2</v>
      </c>
      <c r="X495">
        <v>0</v>
      </c>
      <c r="Y495">
        <v>0</v>
      </c>
      <c r="Z495">
        <v>0</v>
      </c>
      <c r="AA495">
        <v>4</v>
      </c>
      <c r="AB495">
        <v>0</v>
      </c>
      <c r="AC495">
        <v>6</v>
      </c>
      <c r="AD495">
        <v>2</v>
      </c>
      <c r="AE495">
        <v>6</v>
      </c>
      <c r="AF495">
        <v>1</v>
      </c>
      <c r="AG495">
        <v>7</v>
      </c>
      <c r="AH495">
        <v>6</v>
      </c>
      <c r="AI495">
        <v>0</v>
      </c>
      <c r="AJ495">
        <v>4</v>
      </c>
      <c r="AK495">
        <v>0</v>
      </c>
      <c r="AL495">
        <v>0</v>
      </c>
      <c r="AM495">
        <v>3</v>
      </c>
      <c r="AN495">
        <v>6</v>
      </c>
      <c r="AO495">
        <v>7</v>
      </c>
      <c r="AQ495" t="str">
        <f t="shared" si="7"/>
        <v>Forward</v>
      </c>
    </row>
    <row r="496" spans="1:43" x14ac:dyDescent="0.35">
      <c r="A496" t="s">
        <v>367</v>
      </c>
      <c r="B496" t="s">
        <v>43</v>
      </c>
      <c r="C496" t="s">
        <v>1362</v>
      </c>
      <c r="D496">
        <v>1995</v>
      </c>
      <c r="E496">
        <v>22</v>
      </c>
      <c r="F496" t="s">
        <v>99</v>
      </c>
      <c r="G496" t="s">
        <v>187</v>
      </c>
      <c r="H496">
        <v>7700000</v>
      </c>
      <c r="I496">
        <v>14300000</v>
      </c>
      <c r="J496" t="s">
        <v>55</v>
      </c>
      <c r="K496">
        <v>14</v>
      </c>
      <c r="L496">
        <v>583</v>
      </c>
      <c r="M496">
        <v>0</v>
      </c>
      <c r="N496">
        <v>227</v>
      </c>
      <c r="O496">
        <v>1</v>
      </c>
      <c r="P496">
        <v>1</v>
      </c>
      <c r="Q496">
        <v>0</v>
      </c>
      <c r="R496">
        <v>9</v>
      </c>
      <c r="S496">
        <v>4</v>
      </c>
      <c r="T496">
        <v>2</v>
      </c>
      <c r="U496">
        <v>2</v>
      </c>
      <c r="V496">
        <v>0</v>
      </c>
      <c r="W496">
        <v>5</v>
      </c>
      <c r="X496">
        <v>0</v>
      </c>
      <c r="Y496">
        <v>0</v>
      </c>
      <c r="Z496">
        <v>0</v>
      </c>
      <c r="AA496">
        <v>1</v>
      </c>
      <c r="AB496">
        <v>1</v>
      </c>
      <c r="AC496">
        <v>0</v>
      </c>
      <c r="AD496">
        <v>0</v>
      </c>
      <c r="AE496">
        <v>10</v>
      </c>
      <c r="AF496">
        <v>0</v>
      </c>
      <c r="AG496">
        <v>8</v>
      </c>
      <c r="AH496">
        <v>1</v>
      </c>
      <c r="AI496">
        <v>0</v>
      </c>
      <c r="AJ496">
        <v>9</v>
      </c>
      <c r="AK496">
        <v>0</v>
      </c>
      <c r="AL496">
        <v>0</v>
      </c>
      <c r="AM496">
        <v>7</v>
      </c>
      <c r="AN496">
        <v>14</v>
      </c>
      <c r="AO496">
        <v>11</v>
      </c>
      <c r="AQ496" t="str">
        <f t="shared" si="7"/>
        <v>Midfielder</v>
      </c>
    </row>
    <row r="497" spans="1:43" x14ac:dyDescent="0.35">
      <c r="A497" t="s">
        <v>368</v>
      </c>
      <c r="B497" t="s">
        <v>39</v>
      </c>
      <c r="C497" t="s">
        <v>1363</v>
      </c>
      <c r="D497">
        <v>1987</v>
      </c>
      <c r="E497">
        <v>27</v>
      </c>
      <c r="F497" t="s">
        <v>64</v>
      </c>
      <c r="G497" t="s">
        <v>51</v>
      </c>
      <c r="H497">
        <v>3850000</v>
      </c>
      <c r="I497">
        <v>2250000</v>
      </c>
      <c r="J497" t="s">
        <v>42</v>
      </c>
      <c r="K497">
        <v>11</v>
      </c>
      <c r="L497">
        <v>360</v>
      </c>
      <c r="M497">
        <v>0</v>
      </c>
      <c r="N497">
        <v>76</v>
      </c>
      <c r="O497">
        <v>0</v>
      </c>
      <c r="P497">
        <v>1</v>
      </c>
      <c r="Q497">
        <v>0</v>
      </c>
      <c r="R497">
        <v>7</v>
      </c>
      <c r="S497">
        <v>4</v>
      </c>
      <c r="T497">
        <v>4</v>
      </c>
      <c r="U497">
        <v>1</v>
      </c>
      <c r="V497">
        <v>0</v>
      </c>
      <c r="W497">
        <v>2</v>
      </c>
      <c r="X497">
        <v>0</v>
      </c>
      <c r="Y497">
        <v>0</v>
      </c>
      <c r="Z497">
        <v>0</v>
      </c>
      <c r="AA497">
        <v>6</v>
      </c>
      <c r="AB497">
        <v>0</v>
      </c>
      <c r="AC497">
        <v>2</v>
      </c>
      <c r="AD497">
        <v>0</v>
      </c>
      <c r="AE497">
        <v>3</v>
      </c>
      <c r="AF497">
        <v>0</v>
      </c>
      <c r="AG497">
        <v>4</v>
      </c>
      <c r="AH497">
        <v>8</v>
      </c>
      <c r="AI497">
        <v>0</v>
      </c>
      <c r="AJ497">
        <v>3</v>
      </c>
      <c r="AK497">
        <v>0</v>
      </c>
      <c r="AL497">
        <v>0</v>
      </c>
      <c r="AM497">
        <v>2</v>
      </c>
      <c r="AN497">
        <v>7</v>
      </c>
      <c r="AO497">
        <v>13</v>
      </c>
      <c r="AQ497" t="str">
        <f t="shared" si="7"/>
        <v>Forward</v>
      </c>
    </row>
    <row r="498" spans="1:43" x14ac:dyDescent="0.35">
      <c r="A498" t="s">
        <v>368</v>
      </c>
      <c r="B498" t="s">
        <v>47</v>
      </c>
      <c r="C498" t="s">
        <v>1364</v>
      </c>
      <c r="D498">
        <v>1987</v>
      </c>
      <c r="E498">
        <v>28</v>
      </c>
      <c r="F498" t="s">
        <v>64</v>
      </c>
      <c r="G498" t="s">
        <v>51</v>
      </c>
      <c r="H498">
        <v>2250000</v>
      </c>
      <c r="I498">
        <v>1800000</v>
      </c>
      <c r="J498" t="s">
        <v>42</v>
      </c>
      <c r="K498">
        <v>12</v>
      </c>
      <c r="L498">
        <v>154</v>
      </c>
      <c r="M498">
        <v>1</v>
      </c>
      <c r="N498">
        <v>46</v>
      </c>
      <c r="O498">
        <v>0</v>
      </c>
      <c r="P498">
        <v>0</v>
      </c>
      <c r="Q498">
        <v>0</v>
      </c>
      <c r="R498">
        <v>12</v>
      </c>
      <c r="S498">
        <v>0</v>
      </c>
      <c r="T498">
        <v>4</v>
      </c>
      <c r="U498">
        <v>1</v>
      </c>
      <c r="V498">
        <v>0</v>
      </c>
      <c r="W498">
        <v>1</v>
      </c>
      <c r="X498">
        <v>1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2</v>
      </c>
      <c r="AI498">
        <v>0</v>
      </c>
      <c r="AJ498">
        <v>3</v>
      </c>
      <c r="AK498">
        <v>0</v>
      </c>
      <c r="AL498">
        <v>0</v>
      </c>
      <c r="AM498">
        <v>2</v>
      </c>
      <c r="AN498">
        <v>3</v>
      </c>
      <c r="AO498">
        <v>8</v>
      </c>
      <c r="AQ498" t="str">
        <f t="shared" si="7"/>
        <v>Forward</v>
      </c>
    </row>
    <row r="499" spans="1:43" x14ac:dyDescent="0.35">
      <c r="A499" t="s">
        <v>369</v>
      </c>
      <c r="B499" t="s">
        <v>39</v>
      </c>
      <c r="C499" t="s">
        <v>1365</v>
      </c>
      <c r="D499">
        <v>1991</v>
      </c>
      <c r="E499">
        <v>24</v>
      </c>
      <c r="F499" t="s">
        <v>61</v>
      </c>
      <c r="G499" t="s">
        <v>67</v>
      </c>
      <c r="H499">
        <v>14300000</v>
      </c>
      <c r="I499">
        <v>16500000</v>
      </c>
      <c r="J499" t="s">
        <v>55</v>
      </c>
      <c r="K499">
        <v>26</v>
      </c>
      <c r="L499">
        <v>1646</v>
      </c>
      <c r="M499">
        <v>0</v>
      </c>
      <c r="N499">
        <v>1116</v>
      </c>
      <c r="O499">
        <v>0</v>
      </c>
      <c r="P499">
        <v>5</v>
      </c>
      <c r="Q499">
        <v>1</v>
      </c>
      <c r="R499">
        <v>5</v>
      </c>
      <c r="S499">
        <v>8</v>
      </c>
      <c r="T499">
        <v>8</v>
      </c>
      <c r="U499">
        <v>0</v>
      </c>
      <c r="V499">
        <v>0</v>
      </c>
      <c r="W499">
        <v>13</v>
      </c>
      <c r="X499">
        <v>0</v>
      </c>
      <c r="Y499">
        <v>0</v>
      </c>
      <c r="Z499">
        <v>0</v>
      </c>
      <c r="AA499">
        <v>0</v>
      </c>
      <c r="AB499">
        <v>3</v>
      </c>
      <c r="AC499">
        <v>0</v>
      </c>
      <c r="AD499">
        <v>0</v>
      </c>
      <c r="AE499">
        <v>2</v>
      </c>
      <c r="AF499">
        <v>7</v>
      </c>
      <c r="AG499">
        <v>76</v>
      </c>
      <c r="AH499">
        <v>24</v>
      </c>
      <c r="AI499">
        <v>0</v>
      </c>
      <c r="AJ499">
        <v>72</v>
      </c>
      <c r="AK499">
        <v>0</v>
      </c>
      <c r="AL499">
        <v>0</v>
      </c>
      <c r="AM499">
        <v>22</v>
      </c>
      <c r="AN499">
        <v>19</v>
      </c>
      <c r="AO499">
        <v>17</v>
      </c>
      <c r="AQ499" t="str">
        <f t="shared" si="7"/>
        <v>Midfielder</v>
      </c>
    </row>
    <row r="500" spans="1:43" x14ac:dyDescent="0.35">
      <c r="A500" t="s">
        <v>369</v>
      </c>
      <c r="B500" t="s">
        <v>47</v>
      </c>
      <c r="C500" t="s">
        <v>1366</v>
      </c>
      <c r="D500">
        <v>1991</v>
      </c>
      <c r="E500">
        <v>25</v>
      </c>
      <c r="F500" t="s">
        <v>61</v>
      </c>
      <c r="G500" t="s">
        <v>67</v>
      </c>
      <c r="H500">
        <v>55000000</v>
      </c>
      <c r="I500">
        <v>33000000</v>
      </c>
      <c r="J500" t="s">
        <v>55</v>
      </c>
      <c r="K500">
        <v>29</v>
      </c>
      <c r="L500">
        <v>1785</v>
      </c>
      <c r="M500">
        <v>0</v>
      </c>
      <c r="N500">
        <v>1180</v>
      </c>
      <c r="O500">
        <v>0</v>
      </c>
      <c r="P500">
        <v>5</v>
      </c>
      <c r="Q500">
        <v>0</v>
      </c>
      <c r="R500">
        <v>7</v>
      </c>
      <c r="S500">
        <v>13</v>
      </c>
      <c r="T500">
        <v>14</v>
      </c>
      <c r="U500">
        <v>3</v>
      </c>
      <c r="V500">
        <v>0</v>
      </c>
      <c r="W500">
        <v>22</v>
      </c>
      <c r="X500">
        <v>0</v>
      </c>
      <c r="Y500">
        <v>0</v>
      </c>
      <c r="Z500">
        <v>0</v>
      </c>
      <c r="AA500">
        <v>0</v>
      </c>
      <c r="AB500">
        <v>5</v>
      </c>
      <c r="AC500">
        <v>1</v>
      </c>
      <c r="AD500">
        <v>0</v>
      </c>
      <c r="AE500">
        <v>4</v>
      </c>
      <c r="AF500">
        <v>8</v>
      </c>
      <c r="AG500">
        <v>52</v>
      </c>
      <c r="AH500">
        <v>33</v>
      </c>
      <c r="AI500">
        <v>0</v>
      </c>
      <c r="AJ500">
        <v>71</v>
      </c>
      <c r="AK500">
        <v>0</v>
      </c>
      <c r="AL500">
        <v>0</v>
      </c>
      <c r="AM500">
        <v>32</v>
      </c>
      <c r="AN500">
        <v>36</v>
      </c>
      <c r="AO500">
        <v>17</v>
      </c>
      <c r="AQ500" t="str">
        <f t="shared" si="7"/>
        <v>Midfielder</v>
      </c>
    </row>
    <row r="501" spans="1:43" x14ac:dyDescent="0.35">
      <c r="A501" t="s">
        <v>370</v>
      </c>
      <c r="B501" t="s">
        <v>46</v>
      </c>
      <c r="C501" t="s">
        <v>1367</v>
      </c>
      <c r="D501">
        <v>1993</v>
      </c>
      <c r="E501">
        <v>25</v>
      </c>
      <c r="F501" t="s">
        <v>129</v>
      </c>
      <c r="G501" t="s">
        <v>154</v>
      </c>
      <c r="H501">
        <v>2500000</v>
      </c>
      <c r="I501">
        <v>2000000</v>
      </c>
      <c r="J501" t="s">
        <v>55</v>
      </c>
      <c r="K501">
        <v>17</v>
      </c>
      <c r="L501">
        <v>1042</v>
      </c>
      <c r="M501">
        <v>1</v>
      </c>
      <c r="N501">
        <v>769</v>
      </c>
      <c r="O501">
        <v>1</v>
      </c>
      <c r="P501">
        <v>2</v>
      </c>
      <c r="Q501">
        <v>0</v>
      </c>
      <c r="R501">
        <v>4</v>
      </c>
      <c r="S501">
        <v>8</v>
      </c>
      <c r="T501">
        <v>17</v>
      </c>
      <c r="U501">
        <v>2</v>
      </c>
      <c r="V501">
        <v>2</v>
      </c>
      <c r="W501">
        <v>2</v>
      </c>
      <c r="X501">
        <v>0</v>
      </c>
      <c r="Y501">
        <v>0</v>
      </c>
      <c r="Z501">
        <v>0</v>
      </c>
      <c r="AA501">
        <v>1</v>
      </c>
      <c r="AB501">
        <v>3</v>
      </c>
      <c r="AC501">
        <v>15</v>
      </c>
      <c r="AD501">
        <v>4</v>
      </c>
      <c r="AE501">
        <v>13</v>
      </c>
      <c r="AF501">
        <v>2</v>
      </c>
      <c r="AG501">
        <v>16</v>
      </c>
      <c r="AH501">
        <v>25</v>
      </c>
      <c r="AI501">
        <v>0</v>
      </c>
      <c r="AJ501">
        <v>29</v>
      </c>
      <c r="AK501">
        <v>1</v>
      </c>
      <c r="AL501">
        <v>0</v>
      </c>
      <c r="AM501">
        <v>8</v>
      </c>
      <c r="AN501">
        <v>3</v>
      </c>
      <c r="AO501">
        <v>13</v>
      </c>
      <c r="AQ501" t="str">
        <f t="shared" si="7"/>
        <v>Midfielder</v>
      </c>
    </row>
    <row r="502" spans="1:43" x14ac:dyDescent="0.35">
      <c r="A502" t="s">
        <v>371</v>
      </c>
      <c r="B502" t="s">
        <v>39</v>
      </c>
      <c r="C502" t="s">
        <v>1368</v>
      </c>
      <c r="D502">
        <v>1985</v>
      </c>
      <c r="E502">
        <v>30</v>
      </c>
      <c r="F502" t="s">
        <v>114</v>
      </c>
      <c r="G502" t="s">
        <v>67</v>
      </c>
      <c r="H502">
        <v>9900000</v>
      </c>
      <c r="I502">
        <v>8100000</v>
      </c>
      <c r="J502" t="s">
        <v>52</v>
      </c>
      <c r="K502">
        <v>14</v>
      </c>
      <c r="L502">
        <v>1088</v>
      </c>
      <c r="M502">
        <v>0</v>
      </c>
      <c r="N502">
        <v>693</v>
      </c>
      <c r="O502">
        <v>0</v>
      </c>
      <c r="P502">
        <v>0</v>
      </c>
      <c r="Q502">
        <v>0</v>
      </c>
      <c r="R502">
        <v>2</v>
      </c>
      <c r="S502">
        <v>2</v>
      </c>
      <c r="T502">
        <v>2</v>
      </c>
      <c r="U502">
        <v>0</v>
      </c>
      <c r="V502">
        <v>1</v>
      </c>
      <c r="W502">
        <v>17</v>
      </c>
      <c r="X502">
        <v>0</v>
      </c>
      <c r="Y502">
        <v>0</v>
      </c>
      <c r="Z502">
        <v>0</v>
      </c>
      <c r="AA502">
        <v>0</v>
      </c>
      <c r="AB502">
        <v>1</v>
      </c>
      <c r="AC502">
        <v>0</v>
      </c>
      <c r="AD502">
        <v>0</v>
      </c>
      <c r="AE502">
        <v>27</v>
      </c>
      <c r="AF502">
        <v>3</v>
      </c>
      <c r="AG502">
        <v>50</v>
      </c>
      <c r="AH502">
        <v>10</v>
      </c>
      <c r="AI502">
        <v>0</v>
      </c>
      <c r="AJ502">
        <v>28</v>
      </c>
      <c r="AK502">
        <v>0</v>
      </c>
      <c r="AL502">
        <v>0</v>
      </c>
      <c r="AM502">
        <v>40</v>
      </c>
      <c r="AN502">
        <v>12</v>
      </c>
      <c r="AO502">
        <v>9</v>
      </c>
      <c r="AQ502" t="str">
        <f t="shared" si="7"/>
        <v>Defensive Forward</v>
      </c>
    </row>
    <row r="503" spans="1:43" x14ac:dyDescent="0.35">
      <c r="A503" t="s">
        <v>371</v>
      </c>
      <c r="B503" t="s">
        <v>47</v>
      </c>
      <c r="C503" t="s">
        <v>1369</v>
      </c>
      <c r="D503">
        <v>1985</v>
      </c>
      <c r="E503">
        <v>31</v>
      </c>
      <c r="F503" t="s">
        <v>114</v>
      </c>
      <c r="G503" t="s">
        <v>67</v>
      </c>
      <c r="H503">
        <v>8100000</v>
      </c>
      <c r="I503">
        <v>6300000</v>
      </c>
      <c r="J503" t="s">
        <v>52</v>
      </c>
      <c r="K503">
        <v>25</v>
      </c>
      <c r="L503">
        <v>2125</v>
      </c>
      <c r="M503">
        <v>1</v>
      </c>
      <c r="N503">
        <v>1454</v>
      </c>
      <c r="O503">
        <v>0</v>
      </c>
      <c r="P503">
        <v>2</v>
      </c>
      <c r="Q503">
        <v>0</v>
      </c>
      <c r="R503">
        <v>1</v>
      </c>
      <c r="S503">
        <v>3</v>
      </c>
      <c r="T503">
        <v>2</v>
      </c>
      <c r="U503">
        <v>1</v>
      </c>
      <c r="V503">
        <v>0</v>
      </c>
      <c r="W503">
        <v>45</v>
      </c>
      <c r="X503">
        <v>0</v>
      </c>
      <c r="Y503">
        <v>0</v>
      </c>
      <c r="Z503">
        <v>0</v>
      </c>
      <c r="AA503">
        <v>1</v>
      </c>
      <c r="AB503">
        <v>3</v>
      </c>
      <c r="AC503">
        <v>0</v>
      </c>
      <c r="AD503">
        <v>0</v>
      </c>
      <c r="AE503">
        <v>26</v>
      </c>
      <c r="AF503">
        <v>2</v>
      </c>
      <c r="AG503">
        <v>53</v>
      </c>
      <c r="AH503">
        <v>12</v>
      </c>
      <c r="AI503">
        <v>0</v>
      </c>
      <c r="AJ503">
        <v>44</v>
      </c>
      <c r="AK503">
        <v>0</v>
      </c>
      <c r="AL503">
        <v>0</v>
      </c>
      <c r="AM503">
        <v>86</v>
      </c>
      <c r="AN503">
        <v>30</v>
      </c>
      <c r="AO503">
        <v>40</v>
      </c>
      <c r="AQ503" t="str">
        <f t="shared" si="7"/>
        <v>Defensive Forward</v>
      </c>
    </row>
    <row r="504" spans="1:43" x14ac:dyDescent="0.35">
      <c r="A504" t="s">
        <v>372</v>
      </c>
      <c r="B504" t="s">
        <v>43</v>
      </c>
      <c r="C504" t="s">
        <v>1370</v>
      </c>
      <c r="D504">
        <v>1988</v>
      </c>
      <c r="E504">
        <v>29</v>
      </c>
      <c r="F504" t="s">
        <v>134</v>
      </c>
      <c r="G504" t="s">
        <v>126</v>
      </c>
      <c r="H504">
        <v>1350000</v>
      </c>
      <c r="I504">
        <v>1350000</v>
      </c>
      <c r="J504" t="s">
        <v>52</v>
      </c>
      <c r="K504">
        <v>25</v>
      </c>
      <c r="L504">
        <v>2238</v>
      </c>
      <c r="M504">
        <v>0</v>
      </c>
      <c r="N504">
        <v>772</v>
      </c>
      <c r="O504">
        <v>0</v>
      </c>
      <c r="P504">
        <v>2</v>
      </c>
      <c r="Q504">
        <v>0</v>
      </c>
      <c r="R504">
        <v>0</v>
      </c>
      <c r="S504">
        <v>2</v>
      </c>
      <c r="T504">
        <v>1</v>
      </c>
      <c r="U504">
        <v>1</v>
      </c>
      <c r="V504">
        <v>0</v>
      </c>
      <c r="W504">
        <v>37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53</v>
      </c>
      <c r="AF504">
        <v>6</v>
      </c>
      <c r="AG504">
        <v>40</v>
      </c>
      <c r="AH504">
        <v>16</v>
      </c>
      <c r="AI504">
        <v>0</v>
      </c>
      <c r="AJ504">
        <v>39</v>
      </c>
      <c r="AK504">
        <v>1</v>
      </c>
      <c r="AL504">
        <v>1</v>
      </c>
      <c r="AM504">
        <v>71</v>
      </c>
      <c r="AN504">
        <v>30</v>
      </c>
      <c r="AO504">
        <v>28</v>
      </c>
      <c r="AQ504" t="str">
        <f t="shared" si="7"/>
        <v>Defensive Forward</v>
      </c>
    </row>
    <row r="505" spans="1:43" x14ac:dyDescent="0.35">
      <c r="A505" t="s">
        <v>372</v>
      </c>
      <c r="B505" t="s">
        <v>46</v>
      </c>
      <c r="C505" t="s">
        <v>1371</v>
      </c>
      <c r="D505">
        <v>1988</v>
      </c>
      <c r="E505">
        <v>30</v>
      </c>
      <c r="F505" t="s">
        <v>134</v>
      </c>
      <c r="G505" t="s">
        <v>126</v>
      </c>
      <c r="H505">
        <v>1350000</v>
      </c>
      <c r="I505">
        <v>1800000</v>
      </c>
      <c r="J505" t="s">
        <v>52</v>
      </c>
      <c r="K505">
        <v>22</v>
      </c>
      <c r="L505">
        <v>1805</v>
      </c>
      <c r="M505">
        <v>0</v>
      </c>
      <c r="N505">
        <v>602</v>
      </c>
      <c r="O505">
        <v>0</v>
      </c>
      <c r="P505">
        <v>0</v>
      </c>
      <c r="Q505">
        <v>0</v>
      </c>
      <c r="R505">
        <v>3</v>
      </c>
      <c r="S505">
        <v>0</v>
      </c>
      <c r="T505">
        <v>2</v>
      </c>
      <c r="U505">
        <v>0</v>
      </c>
      <c r="V505">
        <v>0</v>
      </c>
      <c r="W505">
        <v>16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2</v>
      </c>
      <c r="AD505">
        <v>0</v>
      </c>
      <c r="AE505">
        <v>57</v>
      </c>
      <c r="AF505">
        <v>6</v>
      </c>
      <c r="AG505">
        <v>25</v>
      </c>
      <c r="AH505">
        <v>11</v>
      </c>
      <c r="AI505">
        <v>0</v>
      </c>
      <c r="AJ505">
        <v>16</v>
      </c>
      <c r="AK505">
        <v>0</v>
      </c>
      <c r="AL505">
        <v>0</v>
      </c>
      <c r="AM505">
        <v>45</v>
      </c>
      <c r="AN505">
        <v>24</v>
      </c>
      <c r="AO505">
        <v>32</v>
      </c>
      <c r="AQ505" t="str">
        <f t="shared" si="7"/>
        <v>Defensive Forward</v>
      </c>
    </row>
    <row r="506" spans="1:43" x14ac:dyDescent="0.35">
      <c r="A506" t="s">
        <v>373</v>
      </c>
      <c r="B506" t="s">
        <v>39</v>
      </c>
      <c r="C506" t="s">
        <v>1372</v>
      </c>
      <c r="D506">
        <v>1986</v>
      </c>
      <c r="E506">
        <v>29</v>
      </c>
      <c r="F506" t="s">
        <v>89</v>
      </c>
      <c r="G506" t="s">
        <v>51</v>
      </c>
      <c r="H506">
        <v>4400000</v>
      </c>
      <c r="I506">
        <v>2250000</v>
      </c>
      <c r="J506" t="s">
        <v>42</v>
      </c>
      <c r="K506">
        <v>15</v>
      </c>
      <c r="L506">
        <v>1036</v>
      </c>
      <c r="M506">
        <v>1</v>
      </c>
      <c r="N506">
        <v>223</v>
      </c>
      <c r="O506">
        <v>2</v>
      </c>
      <c r="P506">
        <v>0</v>
      </c>
      <c r="Q506">
        <v>0</v>
      </c>
      <c r="R506">
        <v>2</v>
      </c>
      <c r="S506">
        <v>7</v>
      </c>
      <c r="T506">
        <v>10</v>
      </c>
      <c r="U506">
        <v>6</v>
      </c>
      <c r="V506">
        <v>0</v>
      </c>
      <c r="W506">
        <v>2</v>
      </c>
      <c r="X506">
        <v>0</v>
      </c>
      <c r="Y506">
        <v>0</v>
      </c>
      <c r="Z506">
        <v>0</v>
      </c>
      <c r="AA506">
        <v>3</v>
      </c>
      <c r="AB506">
        <v>0</v>
      </c>
      <c r="AC506">
        <v>1</v>
      </c>
      <c r="AD506">
        <v>0</v>
      </c>
      <c r="AE506">
        <v>12</v>
      </c>
      <c r="AF506">
        <v>1</v>
      </c>
      <c r="AG506">
        <v>2</v>
      </c>
      <c r="AH506">
        <v>21</v>
      </c>
      <c r="AI506">
        <v>0</v>
      </c>
      <c r="AJ506">
        <v>6</v>
      </c>
      <c r="AK506">
        <v>0</v>
      </c>
      <c r="AL506">
        <v>0</v>
      </c>
      <c r="AM506">
        <v>9</v>
      </c>
      <c r="AN506">
        <v>26</v>
      </c>
      <c r="AO506">
        <v>49</v>
      </c>
      <c r="AQ506" t="str">
        <f t="shared" si="7"/>
        <v>Forward</v>
      </c>
    </row>
    <row r="507" spans="1:43" x14ac:dyDescent="0.35">
      <c r="A507" t="s">
        <v>374</v>
      </c>
      <c r="B507" t="s">
        <v>47</v>
      </c>
      <c r="C507" t="s">
        <v>1373</v>
      </c>
      <c r="D507">
        <v>1997</v>
      </c>
      <c r="E507">
        <v>19</v>
      </c>
      <c r="F507" t="s">
        <v>114</v>
      </c>
      <c r="G507" t="s">
        <v>154</v>
      </c>
      <c r="H507">
        <v>8800000</v>
      </c>
      <c r="I507">
        <v>27000000</v>
      </c>
      <c r="J507" t="s">
        <v>42</v>
      </c>
      <c r="K507">
        <v>10</v>
      </c>
      <c r="L507">
        <v>650</v>
      </c>
      <c r="M507">
        <v>7</v>
      </c>
      <c r="N507">
        <v>242</v>
      </c>
      <c r="O507">
        <v>4</v>
      </c>
      <c r="P507">
        <v>2</v>
      </c>
      <c r="Q507">
        <v>0</v>
      </c>
      <c r="R507">
        <v>2</v>
      </c>
      <c r="S507">
        <v>3</v>
      </c>
      <c r="T507">
        <v>24</v>
      </c>
      <c r="U507">
        <v>13</v>
      </c>
      <c r="V507">
        <v>0</v>
      </c>
      <c r="W507">
        <v>0</v>
      </c>
      <c r="X507">
        <v>1</v>
      </c>
      <c r="Y507">
        <v>1</v>
      </c>
      <c r="Z507">
        <v>0</v>
      </c>
      <c r="AA507">
        <v>9</v>
      </c>
      <c r="AB507">
        <v>2</v>
      </c>
      <c r="AC507">
        <v>3</v>
      </c>
      <c r="AD507">
        <v>0</v>
      </c>
      <c r="AE507">
        <v>2</v>
      </c>
      <c r="AF507">
        <v>0</v>
      </c>
      <c r="AG507">
        <v>2</v>
      </c>
      <c r="AH507">
        <v>11</v>
      </c>
      <c r="AI507">
        <v>0</v>
      </c>
      <c r="AJ507">
        <v>5</v>
      </c>
      <c r="AK507">
        <v>0</v>
      </c>
      <c r="AL507">
        <v>0</v>
      </c>
      <c r="AM507">
        <v>1</v>
      </c>
      <c r="AN507">
        <v>8</v>
      </c>
      <c r="AO507">
        <v>14</v>
      </c>
      <c r="AQ507" t="str">
        <f t="shared" si="7"/>
        <v>Forward</v>
      </c>
    </row>
    <row r="508" spans="1:43" x14ac:dyDescent="0.35">
      <c r="A508" t="s">
        <v>374</v>
      </c>
      <c r="B508" t="s">
        <v>43</v>
      </c>
      <c r="C508" t="s">
        <v>1374</v>
      </c>
      <c r="D508">
        <v>1997</v>
      </c>
      <c r="E508">
        <v>20</v>
      </c>
      <c r="F508" t="s">
        <v>114</v>
      </c>
      <c r="G508" t="s">
        <v>154</v>
      </c>
      <c r="H508">
        <v>27000000</v>
      </c>
      <c r="I508">
        <v>72000000</v>
      </c>
      <c r="J508" t="s">
        <v>42</v>
      </c>
      <c r="K508">
        <v>29</v>
      </c>
      <c r="L508">
        <v>1671</v>
      </c>
      <c r="M508">
        <v>13</v>
      </c>
      <c r="N508">
        <v>591</v>
      </c>
      <c r="O508">
        <v>3</v>
      </c>
      <c r="P508">
        <v>6</v>
      </c>
      <c r="Q508">
        <v>0</v>
      </c>
      <c r="R508">
        <v>10</v>
      </c>
      <c r="S508">
        <v>14</v>
      </c>
      <c r="T508">
        <v>56</v>
      </c>
      <c r="U508">
        <v>33</v>
      </c>
      <c r="V508">
        <v>3</v>
      </c>
      <c r="W508">
        <v>4</v>
      </c>
      <c r="X508">
        <v>3</v>
      </c>
      <c r="Y508">
        <v>0</v>
      </c>
      <c r="Z508">
        <v>0</v>
      </c>
      <c r="AA508">
        <v>15</v>
      </c>
      <c r="AB508">
        <v>7</v>
      </c>
      <c r="AC508">
        <v>23</v>
      </c>
      <c r="AD508">
        <v>0</v>
      </c>
      <c r="AE508">
        <v>2</v>
      </c>
      <c r="AF508">
        <v>0</v>
      </c>
      <c r="AG508">
        <v>8</v>
      </c>
      <c r="AH508">
        <v>28</v>
      </c>
      <c r="AI508">
        <v>0</v>
      </c>
      <c r="AJ508">
        <v>23</v>
      </c>
      <c r="AK508">
        <v>0</v>
      </c>
      <c r="AL508">
        <v>0</v>
      </c>
      <c r="AM508">
        <v>6</v>
      </c>
      <c r="AN508">
        <v>21</v>
      </c>
      <c r="AO508">
        <v>45</v>
      </c>
      <c r="AQ508" t="str">
        <f t="shared" si="7"/>
        <v>Forward</v>
      </c>
    </row>
    <row r="509" spans="1:43" x14ac:dyDescent="0.35">
      <c r="A509" t="s">
        <v>374</v>
      </c>
      <c r="B509" t="s">
        <v>46</v>
      </c>
      <c r="C509" t="s">
        <v>1375</v>
      </c>
      <c r="D509">
        <v>1997</v>
      </c>
      <c r="E509">
        <v>21</v>
      </c>
      <c r="F509" t="s">
        <v>114</v>
      </c>
      <c r="G509" t="s">
        <v>154</v>
      </c>
      <c r="H509">
        <v>72000000</v>
      </c>
      <c r="I509">
        <v>63000000</v>
      </c>
      <c r="J509" t="s">
        <v>42</v>
      </c>
      <c r="K509">
        <v>29</v>
      </c>
      <c r="L509">
        <v>1021</v>
      </c>
      <c r="M509">
        <v>7</v>
      </c>
      <c r="N509">
        <v>357</v>
      </c>
      <c r="O509">
        <v>3</v>
      </c>
      <c r="P509">
        <v>1</v>
      </c>
      <c r="Q509">
        <v>0</v>
      </c>
      <c r="R509">
        <v>21</v>
      </c>
      <c r="S509">
        <v>4</v>
      </c>
      <c r="T509">
        <v>43</v>
      </c>
      <c r="U509">
        <v>25</v>
      </c>
      <c r="V509">
        <v>1</v>
      </c>
      <c r="W509">
        <v>2</v>
      </c>
      <c r="X509">
        <v>2</v>
      </c>
      <c r="Y509">
        <v>0</v>
      </c>
      <c r="Z509">
        <v>0</v>
      </c>
      <c r="AA509">
        <v>13</v>
      </c>
      <c r="AB509">
        <v>2</v>
      </c>
      <c r="AC509">
        <v>18</v>
      </c>
      <c r="AD509">
        <v>0</v>
      </c>
      <c r="AE509">
        <v>4</v>
      </c>
      <c r="AF509">
        <v>2</v>
      </c>
      <c r="AG509">
        <v>3</v>
      </c>
      <c r="AH509">
        <v>12</v>
      </c>
      <c r="AI509">
        <v>0</v>
      </c>
      <c r="AJ509">
        <v>10</v>
      </c>
      <c r="AK509">
        <v>0</v>
      </c>
      <c r="AL509">
        <v>0</v>
      </c>
      <c r="AM509">
        <v>3</v>
      </c>
      <c r="AN509">
        <v>15</v>
      </c>
      <c r="AO509">
        <v>40</v>
      </c>
      <c r="AQ509" t="str">
        <f t="shared" si="7"/>
        <v>Forward</v>
      </c>
    </row>
    <row r="510" spans="1:43" x14ac:dyDescent="0.35">
      <c r="A510" t="s">
        <v>375</v>
      </c>
      <c r="B510" t="s">
        <v>39</v>
      </c>
      <c r="C510" t="s">
        <v>1376</v>
      </c>
      <c r="D510">
        <v>1990</v>
      </c>
      <c r="E510">
        <v>24</v>
      </c>
      <c r="F510" t="s">
        <v>61</v>
      </c>
      <c r="G510" t="s">
        <v>154</v>
      </c>
      <c r="H510">
        <v>10800000</v>
      </c>
      <c r="I510">
        <v>10800000</v>
      </c>
      <c r="J510" t="s">
        <v>52</v>
      </c>
      <c r="K510">
        <v>21</v>
      </c>
      <c r="L510">
        <v>1761</v>
      </c>
      <c r="M510">
        <v>1</v>
      </c>
      <c r="N510">
        <v>1110</v>
      </c>
      <c r="O510">
        <v>0</v>
      </c>
      <c r="P510">
        <v>4</v>
      </c>
      <c r="Q510">
        <v>1</v>
      </c>
      <c r="R510">
        <v>3</v>
      </c>
      <c r="S510">
        <v>0</v>
      </c>
      <c r="T510">
        <v>11</v>
      </c>
      <c r="U510">
        <v>4</v>
      </c>
      <c r="V510">
        <v>1</v>
      </c>
      <c r="W510">
        <v>48</v>
      </c>
      <c r="X510">
        <v>1</v>
      </c>
      <c r="Y510">
        <v>0</v>
      </c>
      <c r="Z510">
        <v>0</v>
      </c>
      <c r="AA510">
        <v>0</v>
      </c>
      <c r="AB510">
        <v>1</v>
      </c>
      <c r="AC510">
        <v>0</v>
      </c>
      <c r="AD510">
        <v>0</v>
      </c>
      <c r="AE510">
        <v>0</v>
      </c>
      <c r="AF510">
        <v>13</v>
      </c>
      <c r="AG510">
        <v>61</v>
      </c>
      <c r="AH510">
        <v>9</v>
      </c>
      <c r="AI510">
        <v>3</v>
      </c>
      <c r="AJ510">
        <v>43</v>
      </c>
      <c r="AK510">
        <v>0</v>
      </c>
      <c r="AL510">
        <v>0</v>
      </c>
      <c r="AM510">
        <v>112</v>
      </c>
      <c r="AN510">
        <v>51</v>
      </c>
      <c r="AO510">
        <v>32</v>
      </c>
      <c r="AQ510" t="str">
        <f t="shared" si="7"/>
        <v>Defensive Forward</v>
      </c>
    </row>
    <row r="511" spans="1:43" x14ac:dyDescent="0.35">
      <c r="A511" t="s">
        <v>375</v>
      </c>
      <c r="B511" t="s">
        <v>47</v>
      </c>
      <c r="C511" t="s">
        <v>1377</v>
      </c>
      <c r="D511">
        <v>1990</v>
      </c>
      <c r="E511">
        <v>25</v>
      </c>
      <c r="F511" t="s">
        <v>61</v>
      </c>
      <c r="G511" t="s">
        <v>154</v>
      </c>
      <c r="H511">
        <v>10800000</v>
      </c>
      <c r="I511">
        <v>11700000</v>
      </c>
      <c r="J511" t="s">
        <v>52</v>
      </c>
      <c r="K511">
        <v>19</v>
      </c>
      <c r="L511">
        <v>1516</v>
      </c>
      <c r="M511">
        <v>0</v>
      </c>
      <c r="N511">
        <v>872</v>
      </c>
      <c r="O511">
        <v>0</v>
      </c>
      <c r="P511">
        <v>6</v>
      </c>
      <c r="Q511">
        <v>0</v>
      </c>
      <c r="R511">
        <v>4</v>
      </c>
      <c r="S511">
        <v>2</v>
      </c>
      <c r="T511">
        <v>9</v>
      </c>
      <c r="U511">
        <v>2</v>
      </c>
      <c r="V511">
        <v>0</v>
      </c>
      <c r="W511">
        <v>48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0</v>
      </c>
      <c r="AE511">
        <v>8</v>
      </c>
      <c r="AF511">
        <v>9</v>
      </c>
      <c r="AG511">
        <v>30</v>
      </c>
      <c r="AH511">
        <v>20</v>
      </c>
      <c r="AI511">
        <v>0</v>
      </c>
      <c r="AJ511">
        <v>25</v>
      </c>
      <c r="AK511">
        <v>0</v>
      </c>
      <c r="AL511">
        <v>0</v>
      </c>
      <c r="AM511">
        <v>85</v>
      </c>
      <c r="AN511">
        <v>49</v>
      </c>
      <c r="AO511">
        <v>39</v>
      </c>
      <c r="AQ511" t="str">
        <f t="shared" si="7"/>
        <v>Defensive Forward</v>
      </c>
    </row>
    <row r="512" spans="1:43" x14ac:dyDescent="0.35">
      <c r="A512" t="s">
        <v>376</v>
      </c>
      <c r="B512" t="s">
        <v>39</v>
      </c>
      <c r="C512" t="s">
        <v>1378</v>
      </c>
      <c r="D512">
        <v>1981</v>
      </c>
      <c r="E512">
        <v>34</v>
      </c>
      <c r="F512" t="s">
        <v>54</v>
      </c>
      <c r="G512" t="s">
        <v>51</v>
      </c>
      <c r="H512">
        <v>2000000</v>
      </c>
      <c r="I512">
        <v>1500000</v>
      </c>
      <c r="J512" t="s">
        <v>55</v>
      </c>
      <c r="K512">
        <v>33</v>
      </c>
      <c r="L512">
        <v>2835</v>
      </c>
      <c r="M512">
        <v>0</v>
      </c>
      <c r="N512">
        <v>2061</v>
      </c>
      <c r="O512">
        <v>0</v>
      </c>
      <c r="P512">
        <v>5</v>
      </c>
      <c r="Q512">
        <v>1</v>
      </c>
      <c r="R512">
        <v>1</v>
      </c>
      <c r="S512">
        <v>1</v>
      </c>
      <c r="T512">
        <v>15</v>
      </c>
      <c r="U512">
        <v>4</v>
      </c>
      <c r="V512">
        <v>0</v>
      </c>
      <c r="W512">
        <v>37</v>
      </c>
      <c r="X512">
        <v>0</v>
      </c>
      <c r="Y512">
        <v>0</v>
      </c>
      <c r="Z512">
        <v>0</v>
      </c>
      <c r="AA512">
        <v>1</v>
      </c>
      <c r="AB512">
        <v>5</v>
      </c>
      <c r="AC512">
        <v>1</v>
      </c>
      <c r="AD512">
        <v>8</v>
      </c>
      <c r="AE512">
        <v>33</v>
      </c>
      <c r="AF512">
        <v>24</v>
      </c>
      <c r="AG512">
        <v>54</v>
      </c>
      <c r="AH512">
        <v>42</v>
      </c>
      <c r="AI512">
        <v>0</v>
      </c>
      <c r="AJ512">
        <v>96</v>
      </c>
      <c r="AK512">
        <v>1</v>
      </c>
      <c r="AL512">
        <v>0</v>
      </c>
      <c r="AM512">
        <v>79</v>
      </c>
      <c r="AN512">
        <v>56</v>
      </c>
      <c r="AO512">
        <v>27</v>
      </c>
      <c r="AQ512" t="str">
        <f t="shared" si="7"/>
        <v>Midfielder</v>
      </c>
    </row>
    <row r="513" spans="1:43" x14ac:dyDescent="0.35">
      <c r="A513" t="s">
        <v>376</v>
      </c>
      <c r="B513" t="s">
        <v>47</v>
      </c>
      <c r="C513" t="s">
        <v>1379</v>
      </c>
      <c r="D513">
        <v>1981</v>
      </c>
      <c r="E513">
        <v>35</v>
      </c>
      <c r="F513" t="s">
        <v>54</v>
      </c>
      <c r="G513" t="s">
        <v>51</v>
      </c>
      <c r="H513">
        <v>1500000</v>
      </c>
      <c r="I513">
        <v>1000000</v>
      </c>
      <c r="J513" t="s">
        <v>55</v>
      </c>
      <c r="K513">
        <v>33</v>
      </c>
      <c r="L513">
        <v>2112</v>
      </c>
      <c r="M513">
        <v>2</v>
      </c>
      <c r="N513">
        <v>1376</v>
      </c>
      <c r="O513">
        <v>1</v>
      </c>
      <c r="P513">
        <v>10</v>
      </c>
      <c r="Q513">
        <v>0</v>
      </c>
      <c r="R513">
        <v>10</v>
      </c>
      <c r="S513">
        <v>12</v>
      </c>
      <c r="T513">
        <v>17</v>
      </c>
      <c r="U513">
        <v>7</v>
      </c>
      <c r="V513">
        <v>0</v>
      </c>
      <c r="W513">
        <v>34</v>
      </c>
      <c r="X513">
        <v>1</v>
      </c>
      <c r="Y513">
        <v>0</v>
      </c>
      <c r="Z513">
        <v>0</v>
      </c>
      <c r="AA513">
        <v>1</v>
      </c>
      <c r="AB513">
        <v>6</v>
      </c>
      <c r="AC513">
        <v>0</v>
      </c>
      <c r="AD513">
        <v>13</v>
      </c>
      <c r="AE513">
        <v>22</v>
      </c>
      <c r="AF513">
        <v>22</v>
      </c>
      <c r="AG513">
        <v>35</v>
      </c>
      <c r="AH513">
        <v>48</v>
      </c>
      <c r="AI513">
        <v>0</v>
      </c>
      <c r="AJ513">
        <v>70</v>
      </c>
      <c r="AK513">
        <v>0</v>
      </c>
      <c r="AL513">
        <v>0</v>
      </c>
      <c r="AM513">
        <v>57</v>
      </c>
      <c r="AN513">
        <v>32</v>
      </c>
      <c r="AO513">
        <v>24</v>
      </c>
      <c r="AQ513" t="str">
        <f t="shared" si="7"/>
        <v>Midfielder</v>
      </c>
    </row>
    <row r="514" spans="1:43" x14ac:dyDescent="0.35">
      <c r="A514" t="s">
        <v>376</v>
      </c>
      <c r="B514" t="s">
        <v>43</v>
      </c>
      <c r="C514" t="s">
        <v>1380</v>
      </c>
      <c r="D514">
        <v>1981</v>
      </c>
      <c r="E514">
        <v>36</v>
      </c>
      <c r="F514" t="s">
        <v>103</v>
      </c>
      <c r="G514" t="s">
        <v>51</v>
      </c>
      <c r="H514">
        <v>1000000</v>
      </c>
      <c r="I514">
        <v>750000</v>
      </c>
      <c r="J514" t="s">
        <v>55</v>
      </c>
      <c r="K514">
        <v>25</v>
      </c>
      <c r="L514">
        <v>1927</v>
      </c>
      <c r="M514">
        <v>1</v>
      </c>
      <c r="N514">
        <v>927</v>
      </c>
      <c r="O514">
        <v>1</v>
      </c>
      <c r="P514">
        <v>4</v>
      </c>
      <c r="Q514">
        <v>0</v>
      </c>
      <c r="R514">
        <v>3</v>
      </c>
      <c r="S514">
        <v>6</v>
      </c>
      <c r="T514">
        <v>16</v>
      </c>
      <c r="U514">
        <v>6</v>
      </c>
      <c r="V514">
        <v>0</v>
      </c>
      <c r="W514">
        <v>22</v>
      </c>
      <c r="X514">
        <v>0</v>
      </c>
      <c r="Y514">
        <v>0</v>
      </c>
      <c r="Z514">
        <v>0</v>
      </c>
      <c r="AA514">
        <v>1</v>
      </c>
      <c r="AB514">
        <v>3</v>
      </c>
      <c r="AC514">
        <v>10</v>
      </c>
      <c r="AD514">
        <v>12</v>
      </c>
      <c r="AE514">
        <v>28</v>
      </c>
      <c r="AF514">
        <v>11</v>
      </c>
      <c r="AG514">
        <v>14</v>
      </c>
      <c r="AH514">
        <v>28</v>
      </c>
      <c r="AI514">
        <v>0</v>
      </c>
      <c r="AJ514">
        <v>35</v>
      </c>
      <c r="AK514">
        <v>0</v>
      </c>
      <c r="AL514">
        <v>0</v>
      </c>
      <c r="AM514">
        <v>32</v>
      </c>
      <c r="AN514">
        <v>0</v>
      </c>
      <c r="AO514">
        <v>36</v>
      </c>
      <c r="AQ514" t="str">
        <f t="shared" ref="AQ514:AQ577" si="8">IF(J514 = "FW", REPLACE(J514,1,2,"Forward"),IF(J514 = "DF", "Defensive Forward", "Midfielder"))</f>
        <v>Midfielder</v>
      </c>
    </row>
    <row r="515" spans="1:43" x14ac:dyDescent="0.35">
      <c r="A515" t="s">
        <v>377</v>
      </c>
      <c r="B515" t="s">
        <v>47</v>
      </c>
      <c r="C515" t="s">
        <v>1381</v>
      </c>
      <c r="D515">
        <v>1979</v>
      </c>
      <c r="E515">
        <v>36</v>
      </c>
      <c r="F515" t="s">
        <v>103</v>
      </c>
      <c r="G515" t="s">
        <v>245</v>
      </c>
      <c r="H515">
        <v>900000</v>
      </c>
      <c r="I515">
        <v>900000</v>
      </c>
      <c r="J515" t="s">
        <v>52</v>
      </c>
      <c r="K515">
        <v>36</v>
      </c>
      <c r="L515">
        <v>3143</v>
      </c>
      <c r="M515">
        <v>6</v>
      </c>
      <c r="N515">
        <v>742</v>
      </c>
      <c r="O515">
        <v>1</v>
      </c>
      <c r="P515">
        <v>5</v>
      </c>
      <c r="Q515">
        <v>0</v>
      </c>
      <c r="R515">
        <v>0</v>
      </c>
      <c r="S515">
        <v>3</v>
      </c>
      <c r="T515">
        <v>16</v>
      </c>
      <c r="U515">
        <v>7</v>
      </c>
      <c r="V515">
        <v>2</v>
      </c>
      <c r="W515">
        <v>150</v>
      </c>
      <c r="X515">
        <v>4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0</v>
      </c>
      <c r="AE515">
        <v>4</v>
      </c>
      <c r="AF515">
        <v>31</v>
      </c>
      <c r="AG515">
        <v>71</v>
      </c>
      <c r="AH515">
        <v>27</v>
      </c>
      <c r="AI515">
        <v>0</v>
      </c>
      <c r="AJ515">
        <v>50</v>
      </c>
      <c r="AK515">
        <v>2</v>
      </c>
      <c r="AL515">
        <v>0</v>
      </c>
      <c r="AM515">
        <v>227</v>
      </c>
      <c r="AN515">
        <v>113</v>
      </c>
      <c r="AO515">
        <v>47</v>
      </c>
      <c r="AQ515" t="str">
        <f t="shared" si="8"/>
        <v>Defensive Forward</v>
      </c>
    </row>
    <row r="516" spans="1:43" x14ac:dyDescent="0.35">
      <c r="A516" t="s">
        <v>377</v>
      </c>
      <c r="B516" t="s">
        <v>39</v>
      </c>
      <c r="C516" t="s">
        <v>1382</v>
      </c>
      <c r="D516">
        <v>1979</v>
      </c>
      <c r="E516">
        <v>35</v>
      </c>
      <c r="F516" t="s">
        <v>103</v>
      </c>
      <c r="G516" t="s">
        <v>245</v>
      </c>
      <c r="H516">
        <v>450000</v>
      </c>
      <c r="I516">
        <v>900000</v>
      </c>
      <c r="J516" t="s">
        <v>52</v>
      </c>
      <c r="K516">
        <v>34</v>
      </c>
      <c r="L516">
        <v>3059</v>
      </c>
      <c r="M516">
        <v>1</v>
      </c>
      <c r="N516">
        <v>849</v>
      </c>
      <c r="O516">
        <v>0</v>
      </c>
      <c r="P516">
        <v>4</v>
      </c>
      <c r="Q516">
        <v>1</v>
      </c>
      <c r="R516">
        <v>0</v>
      </c>
      <c r="S516">
        <v>0</v>
      </c>
      <c r="T516">
        <v>7</v>
      </c>
      <c r="U516">
        <v>3</v>
      </c>
      <c r="V516">
        <v>1</v>
      </c>
      <c r="W516">
        <v>96</v>
      </c>
      <c r="X516">
        <v>1</v>
      </c>
      <c r="Y516">
        <v>0</v>
      </c>
      <c r="Z516">
        <v>0</v>
      </c>
      <c r="AA516">
        <v>2</v>
      </c>
      <c r="AB516">
        <v>1</v>
      </c>
      <c r="AC516">
        <v>0</v>
      </c>
      <c r="AD516">
        <v>0</v>
      </c>
      <c r="AE516">
        <v>4</v>
      </c>
      <c r="AF516">
        <v>28</v>
      </c>
      <c r="AG516">
        <v>95</v>
      </c>
      <c r="AH516">
        <v>32</v>
      </c>
      <c r="AI516">
        <v>2</v>
      </c>
      <c r="AJ516">
        <v>45</v>
      </c>
      <c r="AK516">
        <v>0</v>
      </c>
      <c r="AL516">
        <v>0</v>
      </c>
      <c r="AM516">
        <v>172</v>
      </c>
      <c r="AN516">
        <v>93</v>
      </c>
      <c r="AO516">
        <v>46</v>
      </c>
      <c r="AQ516" t="str">
        <f t="shared" si="8"/>
        <v>Defensive Forward</v>
      </c>
    </row>
    <row r="517" spans="1:43" x14ac:dyDescent="0.35">
      <c r="A517" t="s">
        <v>378</v>
      </c>
      <c r="B517" t="s">
        <v>43</v>
      </c>
      <c r="C517" t="s">
        <v>1383</v>
      </c>
      <c r="D517">
        <v>1985</v>
      </c>
      <c r="E517">
        <v>32</v>
      </c>
      <c r="F517" t="s">
        <v>44</v>
      </c>
      <c r="G517" t="s">
        <v>51</v>
      </c>
      <c r="H517">
        <v>14400000</v>
      </c>
      <c r="I517">
        <v>13500000</v>
      </c>
      <c r="J517" t="s">
        <v>52</v>
      </c>
      <c r="K517">
        <v>27</v>
      </c>
      <c r="L517">
        <v>2084</v>
      </c>
      <c r="M517">
        <v>0</v>
      </c>
      <c r="N517">
        <v>1330</v>
      </c>
      <c r="O517">
        <v>0</v>
      </c>
      <c r="P517">
        <v>1</v>
      </c>
      <c r="Q517">
        <v>1</v>
      </c>
      <c r="R517">
        <v>3</v>
      </c>
      <c r="S517">
        <v>1</v>
      </c>
      <c r="T517">
        <v>10</v>
      </c>
      <c r="U517">
        <v>3</v>
      </c>
      <c r="V517">
        <v>0</v>
      </c>
      <c r="W517">
        <v>79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7</v>
      </c>
      <c r="AD517">
        <v>0</v>
      </c>
      <c r="AE517">
        <v>0</v>
      </c>
      <c r="AF517">
        <v>14</v>
      </c>
      <c r="AG517">
        <v>27</v>
      </c>
      <c r="AH517">
        <v>17</v>
      </c>
      <c r="AI517">
        <v>0</v>
      </c>
      <c r="AJ517">
        <v>29</v>
      </c>
      <c r="AK517">
        <v>1</v>
      </c>
      <c r="AL517">
        <v>0</v>
      </c>
      <c r="AM517">
        <v>123</v>
      </c>
      <c r="AN517">
        <v>93</v>
      </c>
      <c r="AO517">
        <v>31</v>
      </c>
      <c r="AQ517" t="str">
        <f t="shared" si="8"/>
        <v>Defensive Forward</v>
      </c>
    </row>
    <row r="518" spans="1:43" x14ac:dyDescent="0.35">
      <c r="A518" t="s">
        <v>378</v>
      </c>
      <c r="B518" t="s">
        <v>39</v>
      </c>
      <c r="C518" t="s">
        <v>1384</v>
      </c>
      <c r="D518">
        <v>1985</v>
      </c>
      <c r="E518">
        <v>29</v>
      </c>
      <c r="F518" t="s">
        <v>44</v>
      </c>
      <c r="G518" t="s">
        <v>51</v>
      </c>
      <c r="H518">
        <v>18000000</v>
      </c>
      <c r="I518">
        <v>14400000</v>
      </c>
      <c r="J518" t="s">
        <v>52</v>
      </c>
      <c r="K518">
        <v>22</v>
      </c>
      <c r="L518">
        <v>1955</v>
      </c>
      <c r="M518">
        <v>2</v>
      </c>
      <c r="N518">
        <v>773</v>
      </c>
      <c r="O518">
        <v>0</v>
      </c>
      <c r="P518">
        <v>2</v>
      </c>
      <c r="Q518">
        <v>0</v>
      </c>
      <c r="R518">
        <v>2</v>
      </c>
      <c r="S518">
        <v>0</v>
      </c>
      <c r="T518">
        <v>13</v>
      </c>
      <c r="U518">
        <v>4</v>
      </c>
      <c r="V518">
        <v>0</v>
      </c>
      <c r="W518">
        <v>58</v>
      </c>
      <c r="X518">
        <v>0</v>
      </c>
      <c r="Y518">
        <v>0</v>
      </c>
      <c r="Z518">
        <v>0</v>
      </c>
      <c r="AA518">
        <v>1</v>
      </c>
      <c r="AB518">
        <v>1</v>
      </c>
      <c r="AC518">
        <v>0</v>
      </c>
      <c r="AD518">
        <v>0</v>
      </c>
      <c r="AE518">
        <v>0</v>
      </c>
      <c r="AF518">
        <v>34</v>
      </c>
      <c r="AG518">
        <v>36</v>
      </c>
      <c r="AH518">
        <v>17</v>
      </c>
      <c r="AI518">
        <v>2</v>
      </c>
      <c r="AJ518">
        <v>22</v>
      </c>
      <c r="AK518">
        <v>0</v>
      </c>
      <c r="AL518">
        <v>1</v>
      </c>
      <c r="AM518">
        <v>114</v>
      </c>
      <c r="AN518">
        <v>69</v>
      </c>
      <c r="AO518">
        <v>38</v>
      </c>
      <c r="AQ518" t="str">
        <f t="shared" si="8"/>
        <v>Defensive Forward</v>
      </c>
    </row>
    <row r="519" spans="1:43" x14ac:dyDescent="0.35">
      <c r="A519" t="s">
        <v>378</v>
      </c>
      <c r="B519" t="s">
        <v>47</v>
      </c>
      <c r="C519" t="s">
        <v>1385</v>
      </c>
      <c r="D519">
        <v>1985</v>
      </c>
      <c r="E519">
        <v>30</v>
      </c>
      <c r="F519" t="s">
        <v>44</v>
      </c>
      <c r="G519" t="s">
        <v>51</v>
      </c>
      <c r="H519">
        <v>14400000</v>
      </c>
      <c r="I519">
        <v>14400000</v>
      </c>
      <c r="J519" t="s">
        <v>52</v>
      </c>
      <c r="K519">
        <v>37</v>
      </c>
      <c r="L519">
        <v>3296</v>
      </c>
      <c r="M519">
        <v>6</v>
      </c>
      <c r="N519">
        <v>1849</v>
      </c>
      <c r="O519">
        <v>0</v>
      </c>
      <c r="P519">
        <v>5</v>
      </c>
      <c r="Q519">
        <v>0</v>
      </c>
      <c r="R519">
        <v>1</v>
      </c>
      <c r="S519">
        <v>1</v>
      </c>
      <c r="T519">
        <v>24</v>
      </c>
      <c r="U519">
        <v>10</v>
      </c>
      <c r="V519">
        <v>0</v>
      </c>
      <c r="W519">
        <v>110</v>
      </c>
      <c r="X519">
        <v>3</v>
      </c>
      <c r="Y519">
        <v>0</v>
      </c>
      <c r="Z519">
        <v>0</v>
      </c>
      <c r="AA519">
        <v>2</v>
      </c>
      <c r="AB519">
        <v>1</v>
      </c>
      <c r="AC519">
        <v>0</v>
      </c>
      <c r="AD519">
        <v>0</v>
      </c>
      <c r="AE519">
        <v>1</v>
      </c>
      <c r="AF519">
        <v>19</v>
      </c>
      <c r="AG519">
        <v>46</v>
      </c>
      <c r="AH519">
        <v>34</v>
      </c>
      <c r="AI519">
        <v>0</v>
      </c>
      <c r="AJ519">
        <v>53</v>
      </c>
      <c r="AK519">
        <v>2</v>
      </c>
      <c r="AL519">
        <v>1</v>
      </c>
      <c r="AM519">
        <v>167</v>
      </c>
      <c r="AN519">
        <v>91</v>
      </c>
      <c r="AO519">
        <v>56</v>
      </c>
      <c r="AQ519" t="str">
        <f t="shared" si="8"/>
        <v>Defensive Forward</v>
      </c>
    </row>
    <row r="520" spans="1:43" x14ac:dyDescent="0.35">
      <c r="A520" t="s">
        <v>379</v>
      </c>
      <c r="B520" t="s">
        <v>39</v>
      </c>
      <c r="C520" t="s">
        <v>1386</v>
      </c>
      <c r="D520">
        <v>1983</v>
      </c>
      <c r="E520">
        <v>32</v>
      </c>
      <c r="F520" t="s">
        <v>123</v>
      </c>
      <c r="G520" t="s">
        <v>51</v>
      </c>
      <c r="H520">
        <v>4500000</v>
      </c>
      <c r="I520">
        <v>5400000</v>
      </c>
      <c r="J520" t="s">
        <v>55</v>
      </c>
      <c r="K520">
        <v>27</v>
      </c>
      <c r="L520">
        <v>1749</v>
      </c>
      <c r="M520">
        <v>0</v>
      </c>
      <c r="N520">
        <v>943</v>
      </c>
      <c r="O520">
        <v>0</v>
      </c>
      <c r="P520">
        <v>7</v>
      </c>
      <c r="Q520">
        <v>0</v>
      </c>
      <c r="R520">
        <v>8</v>
      </c>
      <c r="S520">
        <v>1</v>
      </c>
      <c r="T520">
        <v>11</v>
      </c>
      <c r="U520">
        <v>0</v>
      </c>
      <c r="V520">
        <v>0</v>
      </c>
      <c r="W520">
        <v>14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1</v>
      </c>
      <c r="AD520">
        <v>25</v>
      </c>
      <c r="AE520">
        <v>44</v>
      </c>
      <c r="AF520">
        <v>7</v>
      </c>
      <c r="AG520">
        <v>36</v>
      </c>
      <c r="AH520">
        <v>40</v>
      </c>
      <c r="AI520">
        <v>0</v>
      </c>
      <c r="AJ520">
        <v>41</v>
      </c>
      <c r="AK520">
        <v>0</v>
      </c>
      <c r="AL520">
        <v>0</v>
      </c>
      <c r="AM520">
        <v>30</v>
      </c>
      <c r="AN520">
        <v>24</v>
      </c>
      <c r="AO520">
        <v>25</v>
      </c>
      <c r="AQ520" t="str">
        <f t="shared" si="8"/>
        <v>Midfielder</v>
      </c>
    </row>
    <row r="521" spans="1:43" x14ac:dyDescent="0.35">
      <c r="A521" t="s">
        <v>380</v>
      </c>
      <c r="B521" t="s">
        <v>47</v>
      </c>
      <c r="C521" t="s">
        <v>1387</v>
      </c>
      <c r="D521">
        <v>1990</v>
      </c>
      <c r="E521">
        <v>25</v>
      </c>
      <c r="F521" t="s">
        <v>48</v>
      </c>
      <c r="G521" t="s">
        <v>72</v>
      </c>
      <c r="H521">
        <v>2700000</v>
      </c>
      <c r="I521">
        <v>2700000</v>
      </c>
      <c r="J521" t="s">
        <v>55</v>
      </c>
      <c r="K521">
        <v>24</v>
      </c>
      <c r="L521">
        <v>1549</v>
      </c>
      <c r="M521">
        <v>2</v>
      </c>
      <c r="N521">
        <v>625</v>
      </c>
      <c r="O521">
        <v>3</v>
      </c>
      <c r="P521">
        <v>8</v>
      </c>
      <c r="Q521">
        <v>0</v>
      </c>
      <c r="R521">
        <v>4</v>
      </c>
      <c r="S521">
        <v>14</v>
      </c>
      <c r="T521">
        <v>32</v>
      </c>
      <c r="U521">
        <v>9</v>
      </c>
      <c r="V521">
        <v>3</v>
      </c>
      <c r="W521">
        <v>7</v>
      </c>
      <c r="X521">
        <v>1</v>
      </c>
      <c r="Y521">
        <v>0</v>
      </c>
      <c r="Z521">
        <v>0</v>
      </c>
      <c r="AA521">
        <v>1</v>
      </c>
      <c r="AB521">
        <v>9</v>
      </c>
      <c r="AC521">
        <v>2</v>
      </c>
      <c r="AD521">
        <v>38</v>
      </c>
      <c r="AE521">
        <v>81</v>
      </c>
      <c r="AF521">
        <v>2</v>
      </c>
      <c r="AG521">
        <v>15</v>
      </c>
      <c r="AH521">
        <v>36</v>
      </c>
      <c r="AI521">
        <v>0</v>
      </c>
      <c r="AJ521">
        <v>46</v>
      </c>
      <c r="AK521">
        <v>0</v>
      </c>
      <c r="AL521">
        <v>0</v>
      </c>
      <c r="AM521">
        <v>11</v>
      </c>
      <c r="AN521">
        <v>15</v>
      </c>
      <c r="AO521">
        <v>36</v>
      </c>
      <c r="AQ521" t="str">
        <f t="shared" si="8"/>
        <v>Midfielder</v>
      </c>
    </row>
    <row r="522" spans="1:43" x14ac:dyDescent="0.35">
      <c r="A522" t="s">
        <v>381</v>
      </c>
      <c r="B522" t="s">
        <v>47</v>
      </c>
      <c r="C522" t="s">
        <v>1388</v>
      </c>
      <c r="D522">
        <v>1985</v>
      </c>
      <c r="E522">
        <v>31</v>
      </c>
      <c r="F522" t="s">
        <v>184</v>
      </c>
      <c r="G522" t="s">
        <v>291</v>
      </c>
      <c r="H522">
        <v>3600000</v>
      </c>
      <c r="I522">
        <v>3600000</v>
      </c>
      <c r="J522" t="s">
        <v>55</v>
      </c>
      <c r="K522">
        <v>19</v>
      </c>
      <c r="L522">
        <v>1628</v>
      </c>
      <c r="M522">
        <v>0</v>
      </c>
      <c r="N522">
        <v>787</v>
      </c>
      <c r="O522">
        <v>1</v>
      </c>
      <c r="P522">
        <v>1</v>
      </c>
      <c r="Q522">
        <v>0</v>
      </c>
      <c r="R522">
        <v>1</v>
      </c>
      <c r="S522">
        <v>0</v>
      </c>
      <c r="T522">
        <v>11</v>
      </c>
      <c r="U522">
        <v>5</v>
      </c>
      <c r="V522">
        <v>0</v>
      </c>
      <c r="W522">
        <v>26</v>
      </c>
      <c r="X522">
        <v>0</v>
      </c>
      <c r="Y522">
        <v>0</v>
      </c>
      <c r="Z522">
        <v>0</v>
      </c>
      <c r="AA522">
        <v>1</v>
      </c>
      <c r="AB522">
        <v>1</v>
      </c>
      <c r="AC522">
        <v>1</v>
      </c>
      <c r="AD522">
        <v>0</v>
      </c>
      <c r="AE522">
        <v>14</v>
      </c>
      <c r="AF522">
        <v>14</v>
      </c>
      <c r="AG522">
        <v>32</v>
      </c>
      <c r="AH522">
        <v>17</v>
      </c>
      <c r="AI522">
        <v>0</v>
      </c>
      <c r="AJ522">
        <v>48</v>
      </c>
      <c r="AK522">
        <v>0</v>
      </c>
      <c r="AL522">
        <v>0</v>
      </c>
      <c r="AM522">
        <v>47</v>
      </c>
      <c r="AN522">
        <v>55</v>
      </c>
      <c r="AO522">
        <v>43</v>
      </c>
      <c r="AQ522" t="str">
        <f t="shared" si="8"/>
        <v>Midfielder</v>
      </c>
    </row>
    <row r="523" spans="1:43" x14ac:dyDescent="0.35">
      <c r="A523" t="s">
        <v>381</v>
      </c>
      <c r="B523" t="s">
        <v>39</v>
      </c>
      <c r="C523" t="s">
        <v>1389</v>
      </c>
      <c r="D523">
        <v>1985</v>
      </c>
      <c r="E523">
        <v>30</v>
      </c>
      <c r="F523" t="s">
        <v>184</v>
      </c>
      <c r="G523" t="s">
        <v>291</v>
      </c>
      <c r="H523">
        <v>2700000</v>
      </c>
      <c r="I523">
        <v>2700000</v>
      </c>
      <c r="J523" t="s">
        <v>52</v>
      </c>
      <c r="K523">
        <v>30</v>
      </c>
      <c r="L523">
        <v>2361</v>
      </c>
      <c r="M523">
        <v>0</v>
      </c>
      <c r="N523">
        <v>1128</v>
      </c>
      <c r="O523">
        <v>0</v>
      </c>
      <c r="P523">
        <v>0</v>
      </c>
      <c r="Q523">
        <v>1</v>
      </c>
      <c r="R523">
        <v>3</v>
      </c>
      <c r="S523">
        <v>5</v>
      </c>
      <c r="T523">
        <v>15</v>
      </c>
      <c r="U523">
        <v>2</v>
      </c>
      <c r="V523">
        <v>0</v>
      </c>
      <c r="W523">
        <v>62</v>
      </c>
      <c r="X523">
        <v>0</v>
      </c>
      <c r="Y523">
        <v>0</v>
      </c>
      <c r="Z523">
        <v>0</v>
      </c>
      <c r="AA523">
        <v>0</v>
      </c>
      <c r="AB523">
        <v>3</v>
      </c>
      <c r="AC523">
        <v>0</v>
      </c>
      <c r="AD523">
        <v>0</v>
      </c>
      <c r="AE523">
        <v>16</v>
      </c>
      <c r="AF523">
        <v>19</v>
      </c>
      <c r="AG523">
        <v>56</v>
      </c>
      <c r="AH523">
        <v>27</v>
      </c>
      <c r="AI523">
        <v>2</v>
      </c>
      <c r="AJ523">
        <v>60</v>
      </c>
      <c r="AK523">
        <v>0</v>
      </c>
      <c r="AL523">
        <v>0</v>
      </c>
      <c r="AM523">
        <v>98</v>
      </c>
      <c r="AN523">
        <v>70</v>
      </c>
      <c r="AO523">
        <v>40</v>
      </c>
      <c r="AQ523" t="str">
        <f t="shared" si="8"/>
        <v>Defensive Forward</v>
      </c>
    </row>
    <row r="524" spans="1:43" x14ac:dyDescent="0.35">
      <c r="A524" t="s">
        <v>381</v>
      </c>
      <c r="B524" t="s">
        <v>43</v>
      </c>
      <c r="C524" t="s">
        <v>1390</v>
      </c>
      <c r="D524">
        <v>1985</v>
      </c>
      <c r="E524">
        <v>32</v>
      </c>
      <c r="F524" t="s">
        <v>184</v>
      </c>
      <c r="G524" t="s">
        <v>291</v>
      </c>
      <c r="H524">
        <v>2700000</v>
      </c>
      <c r="I524">
        <v>2250000</v>
      </c>
      <c r="J524" t="s">
        <v>52</v>
      </c>
      <c r="K524">
        <v>20</v>
      </c>
      <c r="L524">
        <v>1524</v>
      </c>
      <c r="M524">
        <v>0</v>
      </c>
      <c r="N524">
        <v>506</v>
      </c>
      <c r="O524">
        <v>0</v>
      </c>
      <c r="P524">
        <v>2</v>
      </c>
      <c r="Q524">
        <v>0</v>
      </c>
      <c r="R524">
        <v>3</v>
      </c>
      <c r="S524">
        <v>3</v>
      </c>
      <c r="T524">
        <v>0</v>
      </c>
      <c r="U524">
        <v>0</v>
      </c>
      <c r="V524">
        <v>0</v>
      </c>
      <c r="W524">
        <v>23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9</v>
      </c>
      <c r="AF524">
        <v>8</v>
      </c>
      <c r="AG524">
        <v>36</v>
      </c>
      <c r="AH524">
        <v>16</v>
      </c>
      <c r="AI524">
        <v>1</v>
      </c>
      <c r="AJ524">
        <v>34</v>
      </c>
      <c r="AK524">
        <v>0</v>
      </c>
      <c r="AL524">
        <v>0</v>
      </c>
      <c r="AM524">
        <v>61</v>
      </c>
      <c r="AN524">
        <v>39</v>
      </c>
      <c r="AO524">
        <v>32</v>
      </c>
      <c r="AQ524" t="str">
        <f t="shared" si="8"/>
        <v>Defensive Forward</v>
      </c>
    </row>
    <row r="525" spans="1:43" x14ac:dyDescent="0.35">
      <c r="A525" t="s">
        <v>382</v>
      </c>
      <c r="B525" t="s">
        <v>47</v>
      </c>
      <c r="C525" t="s">
        <v>1391</v>
      </c>
      <c r="D525">
        <v>1985</v>
      </c>
      <c r="E525">
        <v>30</v>
      </c>
      <c r="F525" t="s">
        <v>56</v>
      </c>
      <c r="G525" t="s">
        <v>108</v>
      </c>
      <c r="H525">
        <v>16500000</v>
      </c>
      <c r="I525">
        <v>24200000</v>
      </c>
      <c r="J525" t="s">
        <v>55</v>
      </c>
      <c r="K525">
        <v>36</v>
      </c>
      <c r="L525">
        <v>2844</v>
      </c>
      <c r="M525">
        <v>2</v>
      </c>
      <c r="N525">
        <v>550</v>
      </c>
      <c r="O525">
        <v>1</v>
      </c>
      <c r="P525">
        <v>3</v>
      </c>
      <c r="Q525">
        <v>0</v>
      </c>
      <c r="R525">
        <v>3</v>
      </c>
      <c r="S525">
        <v>12</v>
      </c>
      <c r="T525">
        <v>34</v>
      </c>
      <c r="U525">
        <v>6</v>
      </c>
      <c r="V525">
        <v>0</v>
      </c>
      <c r="W525">
        <v>16</v>
      </c>
      <c r="X525">
        <v>0</v>
      </c>
      <c r="Y525">
        <v>0</v>
      </c>
      <c r="Z525">
        <v>0</v>
      </c>
      <c r="AA525">
        <v>8</v>
      </c>
      <c r="AB525">
        <v>1</v>
      </c>
      <c r="AC525">
        <v>0</v>
      </c>
      <c r="AD525">
        <v>1</v>
      </c>
      <c r="AE525">
        <v>39</v>
      </c>
      <c r="AF525">
        <v>7</v>
      </c>
      <c r="AG525">
        <v>34</v>
      </c>
      <c r="AH525">
        <v>31</v>
      </c>
      <c r="AI525">
        <v>0</v>
      </c>
      <c r="AJ525">
        <v>87</v>
      </c>
      <c r="AK525">
        <v>0</v>
      </c>
      <c r="AL525">
        <v>0</v>
      </c>
      <c r="AM525">
        <v>35</v>
      </c>
      <c r="AN525">
        <v>23</v>
      </c>
      <c r="AO525">
        <v>56</v>
      </c>
      <c r="AQ525" t="str">
        <f t="shared" si="8"/>
        <v>Midfielder</v>
      </c>
    </row>
    <row r="526" spans="1:43" x14ac:dyDescent="0.35">
      <c r="A526" t="s">
        <v>383</v>
      </c>
      <c r="B526" t="s">
        <v>47</v>
      </c>
      <c r="C526" t="s">
        <v>1392</v>
      </c>
      <c r="D526">
        <v>1987</v>
      </c>
      <c r="E526">
        <v>28</v>
      </c>
      <c r="F526" t="s">
        <v>48</v>
      </c>
      <c r="G526" t="s">
        <v>51</v>
      </c>
      <c r="H526">
        <v>1650000</v>
      </c>
      <c r="I526">
        <v>1650000</v>
      </c>
      <c r="J526" t="s">
        <v>52</v>
      </c>
      <c r="K526">
        <v>24</v>
      </c>
      <c r="L526">
        <v>1960</v>
      </c>
      <c r="M526">
        <v>0</v>
      </c>
      <c r="N526">
        <v>780</v>
      </c>
      <c r="O526">
        <v>2</v>
      </c>
      <c r="P526">
        <v>4</v>
      </c>
      <c r="Q526">
        <v>0</v>
      </c>
      <c r="R526">
        <v>4</v>
      </c>
      <c r="S526">
        <v>0</v>
      </c>
      <c r="T526">
        <v>15</v>
      </c>
      <c r="U526">
        <v>1</v>
      </c>
      <c r="V526">
        <v>0</v>
      </c>
      <c r="W526">
        <v>49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37</v>
      </c>
      <c r="AF526">
        <v>11</v>
      </c>
      <c r="AG526">
        <v>56</v>
      </c>
      <c r="AH526">
        <v>28</v>
      </c>
      <c r="AI526">
        <v>0</v>
      </c>
      <c r="AJ526">
        <v>62</v>
      </c>
      <c r="AK526">
        <v>1</v>
      </c>
      <c r="AL526">
        <v>0</v>
      </c>
      <c r="AM526">
        <v>80</v>
      </c>
      <c r="AN526">
        <v>47</v>
      </c>
      <c r="AO526">
        <v>38</v>
      </c>
      <c r="AQ526" t="str">
        <f t="shared" si="8"/>
        <v>Defensive Forward</v>
      </c>
    </row>
    <row r="527" spans="1:43" x14ac:dyDescent="0.35">
      <c r="A527" t="s">
        <v>384</v>
      </c>
      <c r="B527" t="s">
        <v>39</v>
      </c>
      <c r="C527" t="s">
        <v>1393</v>
      </c>
      <c r="D527">
        <v>1990</v>
      </c>
      <c r="E527">
        <v>24</v>
      </c>
      <c r="F527" t="s">
        <v>117</v>
      </c>
      <c r="G527" t="s">
        <v>216</v>
      </c>
      <c r="H527">
        <v>24200000</v>
      </c>
      <c r="I527">
        <v>30800000</v>
      </c>
      <c r="J527" t="s">
        <v>55</v>
      </c>
      <c r="K527">
        <v>38</v>
      </c>
      <c r="L527">
        <v>3168</v>
      </c>
      <c r="M527">
        <v>11</v>
      </c>
      <c r="N527">
        <v>1252</v>
      </c>
      <c r="O527">
        <v>5</v>
      </c>
      <c r="P527">
        <v>1</v>
      </c>
      <c r="Q527">
        <v>0</v>
      </c>
      <c r="R527">
        <v>2</v>
      </c>
      <c r="S527">
        <v>7</v>
      </c>
      <c r="T527">
        <v>54</v>
      </c>
      <c r="U527">
        <v>29</v>
      </c>
      <c r="V527">
        <v>0</v>
      </c>
      <c r="W527">
        <v>10</v>
      </c>
      <c r="X527">
        <v>4</v>
      </c>
      <c r="Y527">
        <v>0</v>
      </c>
      <c r="Z527">
        <v>0</v>
      </c>
      <c r="AA527">
        <v>5</v>
      </c>
      <c r="AB527">
        <v>3</v>
      </c>
      <c r="AC527">
        <v>7</v>
      </c>
      <c r="AD527">
        <v>8</v>
      </c>
      <c r="AE527">
        <v>34</v>
      </c>
      <c r="AF527">
        <v>6</v>
      </c>
      <c r="AG527">
        <v>27</v>
      </c>
      <c r="AH527">
        <v>16</v>
      </c>
      <c r="AI527">
        <v>0</v>
      </c>
      <c r="AJ527">
        <v>38</v>
      </c>
      <c r="AK527">
        <v>0</v>
      </c>
      <c r="AL527">
        <v>0</v>
      </c>
      <c r="AM527">
        <v>16</v>
      </c>
      <c r="AN527">
        <v>25</v>
      </c>
      <c r="AO527">
        <v>43</v>
      </c>
      <c r="AQ527" t="str">
        <f t="shared" si="8"/>
        <v>Midfielder</v>
      </c>
    </row>
    <row r="528" spans="1:43" x14ac:dyDescent="0.35">
      <c r="A528" t="s">
        <v>384</v>
      </c>
      <c r="B528" t="s">
        <v>47</v>
      </c>
      <c r="C528" t="s">
        <v>1394</v>
      </c>
      <c r="D528">
        <v>1990</v>
      </c>
      <c r="E528">
        <v>25</v>
      </c>
      <c r="F528" t="s">
        <v>80</v>
      </c>
      <c r="G528" t="s">
        <v>216</v>
      </c>
      <c r="H528">
        <v>30800000</v>
      </c>
      <c r="I528">
        <v>33000000</v>
      </c>
      <c r="J528" t="s">
        <v>55</v>
      </c>
      <c r="K528">
        <v>36</v>
      </c>
      <c r="L528">
        <v>2975</v>
      </c>
      <c r="M528">
        <v>6</v>
      </c>
      <c r="N528">
        <v>1625</v>
      </c>
      <c r="O528">
        <v>9</v>
      </c>
      <c r="P528">
        <v>2</v>
      </c>
      <c r="Q528">
        <v>0</v>
      </c>
      <c r="R528">
        <v>3</v>
      </c>
      <c r="S528">
        <v>9</v>
      </c>
      <c r="T528">
        <v>60</v>
      </c>
      <c r="U528">
        <v>20</v>
      </c>
      <c r="V528">
        <v>0</v>
      </c>
      <c r="W528">
        <v>21</v>
      </c>
      <c r="X528">
        <v>2</v>
      </c>
      <c r="Y528">
        <v>0</v>
      </c>
      <c r="Z528">
        <v>0</v>
      </c>
      <c r="AA528">
        <v>3</v>
      </c>
      <c r="AB528">
        <v>3</v>
      </c>
      <c r="AC528">
        <v>1</v>
      </c>
      <c r="AD528">
        <v>1</v>
      </c>
      <c r="AE528">
        <v>13</v>
      </c>
      <c r="AF528">
        <v>2</v>
      </c>
      <c r="AG528">
        <v>26</v>
      </c>
      <c r="AH528">
        <v>22</v>
      </c>
      <c r="AI528">
        <v>0</v>
      </c>
      <c r="AJ528">
        <v>46</v>
      </c>
      <c r="AK528">
        <v>2</v>
      </c>
      <c r="AL528">
        <v>0</v>
      </c>
      <c r="AM528">
        <v>32</v>
      </c>
      <c r="AN528">
        <v>39</v>
      </c>
      <c r="AO528">
        <v>39</v>
      </c>
      <c r="AQ528" t="str">
        <f t="shared" si="8"/>
        <v>Midfielder</v>
      </c>
    </row>
    <row r="529" spans="1:43" x14ac:dyDescent="0.35">
      <c r="A529" t="s">
        <v>384</v>
      </c>
      <c r="B529" t="s">
        <v>43</v>
      </c>
      <c r="C529" t="s">
        <v>1395</v>
      </c>
      <c r="D529">
        <v>1990</v>
      </c>
      <c r="E529">
        <v>27</v>
      </c>
      <c r="F529" t="s">
        <v>80</v>
      </c>
      <c r="G529" t="s">
        <v>216</v>
      </c>
      <c r="H529">
        <v>33000000</v>
      </c>
      <c r="I529">
        <v>55000000</v>
      </c>
      <c r="J529" t="s">
        <v>55</v>
      </c>
      <c r="K529">
        <v>33</v>
      </c>
      <c r="L529">
        <v>2387</v>
      </c>
      <c r="M529">
        <v>1</v>
      </c>
      <c r="N529">
        <v>1266</v>
      </c>
      <c r="O529">
        <v>2</v>
      </c>
      <c r="P529">
        <v>1</v>
      </c>
      <c r="Q529">
        <v>0</v>
      </c>
      <c r="R529">
        <v>6</v>
      </c>
      <c r="S529">
        <v>6</v>
      </c>
      <c r="T529">
        <v>38</v>
      </c>
      <c r="U529">
        <v>10</v>
      </c>
      <c r="V529">
        <v>1</v>
      </c>
      <c r="W529">
        <v>7</v>
      </c>
      <c r="X529">
        <v>0</v>
      </c>
      <c r="Y529">
        <v>0</v>
      </c>
      <c r="Z529">
        <v>0</v>
      </c>
      <c r="AA529">
        <v>4</v>
      </c>
      <c r="AB529">
        <v>2</v>
      </c>
      <c r="AC529">
        <v>28</v>
      </c>
      <c r="AD529">
        <v>1</v>
      </c>
      <c r="AE529">
        <v>2</v>
      </c>
      <c r="AF529">
        <v>2</v>
      </c>
      <c r="AG529">
        <v>25</v>
      </c>
      <c r="AH529">
        <v>13</v>
      </c>
      <c r="AI529">
        <v>0</v>
      </c>
      <c r="AJ529">
        <v>34</v>
      </c>
      <c r="AK529">
        <v>0</v>
      </c>
      <c r="AL529">
        <v>0</v>
      </c>
      <c r="AM529">
        <v>19</v>
      </c>
      <c r="AN529">
        <v>16</v>
      </c>
      <c r="AO529">
        <v>29</v>
      </c>
      <c r="AQ529" t="str">
        <f t="shared" si="8"/>
        <v>Midfielder</v>
      </c>
    </row>
    <row r="530" spans="1:43" x14ac:dyDescent="0.35">
      <c r="A530" t="s">
        <v>384</v>
      </c>
      <c r="B530" t="s">
        <v>46</v>
      </c>
      <c r="C530" t="s">
        <v>1396</v>
      </c>
      <c r="D530">
        <v>1990</v>
      </c>
      <c r="E530">
        <v>27</v>
      </c>
      <c r="F530" t="s">
        <v>80</v>
      </c>
      <c r="G530" t="s">
        <v>216</v>
      </c>
      <c r="H530">
        <v>13200000</v>
      </c>
      <c r="I530">
        <v>19800000</v>
      </c>
      <c r="J530" t="s">
        <v>55</v>
      </c>
      <c r="K530">
        <v>35</v>
      </c>
      <c r="L530">
        <v>2736</v>
      </c>
      <c r="M530">
        <v>3</v>
      </c>
      <c r="N530">
        <v>1769</v>
      </c>
      <c r="O530">
        <v>0</v>
      </c>
      <c r="P530">
        <v>3</v>
      </c>
      <c r="Q530">
        <v>0</v>
      </c>
      <c r="R530">
        <v>3</v>
      </c>
      <c r="S530">
        <v>13</v>
      </c>
      <c r="T530">
        <v>30</v>
      </c>
      <c r="U530">
        <v>10</v>
      </c>
      <c r="V530">
        <v>0</v>
      </c>
      <c r="W530">
        <v>13</v>
      </c>
      <c r="X530">
        <v>1</v>
      </c>
      <c r="Y530">
        <v>0</v>
      </c>
      <c r="Z530">
        <v>0</v>
      </c>
      <c r="AA530">
        <v>2</v>
      </c>
      <c r="AB530">
        <v>5</v>
      </c>
      <c r="AC530">
        <v>20</v>
      </c>
      <c r="AD530">
        <v>7</v>
      </c>
      <c r="AE530">
        <v>13</v>
      </c>
      <c r="AF530">
        <v>7</v>
      </c>
      <c r="AG530">
        <v>21</v>
      </c>
      <c r="AH530">
        <v>18</v>
      </c>
      <c r="AI530">
        <v>0</v>
      </c>
      <c r="AJ530">
        <v>40</v>
      </c>
      <c r="AK530">
        <v>0</v>
      </c>
      <c r="AL530">
        <v>0</v>
      </c>
      <c r="AM530">
        <v>24</v>
      </c>
      <c r="AN530">
        <v>32</v>
      </c>
      <c r="AO530">
        <v>34</v>
      </c>
      <c r="AQ530" t="str">
        <f t="shared" si="8"/>
        <v>Midfielder</v>
      </c>
    </row>
    <row r="531" spans="1:43" x14ac:dyDescent="0.35">
      <c r="A531" t="s">
        <v>385</v>
      </c>
      <c r="B531" t="s">
        <v>39</v>
      </c>
      <c r="C531" t="s">
        <v>1397</v>
      </c>
      <c r="D531">
        <v>1994</v>
      </c>
      <c r="E531">
        <v>21</v>
      </c>
      <c r="F531" t="s">
        <v>54</v>
      </c>
      <c r="G531" t="s">
        <v>45</v>
      </c>
      <c r="H531">
        <v>5900000</v>
      </c>
      <c r="I531">
        <v>8100000</v>
      </c>
      <c r="J531" t="s">
        <v>42</v>
      </c>
      <c r="K531">
        <v>26</v>
      </c>
      <c r="L531">
        <v>1384</v>
      </c>
      <c r="M531">
        <v>2</v>
      </c>
      <c r="N531">
        <v>523</v>
      </c>
      <c r="O531">
        <v>8</v>
      </c>
      <c r="P531">
        <v>2</v>
      </c>
      <c r="Q531">
        <v>0</v>
      </c>
      <c r="R531">
        <v>10</v>
      </c>
      <c r="S531">
        <v>11</v>
      </c>
      <c r="T531">
        <v>9</v>
      </c>
      <c r="U531">
        <v>6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2</v>
      </c>
      <c r="AB531">
        <v>10</v>
      </c>
      <c r="AC531">
        <v>1</v>
      </c>
      <c r="AD531">
        <v>32</v>
      </c>
      <c r="AE531">
        <v>141</v>
      </c>
      <c r="AF531">
        <v>0</v>
      </c>
      <c r="AG531">
        <v>14</v>
      </c>
      <c r="AH531">
        <v>3</v>
      </c>
      <c r="AI531">
        <v>0</v>
      </c>
      <c r="AJ531">
        <v>16</v>
      </c>
      <c r="AK531">
        <v>0</v>
      </c>
      <c r="AL531">
        <v>0</v>
      </c>
      <c r="AM531">
        <v>5</v>
      </c>
      <c r="AN531">
        <v>1</v>
      </c>
      <c r="AO531">
        <v>7</v>
      </c>
      <c r="AQ531" t="str">
        <f t="shared" si="8"/>
        <v>Forward</v>
      </c>
    </row>
    <row r="532" spans="1:43" x14ac:dyDescent="0.35">
      <c r="A532" t="s">
        <v>385</v>
      </c>
      <c r="B532" t="s">
        <v>47</v>
      </c>
      <c r="C532" t="s">
        <v>1398</v>
      </c>
      <c r="D532">
        <v>1994</v>
      </c>
      <c r="E532">
        <v>22</v>
      </c>
      <c r="F532" t="s">
        <v>54</v>
      </c>
      <c r="G532" t="s">
        <v>45</v>
      </c>
      <c r="H532">
        <v>8100000</v>
      </c>
      <c r="I532">
        <v>8100000</v>
      </c>
      <c r="J532" t="s">
        <v>42</v>
      </c>
      <c r="K532">
        <v>11</v>
      </c>
      <c r="L532">
        <v>457</v>
      </c>
      <c r="M532">
        <v>0</v>
      </c>
      <c r="N532">
        <v>164</v>
      </c>
      <c r="O532">
        <v>0</v>
      </c>
      <c r="P532">
        <v>1</v>
      </c>
      <c r="Q532">
        <v>0</v>
      </c>
      <c r="R532">
        <v>7</v>
      </c>
      <c r="S532">
        <v>3</v>
      </c>
      <c r="T532">
        <v>7</v>
      </c>
      <c r="U532">
        <v>3</v>
      </c>
      <c r="V532">
        <v>1</v>
      </c>
      <c r="W532">
        <v>0</v>
      </c>
      <c r="X532">
        <v>0</v>
      </c>
      <c r="Y532">
        <v>0</v>
      </c>
      <c r="Z532">
        <v>0</v>
      </c>
      <c r="AA532">
        <v>10</v>
      </c>
      <c r="AB532">
        <v>0</v>
      </c>
      <c r="AC532">
        <v>1</v>
      </c>
      <c r="AD532">
        <v>8</v>
      </c>
      <c r="AE532">
        <v>37</v>
      </c>
      <c r="AF532">
        <v>0</v>
      </c>
      <c r="AG532">
        <v>4</v>
      </c>
      <c r="AH532">
        <v>2</v>
      </c>
      <c r="AI532">
        <v>0</v>
      </c>
      <c r="AJ532">
        <v>6</v>
      </c>
      <c r="AK532">
        <v>0</v>
      </c>
      <c r="AL532">
        <v>0</v>
      </c>
      <c r="AM532">
        <v>0</v>
      </c>
      <c r="AN532">
        <v>0</v>
      </c>
      <c r="AO532">
        <v>4</v>
      </c>
      <c r="AQ532" t="str">
        <f t="shared" si="8"/>
        <v>Forward</v>
      </c>
    </row>
    <row r="533" spans="1:43" x14ac:dyDescent="0.35">
      <c r="A533" t="s">
        <v>385</v>
      </c>
      <c r="B533" t="s">
        <v>46</v>
      </c>
      <c r="C533" t="s">
        <v>1399</v>
      </c>
      <c r="D533">
        <v>1994</v>
      </c>
      <c r="E533">
        <v>24</v>
      </c>
      <c r="F533" t="s">
        <v>66</v>
      </c>
      <c r="G533" t="s">
        <v>45</v>
      </c>
      <c r="H533">
        <v>12600000</v>
      </c>
      <c r="I533">
        <v>22500000</v>
      </c>
      <c r="J533" t="s">
        <v>42</v>
      </c>
      <c r="K533">
        <v>30</v>
      </c>
      <c r="L533">
        <v>2079</v>
      </c>
      <c r="M533">
        <v>10</v>
      </c>
      <c r="N533">
        <v>718</v>
      </c>
      <c r="O533">
        <v>5</v>
      </c>
      <c r="P533">
        <v>3</v>
      </c>
      <c r="Q533">
        <v>0</v>
      </c>
      <c r="R533">
        <v>4</v>
      </c>
      <c r="S533">
        <v>20</v>
      </c>
      <c r="T533">
        <v>60</v>
      </c>
      <c r="U533">
        <v>22</v>
      </c>
      <c r="V533">
        <v>1</v>
      </c>
      <c r="W533">
        <v>2</v>
      </c>
      <c r="X533">
        <v>0</v>
      </c>
      <c r="Y533">
        <v>0</v>
      </c>
      <c r="Z533">
        <v>0</v>
      </c>
      <c r="AA533">
        <v>34</v>
      </c>
      <c r="AB533">
        <v>8</v>
      </c>
      <c r="AC533">
        <v>38</v>
      </c>
      <c r="AD533">
        <v>9</v>
      </c>
      <c r="AE533">
        <v>62</v>
      </c>
      <c r="AF533">
        <v>0</v>
      </c>
      <c r="AG533">
        <v>14</v>
      </c>
      <c r="AH533">
        <v>14</v>
      </c>
      <c r="AI533">
        <v>0</v>
      </c>
      <c r="AJ533">
        <v>11</v>
      </c>
      <c r="AK533">
        <v>0</v>
      </c>
      <c r="AL533">
        <v>0</v>
      </c>
      <c r="AM533">
        <v>3</v>
      </c>
      <c r="AN533">
        <v>3</v>
      </c>
      <c r="AO533">
        <v>19</v>
      </c>
      <c r="AQ533" t="str">
        <f t="shared" si="8"/>
        <v>Forward</v>
      </c>
    </row>
    <row r="534" spans="1:43" x14ac:dyDescent="0.35">
      <c r="A534" t="s">
        <v>386</v>
      </c>
      <c r="B534" t="s">
        <v>39</v>
      </c>
      <c r="C534" t="s">
        <v>1400</v>
      </c>
      <c r="D534">
        <v>1992</v>
      </c>
      <c r="E534">
        <v>22</v>
      </c>
      <c r="F534" t="s">
        <v>184</v>
      </c>
      <c r="G534" t="s">
        <v>174</v>
      </c>
      <c r="H534">
        <v>19800000</v>
      </c>
      <c r="I534">
        <v>13200000</v>
      </c>
      <c r="J534" t="s">
        <v>55</v>
      </c>
      <c r="K534">
        <v>14</v>
      </c>
      <c r="L534">
        <v>1260</v>
      </c>
      <c r="M534">
        <v>2</v>
      </c>
      <c r="N534">
        <v>772</v>
      </c>
      <c r="O534">
        <v>0</v>
      </c>
      <c r="P534">
        <v>4</v>
      </c>
      <c r="Q534">
        <v>0</v>
      </c>
      <c r="R534">
        <v>0</v>
      </c>
      <c r="S534">
        <v>0</v>
      </c>
      <c r="T534">
        <v>21</v>
      </c>
      <c r="U534">
        <v>0</v>
      </c>
      <c r="V534">
        <v>0</v>
      </c>
      <c r="W534">
        <v>3</v>
      </c>
      <c r="X534">
        <v>0</v>
      </c>
      <c r="Y534">
        <v>0</v>
      </c>
      <c r="Z534">
        <v>0</v>
      </c>
      <c r="AA534">
        <v>0</v>
      </c>
      <c r="AB534">
        <v>4</v>
      </c>
      <c r="AC534">
        <v>0</v>
      </c>
      <c r="AD534">
        <v>0</v>
      </c>
      <c r="AE534">
        <v>5</v>
      </c>
      <c r="AF534">
        <v>2</v>
      </c>
      <c r="AG534">
        <v>7</v>
      </c>
      <c r="AH534">
        <v>17</v>
      </c>
      <c r="AI534">
        <v>0</v>
      </c>
      <c r="AJ534">
        <v>14</v>
      </c>
      <c r="AK534">
        <v>0</v>
      </c>
      <c r="AL534">
        <v>0</v>
      </c>
      <c r="AM534">
        <v>5</v>
      </c>
      <c r="AN534">
        <v>12</v>
      </c>
      <c r="AO534">
        <v>12</v>
      </c>
      <c r="AQ534" t="str">
        <f t="shared" si="8"/>
        <v>Midfielder</v>
      </c>
    </row>
    <row r="535" spans="1:43" x14ac:dyDescent="0.35">
      <c r="A535" t="s">
        <v>386</v>
      </c>
      <c r="B535" t="s">
        <v>47</v>
      </c>
      <c r="C535" t="s">
        <v>1401</v>
      </c>
      <c r="D535">
        <v>1992</v>
      </c>
      <c r="E535">
        <v>23</v>
      </c>
      <c r="F535" t="s">
        <v>184</v>
      </c>
      <c r="G535" t="s">
        <v>174</v>
      </c>
      <c r="H535">
        <v>1800000</v>
      </c>
      <c r="I535">
        <v>2700000</v>
      </c>
      <c r="J535" t="s">
        <v>55</v>
      </c>
      <c r="K535">
        <v>12</v>
      </c>
      <c r="L535">
        <v>796</v>
      </c>
      <c r="M535">
        <v>0</v>
      </c>
      <c r="N535">
        <v>384</v>
      </c>
      <c r="O535">
        <v>0</v>
      </c>
      <c r="P535">
        <v>1</v>
      </c>
      <c r="Q535">
        <v>0</v>
      </c>
      <c r="R535">
        <v>3</v>
      </c>
      <c r="S535">
        <v>3</v>
      </c>
      <c r="T535">
        <v>9</v>
      </c>
      <c r="U535">
        <v>0</v>
      </c>
      <c r="V535">
        <v>1</v>
      </c>
      <c r="W535">
        <v>5</v>
      </c>
      <c r="X535">
        <v>0</v>
      </c>
      <c r="Y535">
        <v>0</v>
      </c>
      <c r="Z535">
        <v>0</v>
      </c>
      <c r="AA535">
        <v>0</v>
      </c>
      <c r="AB535">
        <v>2</v>
      </c>
      <c r="AC535">
        <v>0</v>
      </c>
      <c r="AD535">
        <v>0</v>
      </c>
      <c r="AE535">
        <v>8</v>
      </c>
      <c r="AF535">
        <v>0</v>
      </c>
      <c r="AG535">
        <v>4</v>
      </c>
      <c r="AH535">
        <v>3</v>
      </c>
      <c r="AI535">
        <v>0</v>
      </c>
      <c r="AJ535">
        <v>11</v>
      </c>
      <c r="AK535">
        <v>0</v>
      </c>
      <c r="AL535">
        <v>1</v>
      </c>
      <c r="AM535">
        <v>9</v>
      </c>
      <c r="AN535">
        <v>6</v>
      </c>
      <c r="AO535">
        <v>8</v>
      </c>
      <c r="AQ535" t="str">
        <f t="shared" si="8"/>
        <v>Midfielder</v>
      </c>
    </row>
    <row r="536" spans="1:43" x14ac:dyDescent="0.35">
      <c r="A536" t="s">
        <v>387</v>
      </c>
      <c r="B536" t="s">
        <v>47</v>
      </c>
      <c r="C536" t="s">
        <v>1402</v>
      </c>
      <c r="D536">
        <v>1984</v>
      </c>
      <c r="E536">
        <v>31</v>
      </c>
      <c r="F536" t="s">
        <v>184</v>
      </c>
      <c r="G536" t="s">
        <v>51</v>
      </c>
      <c r="H536">
        <v>6300000</v>
      </c>
      <c r="I536">
        <v>4500000</v>
      </c>
      <c r="J536" t="s">
        <v>52</v>
      </c>
      <c r="K536">
        <v>23</v>
      </c>
      <c r="L536">
        <v>1955</v>
      </c>
      <c r="M536">
        <v>0</v>
      </c>
      <c r="N536">
        <v>740</v>
      </c>
      <c r="O536">
        <v>0</v>
      </c>
      <c r="P536">
        <v>1</v>
      </c>
      <c r="Q536">
        <v>0</v>
      </c>
      <c r="R536">
        <v>2</v>
      </c>
      <c r="S536">
        <v>0</v>
      </c>
      <c r="T536">
        <v>8</v>
      </c>
      <c r="U536">
        <v>4</v>
      </c>
      <c r="V536">
        <v>0</v>
      </c>
      <c r="W536">
        <v>24</v>
      </c>
      <c r="X536">
        <v>0</v>
      </c>
      <c r="Y536">
        <v>0</v>
      </c>
      <c r="Z536">
        <v>0</v>
      </c>
      <c r="AA536">
        <v>0</v>
      </c>
      <c r="AB536">
        <v>1</v>
      </c>
      <c r="AC536">
        <v>1</v>
      </c>
      <c r="AD536">
        <v>0</v>
      </c>
      <c r="AE536">
        <v>32</v>
      </c>
      <c r="AF536">
        <v>11</v>
      </c>
      <c r="AG536">
        <v>38</v>
      </c>
      <c r="AH536">
        <v>12</v>
      </c>
      <c r="AI536">
        <v>0</v>
      </c>
      <c r="AJ536">
        <v>49</v>
      </c>
      <c r="AK536">
        <v>1</v>
      </c>
      <c r="AL536">
        <v>0</v>
      </c>
      <c r="AM536">
        <v>65</v>
      </c>
      <c r="AN536">
        <v>22</v>
      </c>
      <c r="AO536">
        <v>12</v>
      </c>
      <c r="AQ536" t="str">
        <f t="shared" si="8"/>
        <v>Defensive Forward</v>
      </c>
    </row>
    <row r="537" spans="1:43" x14ac:dyDescent="0.35">
      <c r="A537" t="s">
        <v>387</v>
      </c>
      <c r="B537" t="s">
        <v>39</v>
      </c>
      <c r="C537" t="s">
        <v>1403</v>
      </c>
      <c r="D537">
        <v>1984</v>
      </c>
      <c r="E537">
        <v>30</v>
      </c>
      <c r="F537" t="s">
        <v>184</v>
      </c>
      <c r="G537" t="s">
        <v>51</v>
      </c>
      <c r="H537">
        <v>6300000</v>
      </c>
      <c r="I537">
        <v>6300000</v>
      </c>
      <c r="J537" t="s">
        <v>52</v>
      </c>
      <c r="K537">
        <v>25</v>
      </c>
      <c r="L537">
        <v>2186</v>
      </c>
      <c r="M537">
        <v>0</v>
      </c>
      <c r="N537">
        <v>895</v>
      </c>
      <c r="O537">
        <v>3</v>
      </c>
      <c r="P537">
        <v>1</v>
      </c>
      <c r="Q537">
        <v>0</v>
      </c>
      <c r="R537">
        <v>0</v>
      </c>
      <c r="S537">
        <v>2</v>
      </c>
      <c r="T537">
        <v>17</v>
      </c>
      <c r="U537">
        <v>0</v>
      </c>
      <c r="V537">
        <v>0</v>
      </c>
      <c r="W537">
        <v>18</v>
      </c>
      <c r="X537">
        <v>0</v>
      </c>
      <c r="Y537">
        <v>0</v>
      </c>
      <c r="Z537">
        <v>0</v>
      </c>
      <c r="AA537">
        <v>4</v>
      </c>
      <c r="AB537">
        <v>2</v>
      </c>
      <c r="AC537">
        <v>0</v>
      </c>
      <c r="AD537">
        <v>0</v>
      </c>
      <c r="AE537">
        <v>56</v>
      </c>
      <c r="AF537">
        <v>13</v>
      </c>
      <c r="AG537">
        <v>51</v>
      </c>
      <c r="AH537">
        <v>11</v>
      </c>
      <c r="AI537">
        <v>0</v>
      </c>
      <c r="AJ537">
        <v>41</v>
      </c>
      <c r="AK537">
        <v>0</v>
      </c>
      <c r="AL537">
        <v>0</v>
      </c>
      <c r="AM537">
        <v>27</v>
      </c>
      <c r="AN537">
        <v>17</v>
      </c>
      <c r="AO537">
        <v>11</v>
      </c>
      <c r="AQ537" t="str">
        <f t="shared" si="8"/>
        <v>Defensive Forward</v>
      </c>
    </row>
    <row r="538" spans="1:43" x14ac:dyDescent="0.35">
      <c r="A538" t="s">
        <v>388</v>
      </c>
      <c r="B538" t="s">
        <v>39</v>
      </c>
      <c r="C538" t="s">
        <v>1404</v>
      </c>
      <c r="D538">
        <v>1983</v>
      </c>
      <c r="E538">
        <v>31</v>
      </c>
      <c r="F538" t="s">
        <v>84</v>
      </c>
      <c r="G538" t="s">
        <v>51</v>
      </c>
      <c r="H538">
        <v>2750000</v>
      </c>
      <c r="I538">
        <v>3150000</v>
      </c>
      <c r="J538" t="s">
        <v>42</v>
      </c>
      <c r="K538">
        <v>21</v>
      </c>
      <c r="L538">
        <v>795</v>
      </c>
      <c r="M538">
        <v>3</v>
      </c>
      <c r="N538">
        <v>203</v>
      </c>
      <c r="O538">
        <v>0</v>
      </c>
      <c r="P538">
        <v>2</v>
      </c>
      <c r="Q538">
        <v>0</v>
      </c>
      <c r="R538">
        <v>13</v>
      </c>
      <c r="S538">
        <v>7</v>
      </c>
      <c r="T538">
        <v>25</v>
      </c>
      <c r="U538">
        <v>14</v>
      </c>
      <c r="V538">
        <v>0</v>
      </c>
      <c r="W538">
        <v>5</v>
      </c>
      <c r="X538">
        <v>2</v>
      </c>
      <c r="Y538">
        <v>0</v>
      </c>
      <c r="Z538">
        <v>0</v>
      </c>
      <c r="AA538">
        <v>13</v>
      </c>
      <c r="AB538">
        <v>0</v>
      </c>
      <c r="AC538">
        <v>4</v>
      </c>
      <c r="AD538">
        <v>0</v>
      </c>
      <c r="AE538">
        <v>6</v>
      </c>
      <c r="AF538">
        <v>3</v>
      </c>
      <c r="AG538">
        <v>3</v>
      </c>
      <c r="AH538">
        <v>26</v>
      </c>
      <c r="AI538">
        <v>0</v>
      </c>
      <c r="AJ538">
        <v>7</v>
      </c>
      <c r="AK538">
        <v>0</v>
      </c>
      <c r="AL538">
        <v>0</v>
      </c>
      <c r="AM538">
        <v>9</v>
      </c>
      <c r="AN538">
        <v>27</v>
      </c>
      <c r="AO538">
        <v>31</v>
      </c>
      <c r="AQ538" t="str">
        <f t="shared" si="8"/>
        <v>Forward</v>
      </c>
    </row>
    <row r="539" spans="1:43" x14ac:dyDescent="0.35">
      <c r="A539" t="s">
        <v>388</v>
      </c>
      <c r="B539" t="s">
        <v>43</v>
      </c>
      <c r="C539" t="s">
        <v>1405</v>
      </c>
      <c r="D539">
        <v>1983</v>
      </c>
      <c r="E539">
        <v>34</v>
      </c>
      <c r="F539" t="s">
        <v>134</v>
      </c>
      <c r="G539" t="s">
        <v>51</v>
      </c>
      <c r="H539">
        <v>3850000</v>
      </c>
      <c r="I539">
        <v>2700000</v>
      </c>
      <c r="J539" t="s">
        <v>42</v>
      </c>
      <c r="K539">
        <v>35</v>
      </c>
      <c r="L539">
        <v>2196</v>
      </c>
      <c r="M539">
        <v>12</v>
      </c>
      <c r="N539">
        <v>664</v>
      </c>
      <c r="O539">
        <v>0</v>
      </c>
      <c r="P539">
        <v>9</v>
      </c>
      <c r="Q539">
        <v>0</v>
      </c>
      <c r="R539">
        <v>10</v>
      </c>
      <c r="S539">
        <v>15</v>
      </c>
      <c r="T539">
        <v>53</v>
      </c>
      <c r="U539">
        <v>25</v>
      </c>
      <c r="V539">
        <v>0</v>
      </c>
      <c r="W539">
        <v>19</v>
      </c>
      <c r="X539">
        <v>3</v>
      </c>
      <c r="Y539">
        <v>4</v>
      </c>
      <c r="Z539">
        <v>0</v>
      </c>
      <c r="AA539">
        <v>35</v>
      </c>
      <c r="AB539">
        <v>4</v>
      </c>
      <c r="AC539">
        <v>28</v>
      </c>
      <c r="AD539">
        <v>0</v>
      </c>
      <c r="AE539">
        <v>9</v>
      </c>
      <c r="AF539">
        <v>4</v>
      </c>
      <c r="AG539">
        <v>5</v>
      </c>
      <c r="AH539">
        <v>60</v>
      </c>
      <c r="AI539">
        <v>0</v>
      </c>
      <c r="AJ539">
        <v>18</v>
      </c>
      <c r="AK539">
        <v>0</v>
      </c>
      <c r="AL539">
        <v>0</v>
      </c>
      <c r="AM539">
        <v>27</v>
      </c>
      <c r="AN539">
        <v>117</v>
      </c>
      <c r="AO539">
        <v>151</v>
      </c>
      <c r="AQ539" t="str">
        <f t="shared" si="8"/>
        <v>Forward</v>
      </c>
    </row>
    <row r="540" spans="1:43" x14ac:dyDescent="0.35">
      <c r="A540" t="s">
        <v>388</v>
      </c>
      <c r="B540" t="s">
        <v>46</v>
      </c>
      <c r="C540" t="s">
        <v>1406</v>
      </c>
      <c r="D540">
        <v>1983</v>
      </c>
      <c r="E540">
        <v>34</v>
      </c>
      <c r="F540" t="s">
        <v>134</v>
      </c>
      <c r="G540" t="s">
        <v>51</v>
      </c>
      <c r="H540">
        <v>2700000</v>
      </c>
      <c r="I540">
        <v>2700000</v>
      </c>
      <c r="J540" t="s">
        <v>42</v>
      </c>
      <c r="K540">
        <v>38</v>
      </c>
      <c r="L540">
        <v>2512</v>
      </c>
      <c r="M540">
        <v>13</v>
      </c>
      <c r="N540">
        <v>606</v>
      </c>
      <c r="O540">
        <v>1</v>
      </c>
      <c r="P540">
        <v>5</v>
      </c>
      <c r="Q540">
        <v>0</v>
      </c>
      <c r="R540">
        <v>8</v>
      </c>
      <c r="S540">
        <v>14</v>
      </c>
      <c r="T540">
        <v>54</v>
      </c>
      <c r="U540">
        <v>21</v>
      </c>
      <c r="V540">
        <v>1</v>
      </c>
      <c r="W540">
        <v>9</v>
      </c>
      <c r="X540">
        <v>2</v>
      </c>
      <c r="Y540">
        <v>4</v>
      </c>
      <c r="Z540">
        <v>0</v>
      </c>
      <c r="AA540">
        <v>38</v>
      </c>
      <c r="AB540">
        <v>0</v>
      </c>
      <c r="AC540">
        <v>33</v>
      </c>
      <c r="AD540">
        <v>0</v>
      </c>
      <c r="AE540">
        <v>8</v>
      </c>
      <c r="AF540">
        <v>3</v>
      </c>
      <c r="AG540">
        <v>2</v>
      </c>
      <c r="AH540">
        <v>80</v>
      </c>
      <c r="AI540">
        <v>0</v>
      </c>
      <c r="AJ540">
        <v>17</v>
      </c>
      <c r="AK540">
        <v>0</v>
      </c>
      <c r="AL540">
        <v>0</v>
      </c>
      <c r="AM540">
        <v>16</v>
      </c>
      <c r="AN540">
        <v>175</v>
      </c>
      <c r="AO540">
        <v>184</v>
      </c>
      <c r="AQ540" t="str">
        <f t="shared" si="8"/>
        <v>Forward</v>
      </c>
    </row>
    <row r="541" spans="1:43" x14ac:dyDescent="0.35">
      <c r="A541" t="s">
        <v>389</v>
      </c>
      <c r="B541" t="s">
        <v>39</v>
      </c>
      <c r="C541" t="s">
        <v>1407</v>
      </c>
      <c r="D541">
        <v>1984</v>
      </c>
      <c r="E541">
        <v>31</v>
      </c>
      <c r="F541" t="s">
        <v>184</v>
      </c>
      <c r="G541" t="s">
        <v>260</v>
      </c>
      <c r="H541">
        <v>2700000</v>
      </c>
      <c r="I541">
        <v>2250000</v>
      </c>
      <c r="J541" t="s">
        <v>55</v>
      </c>
      <c r="K541">
        <v>37</v>
      </c>
      <c r="L541">
        <v>3173</v>
      </c>
      <c r="M541">
        <v>0</v>
      </c>
      <c r="N541">
        <v>2070</v>
      </c>
      <c r="O541">
        <v>0</v>
      </c>
      <c r="P541">
        <v>6</v>
      </c>
      <c r="Q541">
        <v>0</v>
      </c>
      <c r="R541">
        <v>0</v>
      </c>
      <c r="S541">
        <v>8</v>
      </c>
      <c r="T541">
        <v>11</v>
      </c>
      <c r="U541">
        <v>3</v>
      </c>
      <c r="V541">
        <v>0</v>
      </c>
      <c r="W541">
        <v>58</v>
      </c>
      <c r="X541">
        <v>0</v>
      </c>
      <c r="Y541">
        <v>0</v>
      </c>
      <c r="Z541">
        <v>0</v>
      </c>
      <c r="AA541">
        <v>0</v>
      </c>
      <c r="AB541">
        <v>2</v>
      </c>
      <c r="AC541">
        <v>0</v>
      </c>
      <c r="AD541">
        <v>9</v>
      </c>
      <c r="AE541">
        <v>25</v>
      </c>
      <c r="AF541">
        <v>22</v>
      </c>
      <c r="AG541">
        <v>73</v>
      </c>
      <c r="AH541">
        <v>25</v>
      </c>
      <c r="AI541">
        <v>0</v>
      </c>
      <c r="AJ541">
        <v>71</v>
      </c>
      <c r="AK541">
        <v>0</v>
      </c>
      <c r="AL541">
        <v>0</v>
      </c>
      <c r="AM541">
        <v>99</v>
      </c>
      <c r="AN541">
        <v>40</v>
      </c>
      <c r="AO541">
        <v>31</v>
      </c>
      <c r="AQ541" t="str">
        <f t="shared" si="8"/>
        <v>Midfielder</v>
      </c>
    </row>
    <row r="542" spans="1:43" x14ac:dyDescent="0.35">
      <c r="A542" t="s">
        <v>389</v>
      </c>
      <c r="B542" t="s">
        <v>47</v>
      </c>
      <c r="C542" t="s">
        <v>1408</v>
      </c>
      <c r="D542">
        <v>1984</v>
      </c>
      <c r="E542">
        <v>32</v>
      </c>
      <c r="F542" t="s">
        <v>184</v>
      </c>
      <c r="G542" t="s">
        <v>260</v>
      </c>
      <c r="H542">
        <v>1500000</v>
      </c>
      <c r="I542">
        <v>5000000</v>
      </c>
      <c r="J542" t="s">
        <v>55</v>
      </c>
      <c r="K542">
        <v>30</v>
      </c>
      <c r="L542">
        <v>2277</v>
      </c>
      <c r="M542">
        <v>0</v>
      </c>
      <c r="N542">
        <v>1408</v>
      </c>
      <c r="O542">
        <v>1</v>
      </c>
      <c r="P542">
        <v>5</v>
      </c>
      <c r="Q542">
        <v>0</v>
      </c>
      <c r="R542">
        <v>4</v>
      </c>
      <c r="S542">
        <v>7</v>
      </c>
      <c r="T542">
        <v>6</v>
      </c>
      <c r="U542">
        <v>1</v>
      </c>
      <c r="V542">
        <v>0</v>
      </c>
      <c r="W542">
        <v>20</v>
      </c>
      <c r="X542">
        <v>0</v>
      </c>
      <c r="Y542">
        <v>0</v>
      </c>
      <c r="Z542">
        <v>0</v>
      </c>
      <c r="AA542">
        <v>0</v>
      </c>
      <c r="AB542">
        <v>1</v>
      </c>
      <c r="AC542">
        <v>0</v>
      </c>
      <c r="AD542">
        <v>8</v>
      </c>
      <c r="AE542">
        <v>24</v>
      </c>
      <c r="AF542">
        <v>20</v>
      </c>
      <c r="AG542">
        <v>37</v>
      </c>
      <c r="AH542">
        <v>18</v>
      </c>
      <c r="AI542">
        <v>0</v>
      </c>
      <c r="AJ542">
        <v>46</v>
      </c>
      <c r="AK542">
        <v>0</v>
      </c>
      <c r="AL542">
        <v>0</v>
      </c>
      <c r="AM542">
        <v>47</v>
      </c>
      <c r="AN542">
        <v>27</v>
      </c>
      <c r="AO542">
        <v>18</v>
      </c>
      <c r="AQ542" t="str">
        <f t="shared" si="8"/>
        <v>Midfielder</v>
      </c>
    </row>
    <row r="543" spans="1:43" x14ac:dyDescent="0.35">
      <c r="A543" t="s">
        <v>390</v>
      </c>
      <c r="B543" t="s">
        <v>46</v>
      </c>
      <c r="C543" t="s">
        <v>1409</v>
      </c>
      <c r="D543">
        <v>1987</v>
      </c>
      <c r="E543">
        <v>30</v>
      </c>
      <c r="F543" t="s">
        <v>44</v>
      </c>
      <c r="G543" t="s">
        <v>262</v>
      </c>
      <c r="H543">
        <v>66000000</v>
      </c>
      <c r="I543">
        <v>31500000</v>
      </c>
      <c r="J543" t="s">
        <v>42</v>
      </c>
      <c r="K543">
        <v>14</v>
      </c>
      <c r="L543">
        <v>1092</v>
      </c>
      <c r="M543">
        <v>5</v>
      </c>
      <c r="N543">
        <v>316</v>
      </c>
      <c r="O543">
        <v>0</v>
      </c>
      <c r="P543">
        <v>0</v>
      </c>
      <c r="Q543">
        <v>0</v>
      </c>
      <c r="R543">
        <v>1</v>
      </c>
      <c r="S543">
        <v>8</v>
      </c>
      <c r="T543">
        <v>46</v>
      </c>
      <c r="U543">
        <v>15</v>
      </c>
      <c r="V543">
        <v>2</v>
      </c>
      <c r="W543">
        <v>3</v>
      </c>
      <c r="X543">
        <v>0</v>
      </c>
      <c r="Y543">
        <v>0</v>
      </c>
      <c r="Z543">
        <v>0</v>
      </c>
      <c r="AA543">
        <v>11</v>
      </c>
      <c r="AB543">
        <v>5</v>
      </c>
      <c r="AC543">
        <v>31</v>
      </c>
      <c r="AD543">
        <v>0</v>
      </c>
      <c r="AE543">
        <v>2</v>
      </c>
      <c r="AF543">
        <v>0</v>
      </c>
      <c r="AG543">
        <v>1</v>
      </c>
      <c r="AH543">
        <v>6</v>
      </c>
      <c r="AI543">
        <v>0</v>
      </c>
      <c r="AJ543">
        <v>10</v>
      </c>
      <c r="AK543">
        <v>0</v>
      </c>
      <c r="AL543">
        <v>0</v>
      </c>
      <c r="AM543">
        <v>5</v>
      </c>
      <c r="AN543">
        <v>7</v>
      </c>
      <c r="AO543">
        <v>13</v>
      </c>
      <c r="AQ543" t="str">
        <f t="shared" si="8"/>
        <v>Forward</v>
      </c>
    </row>
    <row r="544" spans="1:43" x14ac:dyDescent="0.35">
      <c r="A544" t="s">
        <v>391</v>
      </c>
      <c r="B544" t="s">
        <v>46</v>
      </c>
      <c r="C544" t="s">
        <v>1410</v>
      </c>
      <c r="D544">
        <v>1998</v>
      </c>
      <c r="E544">
        <v>20</v>
      </c>
      <c r="F544" t="s">
        <v>50</v>
      </c>
      <c r="G544" t="s">
        <v>51</v>
      </c>
      <c r="H544">
        <v>1800000</v>
      </c>
      <c r="I544">
        <v>3150000</v>
      </c>
      <c r="J544" t="s">
        <v>55</v>
      </c>
      <c r="K544">
        <v>17</v>
      </c>
      <c r="L544">
        <v>605</v>
      </c>
      <c r="M544">
        <v>0</v>
      </c>
      <c r="N544">
        <v>244</v>
      </c>
      <c r="O544">
        <v>1</v>
      </c>
      <c r="P544">
        <v>0</v>
      </c>
      <c r="Q544">
        <v>0</v>
      </c>
      <c r="R544">
        <v>11</v>
      </c>
      <c r="S544">
        <v>6</v>
      </c>
      <c r="T544">
        <v>10</v>
      </c>
      <c r="U544">
        <v>3</v>
      </c>
      <c r="V544">
        <v>0</v>
      </c>
      <c r="W544">
        <v>2</v>
      </c>
      <c r="X544">
        <v>0</v>
      </c>
      <c r="Y544">
        <v>0</v>
      </c>
      <c r="Z544">
        <v>0</v>
      </c>
      <c r="AA544">
        <v>1</v>
      </c>
      <c r="AB544">
        <v>0</v>
      </c>
      <c r="AC544">
        <v>7</v>
      </c>
      <c r="AD544">
        <v>5</v>
      </c>
      <c r="AE544">
        <v>14</v>
      </c>
      <c r="AF544">
        <v>0</v>
      </c>
      <c r="AG544">
        <v>1</v>
      </c>
      <c r="AH544">
        <v>4</v>
      </c>
      <c r="AI544">
        <v>0</v>
      </c>
      <c r="AJ544">
        <v>20</v>
      </c>
      <c r="AK544">
        <v>0</v>
      </c>
      <c r="AL544">
        <v>0</v>
      </c>
      <c r="AM544">
        <v>4</v>
      </c>
      <c r="AN544">
        <v>7</v>
      </c>
      <c r="AO544">
        <v>20</v>
      </c>
      <c r="AQ544" t="str">
        <f t="shared" si="8"/>
        <v>Midfielder</v>
      </c>
    </row>
    <row r="545" spans="1:43" x14ac:dyDescent="0.35">
      <c r="A545" t="s">
        <v>392</v>
      </c>
      <c r="B545" t="s">
        <v>39</v>
      </c>
      <c r="C545" t="s">
        <v>1411</v>
      </c>
      <c r="D545">
        <v>1987</v>
      </c>
      <c r="E545">
        <v>28</v>
      </c>
      <c r="F545" t="s">
        <v>123</v>
      </c>
      <c r="G545" t="s">
        <v>108</v>
      </c>
      <c r="H545">
        <v>38500000</v>
      </c>
      <c r="I545">
        <v>38500000</v>
      </c>
      <c r="J545" t="s">
        <v>55</v>
      </c>
      <c r="K545">
        <v>21</v>
      </c>
      <c r="L545">
        <v>1287</v>
      </c>
      <c r="M545">
        <v>0</v>
      </c>
      <c r="N545">
        <v>724</v>
      </c>
      <c r="O545">
        <v>0</v>
      </c>
      <c r="P545">
        <v>2</v>
      </c>
      <c r="Q545">
        <v>0</v>
      </c>
      <c r="R545">
        <v>7</v>
      </c>
      <c r="S545">
        <v>7</v>
      </c>
      <c r="T545">
        <v>16</v>
      </c>
      <c r="U545">
        <v>3</v>
      </c>
      <c r="V545">
        <v>1</v>
      </c>
      <c r="W545">
        <v>4</v>
      </c>
      <c r="X545">
        <v>0</v>
      </c>
      <c r="Y545">
        <v>0</v>
      </c>
      <c r="Z545">
        <v>0</v>
      </c>
      <c r="AA545">
        <v>1</v>
      </c>
      <c r="AB545">
        <v>1</v>
      </c>
      <c r="AC545">
        <v>0</v>
      </c>
      <c r="AD545">
        <v>2</v>
      </c>
      <c r="AE545">
        <v>14</v>
      </c>
      <c r="AF545">
        <v>3</v>
      </c>
      <c r="AG545">
        <v>25</v>
      </c>
      <c r="AH545">
        <v>15</v>
      </c>
      <c r="AI545">
        <v>0</v>
      </c>
      <c r="AJ545">
        <v>23</v>
      </c>
      <c r="AK545">
        <v>0</v>
      </c>
      <c r="AL545">
        <v>0</v>
      </c>
      <c r="AM545">
        <v>12</v>
      </c>
      <c r="AN545">
        <v>8</v>
      </c>
      <c r="AO545">
        <v>12</v>
      </c>
      <c r="AQ545" t="str">
        <f t="shared" si="8"/>
        <v>Midfielder</v>
      </c>
    </row>
    <row r="546" spans="1:43" x14ac:dyDescent="0.35">
      <c r="A546" t="s">
        <v>393</v>
      </c>
      <c r="B546" t="s">
        <v>47</v>
      </c>
      <c r="C546" t="s">
        <v>1412</v>
      </c>
      <c r="D546">
        <v>1992</v>
      </c>
      <c r="E546">
        <v>23</v>
      </c>
      <c r="F546" t="s">
        <v>61</v>
      </c>
      <c r="G546" t="s">
        <v>138</v>
      </c>
      <c r="H546">
        <v>38500000</v>
      </c>
      <c r="I546">
        <v>44000000</v>
      </c>
      <c r="J546" t="s">
        <v>55</v>
      </c>
      <c r="K546">
        <v>32</v>
      </c>
      <c r="L546">
        <v>2486</v>
      </c>
      <c r="M546">
        <v>2</v>
      </c>
      <c r="N546">
        <v>2298</v>
      </c>
      <c r="O546">
        <v>2</v>
      </c>
      <c r="P546">
        <v>5</v>
      </c>
      <c r="Q546">
        <v>2</v>
      </c>
      <c r="R546">
        <v>4</v>
      </c>
      <c r="S546">
        <v>5</v>
      </c>
      <c r="T546">
        <v>34</v>
      </c>
      <c r="U546">
        <v>9</v>
      </c>
      <c r="V546">
        <v>0</v>
      </c>
      <c r="W546">
        <v>19</v>
      </c>
      <c r="X546">
        <v>0</v>
      </c>
      <c r="Y546">
        <v>0</v>
      </c>
      <c r="Z546">
        <v>0</v>
      </c>
      <c r="AA546">
        <v>0</v>
      </c>
      <c r="AB546">
        <v>14</v>
      </c>
      <c r="AC546">
        <v>0</v>
      </c>
      <c r="AD546">
        <v>21</v>
      </c>
      <c r="AE546">
        <v>26</v>
      </c>
      <c r="AF546">
        <v>5</v>
      </c>
      <c r="AG546">
        <v>38</v>
      </c>
      <c r="AH546">
        <v>37</v>
      </c>
      <c r="AI546">
        <v>0</v>
      </c>
      <c r="AJ546">
        <v>77</v>
      </c>
      <c r="AK546">
        <v>2</v>
      </c>
      <c r="AL546">
        <v>0</v>
      </c>
      <c r="AM546">
        <v>33</v>
      </c>
      <c r="AN546">
        <v>33</v>
      </c>
      <c r="AO546">
        <v>25</v>
      </c>
      <c r="AQ546" t="str">
        <f t="shared" si="8"/>
        <v>Midfielder</v>
      </c>
    </row>
    <row r="547" spans="1:43" x14ac:dyDescent="0.35">
      <c r="A547" t="s">
        <v>393</v>
      </c>
      <c r="B547" t="s">
        <v>43</v>
      </c>
      <c r="C547" t="s">
        <v>1413</v>
      </c>
      <c r="D547">
        <v>1992</v>
      </c>
      <c r="E547">
        <v>25</v>
      </c>
      <c r="F547" t="s">
        <v>61</v>
      </c>
      <c r="G547" t="s">
        <v>138</v>
      </c>
      <c r="H547">
        <v>44000000</v>
      </c>
      <c r="I547">
        <v>49500000</v>
      </c>
      <c r="J547" t="s">
        <v>55</v>
      </c>
      <c r="K547">
        <v>38</v>
      </c>
      <c r="L547">
        <v>3266</v>
      </c>
      <c r="M547">
        <v>1</v>
      </c>
      <c r="N547">
        <v>3116</v>
      </c>
      <c r="O547">
        <v>7</v>
      </c>
      <c r="P547">
        <v>10</v>
      </c>
      <c r="Q547">
        <v>0</v>
      </c>
      <c r="R547">
        <v>1</v>
      </c>
      <c r="S547">
        <v>7</v>
      </c>
      <c r="T547">
        <v>66</v>
      </c>
      <c r="U547">
        <v>17</v>
      </c>
      <c r="V547">
        <v>2</v>
      </c>
      <c r="W547">
        <v>41</v>
      </c>
      <c r="X547">
        <v>0</v>
      </c>
      <c r="Y547">
        <v>0</v>
      </c>
      <c r="Z547">
        <v>0</v>
      </c>
      <c r="AA547">
        <v>0</v>
      </c>
      <c r="AB547">
        <v>11</v>
      </c>
      <c r="AC547">
        <v>49</v>
      </c>
      <c r="AD547">
        <v>89</v>
      </c>
      <c r="AE547">
        <v>102</v>
      </c>
      <c r="AF547">
        <v>9</v>
      </c>
      <c r="AG547">
        <v>37</v>
      </c>
      <c r="AH547">
        <v>57</v>
      </c>
      <c r="AI547">
        <v>0</v>
      </c>
      <c r="AJ547">
        <v>78</v>
      </c>
      <c r="AK547">
        <v>3</v>
      </c>
      <c r="AL547">
        <v>0</v>
      </c>
      <c r="AM547">
        <v>64</v>
      </c>
      <c r="AN547">
        <v>49</v>
      </c>
      <c r="AO547">
        <v>50</v>
      </c>
      <c r="AQ547" t="str">
        <f t="shared" si="8"/>
        <v>Midfielder</v>
      </c>
    </row>
    <row r="548" spans="1:43" x14ac:dyDescent="0.35">
      <c r="A548" t="s">
        <v>393</v>
      </c>
      <c r="B548" t="s">
        <v>46</v>
      </c>
      <c r="C548" t="s">
        <v>1414</v>
      </c>
      <c r="D548">
        <v>1992</v>
      </c>
      <c r="E548">
        <v>25</v>
      </c>
      <c r="F548" t="s">
        <v>61</v>
      </c>
      <c r="G548" t="s">
        <v>138</v>
      </c>
      <c r="H548">
        <v>2000000</v>
      </c>
      <c r="I548">
        <v>2000000</v>
      </c>
      <c r="J548" t="s">
        <v>55</v>
      </c>
      <c r="K548">
        <v>29</v>
      </c>
      <c r="L548">
        <v>2501</v>
      </c>
      <c r="M548">
        <v>4</v>
      </c>
      <c r="N548">
        <v>2245</v>
      </c>
      <c r="O548">
        <v>2</v>
      </c>
      <c r="P548">
        <v>10</v>
      </c>
      <c r="Q548">
        <v>0</v>
      </c>
      <c r="R548">
        <v>0</v>
      </c>
      <c r="S548">
        <v>4</v>
      </c>
      <c r="T548">
        <v>29</v>
      </c>
      <c r="U548">
        <v>12</v>
      </c>
      <c r="V548">
        <v>0</v>
      </c>
      <c r="W548">
        <v>31</v>
      </c>
      <c r="X548">
        <v>0</v>
      </c>
      <c r="Y548">
        <v>0</v>
      </c>
      <c r="Z548">
        <v>2</v>
      </c>
      <c r="AA548">
        <v>1</v>
      </c>
      <c r="AB548">
        <v>5</v>
      </c>
      <c r="AC548">
        <v>17</v>
      </c>
      <c r="AD548">
        <v>95</v>
      </c>
      <c r="AE548">
        <v>129</v>
      </c>
      <c r="AF548">
        <v>9</v>
      </c>
      <c r="AG548">
        <v>36</v>
      </c>
      <c r="AH548">
        <v>45</v>
      </c>
      <c r="AI548">
        <v>0</v>
      </c>
      <c r="AJ548">
        <v>52</v>
      </c>
      <c r="AK548">
        <v>2</v>
      </c>
      <c r="AL548">
        <v>0</v>
      </c>
      <c r="AM548">
        <v>54</v>
      </c>
      <c r="AN548">
        <v>52</v>
      </c>
      <c r="AO548">
        <v>41</v>
      </c>
      <c r="AQ548" t="str">
        <f t="shared" si="8"/>
        <v>Midfielder</v>
      </c>
    </row>
    <row r="549" spans="1:43" x14ac:dyDescent="0.35">
      <c r="A549" t="s">
        <v>394</v>
      </c>
      <c r="B549" t="s">
        <v>47</v>
      </c>
      <c r="C549" t="s">
        <v>1415</v>
      </c>
      <c r="D549">
        <v>1986</v>
      </c>
      <c r="E549">
        <v>30</v>
      </c>
      <c r="F549" t="s">
        <v>48</v>
      </c>
      <c r="G549" t="s">
        <v>51</v>
      </c>
      <c r="H549">
        <v>22500000</v>
      </c>
      <c r="I549">
        <v>16500000</v>
      </c>
      <c r="J549" t="s">
        <v>55</v>
      </c>
      <c r="K549">
        <v>13</v>
      </c>
      <c r="L549">
        <v>707</v>
      </c>
      <c r="M549">
        <v>1</v>
      </c>
      <c r="N549">
        <v>340</v>
      </c>
      <c r="O549">
        <v>0</v>
      </c>
      <c r="P549">
        <v>1</v>
      </c>
      <c r="Q549">
        <v>0</v>
      </c>
      <c r="R549">
        <v>6</v>
      </c>
      <c r="S549">
        <v>3</v>
      </c>
      <c r="T549">
        <v>13</v>
      </c>
      <c r="U549">
        <v>3</v>
      </c>
      <c r="V549">
        <v>0</v>
      </c>
      <c r="W549">
        <v>2</v>
      </c>
      <c r="X549">
        <v>0</v>
      </c>
      <c r="Y549">
        <v>0</v>
      </c>
      <c r="Z549">
        <v>0</v>
      </c>
      <c r="AA549">
        <v>0</v>
      </c>
      <c r="AB549">
        <v>1</v>
      </c>
      <c r="AC549">
        <v>0</v>
      </c>
      <c r="AD549">
        <v>13</v>
      </c>
      <c r="AE549">
        <v>17</v>
      </c>
      <c r="AF549">
        <v>1</v>
      </c>
      <c r="AG549">
        <v>10</v>
      </c>
      <c r="AH549">
        <v>8</v>
      </c>
      <c r="AI549">
        <v>0</v>
      </c>
      <c r="AJ549">
        <v>14</v>
      </c>
      <c r="AK549">
        <v>0</v>
      </c>
      <c r="AL549">
        <v>0</v>
      </c>
      <c r="AM549">
        <v>6</v>
      </c>
      <c r="AN549">
        <v>4</v>
      </c>
      <c r="AO549">
        <v>13</v>
      </c>
      <c r="AQ549" t="str">
        <f t="shared" si="8"/>
        <v>Midfielder</v>
      </c>
    </row>
    <row r="550" spans="1:43" x14ac:dyDescent="0.35">
      <c r="A550" t="s">
        <v>395</v>
      </c>
      <c r="B550" t="s">
        <v>39</v>
      </c>
      <c r="C550" t="s">
        <v>1416</v>
      </c>
      <c r="D550">
        <v>1985</v>
      </c>
      <c r="E550">
        <v>30</v>
      </c>
      <c r="F550" t="s">
        <v>220</v>
      </c>
      <c r="G550" t="s">
        <v>82</v>
      </c>
      <c r="H550">
        <v>12900000</v>
      </c>
      <c r="I550">
        <v>12900000</v>
      </c>
      <c r="J550" t="s">
        <v>42</v>
      </c>
      <c r="K550">
        <v>30</v>
      </c>
      <c r="L550">
        <v>2173</v>
      </c>
      <c r="M550">
        <v>11</v>
      </c>
      <c r="N550">
        <v>872</v>
      </c>
      <c r="O550">
        <v>6</v>
      </c>
      <c r="P550">
        <v>6</v>
      </c>
      <c r="Q550">
        <v>0</v>
      </c>
      <c r="R550">
        <v>7</v>
      </c>
      <c r="S550">
        <v>4</v>
      </c>
      <c r="T550">
        <v>81</v>
      </c>
      <c r="U550">
        <v>25</v>
      </c>
      <c r="V550">
        <v>2</v>
      </c>
      <c r="W550">
        <v>22</v>
      </c>
      <c r="X550">
        <v>5</v>
      </c>
      <c r="Y550">
        <v>0</v>
      </c>
      <c r="Z550">
        <v>0</v>
      </c>
      <c r="AA550">
        <v>16</v>
      </c>
      <c r="AB550">
        <v>8</v>
      </c>
      <c r="AC550">
        <v>4</v>
      </c>
      <c r="AD550">
        <v>0</v>
      </c>
      <c r="AE550">
        <v>19</v>
      </c>
      <c r="AF550">
        <v>1</v>
      </c>
      <c r="AG550">
        <v>10</v>
      </c>
      <c r="AH550">
        <v>40</v>
      </c>
      <c r="AI550">
        <v>0</v>
      </c>
      <c r="AJ550">
        <v>13</v>
      </c>
      <c r="AK550">
        <v>0</v>
      </c>
      <c r="AL550">
        <v>0</v>
      </c>
      <c r="AM550">
        <v>30</v>
      </c>
      <c r="AN550">
        <v>108</v>
      </c>
      <c r="AO550">
        <v>82</v>
      </c>
      <c r="AQ550" t="str">
        <f t="shared" si="8"/>
        <v>Forward</v>
      </c>
    </row>
    <row r="551" spans="1:43" x14ac:dyDescent="0.35">
      <c r="A551" t="s">
        <v>396</v>
      </c>
      <c r="B551" t="s">
        <v>43</v>
      </c>
      <c r="C551" t="s">
        <v>1417</v>
      </c>
      <c r="D551">
        <v>1990</v>
      </c>
      <c r="E551">
        <v>27</v>
      </c>
      <c r="F551" t="s">
        <v>103</v>
      </c>
      <c r="G551" t="s">
        <v>397</v>
      </c>
      <c r="H551">
        <v>11000000</v>
      </c>
      <c r="I551">
        <v>13000000</v>
      </c>
      <c r="J551" t="s">
        <v>55</v>
      </c>
      <c r="K551">
        <v>27</v>
      </c>
      <c r="L551">
        <v>1642</v>
      </c>
      <c r="M551">
        <v>0</v>
      </c>
      <c r="N551">
        <v>813</v>
      </c>
      <c r="O551">
        <v>2</v>
      </c>
      <c r="P551">
        <v>2</v>
      </c>
      <c r="Q551">
        <v>0</v>
      </c>
      <c r="R551">
        <v>7</v>
      </c>
      <c r="S551">
        <v>9</v>
      </c>
      <c r="T551">
        <v>17</v>
      </c>
      <c r="U551">
        <v>3</v>
      </c>
      <c r="V551">
        <v>1</v>
      </c>
      <c r="W551">
        <v>13</v>
      </c>
      <c r="X551">
        <v>0</v>
      </c>
      <c r="Y551">
        <v>0</v>
      </c>
      <c r="Z551">
        <v>0</v>
      </c>
      <c r="AA551">
        <v>0</v>
      </c>
      <c r="AB551">
        <v>6</v>
      </c>
      <c r="AC551">
        <v>14</v>
      </c>
      <c r="AD551">
        <v>11</v>
      </c>
      <c r="AE551">
        <v>18</v>
      </c>
      <c r="AF551">
        <v>5</v>
      </c>
      <c r="AG551">
        <v>45</v>
      </c>
      <c r="AH551">
        <v>31</v>
      </c>
      <c r="AI551">
        <v>0</v>
      </c>
      <c r="AJ551">
        <v>40</v>
      </c>
      <c r="AK551">
        <v>0</v>
      </c>
      <c r="AL551">
        <v>0</v>
      </c>
      <c r="AM551">
        <v>23</v>
      </c>
      <c r="AN551">
        <v>26</v>
      </c>
      <c r="AO551">
        <v>15</v>
      </c>
      <c r="AQ551" t="str">
        <f t="shared" si="8"/>
        <v>Midfielder</v>
      </c>
    </row>
    <row r="552" spans="1:43" x14ac:dyDescent="0.35">
      <c r="A552" t="s">
        <v>398</v>
      </c>
      <c r="B552" t="s">
        <v>39</v>
      </c>
      <c r="C552" t="s">
        <v>1418</v>
      </c>
      <c r="D552">
        <v>1989</v>
      </c>
      <c r="E552">
        <v>26</v>
      </c>
      <c r="F552" t="s">
        <v>40</v>
      </c>
      <c r="G552" t="s">
        <v>170</v>
      </c>
      <c r="H552">
        <v>13000000</v>
      </c>
      <c r="I552">
        <v>25000000</v>
      </c>
      <c r="J552" t="s">
        <v>55</v>
      </c>
      <c r="K552">
        <v>36</v>
      </c>
      <c r="L552">
        <v>2917</v>
      </c>
      <c r="M552">
        <v>11</v>
      </c>
      <c r="N552">
        <v>1193</v>
      </c>
      <c r="O552">
        <v>3</v>
      </c>
      <c r="P552">
        <v>6</v>
      </c>
      <c r="Q552">
        <v>0</v>
      </c>
      <c r="R552">
        <v>4</v>
      </c>
      <c r="S552">
        <v>6</v>
      </c>
      <c r="T552">
        <v>88</v>
      </c>
      <c r="U552">
        <v>32</v>
      </c>
      <c r="V552">
        <v>3</v>
      </c>
      <c r="W552">
        <v>6</v>
      </c>
      <c r="X552">
        <v>0</v>
      </c>
      <c r="Y552">
        <v>3</v>
      </c>
      <c r="Z552">
        <v>2</v>
      </c>
      <c r="AA552">
        <v>4</v>
      </c>
      <c r="AB552">
        <v>13</v>
      </c>
      <c r="AC552">
        <v>4</v>
      </c>
      <c r="AD552">
        <v>105</v>
      </c>
      <c r="AE552">
        <v>167</v>
      </c>
      <c r="AF552">
        <v>5</v>
      </c>
      <c r="AG552">
        <v>27</v>
      </c>
      <c r="AH552">
        <v>26</v>
      </c>
      <c r="AI552">
        <v>0</v>
      </c>
      <c r="AJ552">
        <v>42</v>
      </c>
      <c r="AK552">
        <v>0</v>
      </c>
      <c r="AL552">
        <v>0</v>
      </c>
      <c r="AM552">
        <v>15</v>
      </c>
      <c r="AN552">
        <v>5</v>
      </c>
      <c r="AO552">
        <v>27</v>
      </c>
      <c r="AQ552" t="str">
        <f t="shared" si="8"/>
        <v>Midfielder</v>
      </c>
    </row>
    <row r="553" spans="1:43" x14ac:dyDescent="0.35">
      <c r="A553" t="s">
        <v>398</v>
      </c>
      <c r="B553" t="s">
        <v>47</v>
      </c>
      <c r="C553" t="s">
        <v>1419</v>
      </c>
      <c r="D553">
        <v>1989</v>
      </c>
      <c r="E553">
        <v>27</v>
      </c>
      <c r="F553" t="s">
        <v>54</v>
      </c>
      <c r="G553" t="s">
        <v>170</v>
      </c>
      <c r="H553">
        <v>25000000</v>
      </c>
      <c r="I553">
        <v>30000000</v>
      </c>
      <c r="J553" t="s">
        <v>55</v>
      </c>
      <c r="K553">
        <v>38</v>
      </c>
      <c r="L553">
        <v>3328</v>
      </c>
      <c r="M553">
        <v>9</v>
      </c>
      <c r="N553">
        <v>1038</v>
      </c>
      <c r="O553">
        <v>13</v>
      </c>
      <c r="P553">
        <v>2</v>
      </c>
      <c r="Q553">
        <v>0</v>
      </c>
      <c r="R553">
        <v>0</v>
      </c>
      <c r="S553">
        <v>2</v>
      </c>
      <c r="T553">
        <v>116</v>
      </c>
      <c r="U553">
        <v>50</v>
      </c>
      <c r="V553">
        <v>3</v>
      </c>
      <c r="W553">
        <v>4</v>
      </c>
      <c r="X553">
        <v>0</v>
      </c>
      <c r="Y553">
        <v>3</v>
      </c>
      <c r="Z553">
        <v>2</v>
      </c>
      <c r="AA553">
        <v>1</v>
      </c>
      <c r="AB553">
        <v>6</v>
      </c>
      <c r="AC553">
        <v>2</v>
      </c>
      <c r="AD553">
        <v>183</v>
      </c>
      <c r="AE553">
        <v>304</v>
      </c>
      <c r="AF553">
        <v>3</v>
      </c>
      <c r="AG553">
        <v>35</v>
      </c>
      <c r="AH553">
        <v>18</v>
      </c>
      <c r="AI553">
        <v>0</v>
      </c>
      <c r="AJ553">
        <v>45</v>
      </c>
      <c r="AK553">
        <v>0</v>
      </c>
      <c r="AL553">
        <v>0</v>
      </c>
      <c r="AM553">
        <v>23</v>
      </c>
      <c r="AN553">
        <v>7</v>
      </c>
      <c r="AO553">
        <v>17</v>
      </c>
      <c r="AQ553" t="str">
        <f t="shared" si="8"/>
        <v>Midfielder</v>
      </c>
    </row>
    <row r="554" spans="1:43" x14ac:dyDescent="0.35">
      <c r="A554" t="s">
        <v>398</v>
      </c>
      <c r="B554" t="s">
        <v>43</v>
      </c>
      <c r="C554" t="s">
        <v>1420</v>
      </c>
      <c r="D554">
        <v>1989</v>
      </c>
      <c r="E554">
        <v>28</v>
      </c>
      <c r="F554" t="s">
        <v>54</v>
      </c>
      <c r="G554" t="s">
        <v>170</v>
      </c>
      <c r="H554">
        <v>30000000</v>
      </c>
      <c r="I554">
        <v>35000000</v>
      </c>
      <c r="J554" t="s">
        <v>55</v>
      </c>
      <c r="K554">
        <v>27</v>
      </c>
      <c r="L554">
        <v>2262</v>
      </c>
      <c r="M554">
        <v>4</v>
      </c>
      <c r="N554">
        <v>700</v>
      </c>
      <c r="O554">
        <v>3</v>
      </c>
      <c r="P554">
        <v>2</v>
      </c>
      <c r="Q554">
        <v>0</v>
      </c>
      <c r="R554">
        <v>2</v>
      </c>
      <c r="S554">
        <v>5</v>
      </c>
      <c r="T554">
        <v>39</v>
      </c>
      <c r="U554">
        <v>12</v>
      </c>
      <c r="V554">
        <v>0</v>
      </c>
      <c r="W554">
        <v>8</v>
      </c>
      <c r="X554">
        <v>0</v>
      </c>
      <c r="Y554">
        <v>0</v>
      </c>
      <c r="Z554">
        <v>0</v>
      </c>
      <c r="AA554">
        <v>0</v>
      </c>
      <c r="AB554">
        <v>6</v>
      </c>
      <c r="AC554">
        <v>27</v>
      </c>
      <c r="AD554">
        <v>75</v>
      </c>
      <c r="AE554">
        <v>150</v>
      </c>
      <c r="AF554">
        <v>7</v>
      </c>
      <c r="AG554">
        <v>34</v>
      </c>
      <c r="AH554">
        <v>19</v>
      </c>
      <c r="AI554">
        <v>0</v>
      </c>
      <c r="AJ554">
        <v>38</v>
      </c>
      <c r="AK554">
        <v>0</v>
      </c>
      <c r="AL554">
        <v>0</v>
      </c>
      <c r="AM554">
        <v>30</v>
      </c>
      <c r="AN554">
        <v>19</v>
      </c>
      <c r="AO554">
        <v>39</v>
      </c>
      <c r="AQ554" t="str">
        <f t="shared" si="8"/>
        <v>Midfielder</v>
      </c>
    </row>
    <row r="555" spans="1:43" x14ac:dyDescent="0.35">
      <c r="A555" t="s">
        <v>398</v>
      </c>
      <c r="B555" t="s">
        <v>46</v>
      </c>
      <c r="C555" t="s">
        <v>1421</v>
      </c>
      <c r="D555">
        <v>1989</v>
      </c>
      <c r="E555">
        <v>29</v>
      </c>
      <c r="F555" t="s">
        <v>54</v>
      </c>
      <c r="G555" t="s">
        <v>170</v>
      </c>
      <c r="H555">
        <v>1350000</v>
      </c>
      <c r="I555">
        <v>1800000</v>
      </c>
      <c r="J555" t="s">
        <v>55</v>
      </c>
      <c r="K555">
        <v>38</v>
      </c>
      <c r="L555">
        <v>3127</v>
      </c>
      <c r="M555">
        <v>13</v>
      </c>
      <c r="N555">
        <v>990</v>
      </c>
      <c r="O555">
        <v>6</v>
      </c>
      <c r="P555">
        <v>3</v>
      </c>
      <c r="Q555">
        <v>0</v>
      </c>
      <c r="R555">
        <v>2</v>
      </c>
      <c r="S555">
        <v>19</v>
      </c>
      <c r="T555">
        <v>86</v>
      </c>
      <c r="U555">
        <v>34</v>
      </c>
      <c r="V555">
        <v>3</v>
      </c>
      <c r="W555">
        <v>9</v>
      </c>
      <c r="X555">
        <v>0</v>
      </c>
      <c r="Y555">
        <v>2</v>
      </c>
      <c r="Z555">
        <v>0</v>
      </c>
      <c r="AA555">
        <v>3</v>
      </c>
      <c r="AB555">
        <v>19</v>
      </c>
      <c r="AC555">
        <v>52</v>
      </c>
      <c r="AD555">
        <v>105</v>
      </c>
      <c r="AE555">
        <v>196</v>
      </c>
      <c r="AF555">
        <v>4</v>
      </c>
      <c r="AG555">
        <v>28</v>
      </c>
      <c r="AH555">
        <v>33</v>
      </c>
      <c r="AI555">
        <v>0</v>
      </c>
      <c r="AJ555">
        <v>55</v>
      </c>
      <c r="AK555">
        <v>0</v>
      </c>
      <c r="AL555">
        <v>0</v>
      </c>
      <c r="AM555">
        <v>23</v>
      </c>
      <c r="AN555">
        <v>19</v>
      </c>
      <c r="AO555">
        <v>42</v>
      </c>
      <c r="AQ555" t="str">
        <f t="shared" si="8"/>
        <v>Midfielder</v>
      </c>
    </row>
    <row r="556" spans="1:43" x14ac:dyDescent="0.35">
      <c r="A556" t="s">
        <v>399</v>
      </c>
      <c r="B556" t="s">
        <v>47</v>
      </c>
      <c r="C556" t="s">
        <v>1422</v>
      </c>
      <c r="D556">
        <v>1990</v>
      </c>
      <c r="E556">
        <v>26</v>
      </c>
      <c r="F556" t="s">
        <v>50</v>
      </c>
      <c r="G556" t="s">
        <v>87</v>
      </c>
      <c r="H556">
        <v>6600000</v>
      </c>
      <c r="I556">
        <v>5500000</v>
      </c>
      <c r="J556" t="s">
        <v>52</v>
      </c>
      <c r="K556">
        <v>16</v>
      </c>
      <c r="L556">
        <v>956</v>
      </c>
      <c r="M556">
        <v>0</v>
      </c>
      <c r="N556">
        <v>413</v>
      </c>
      <c r="O556">
        <v>1</v>
      </c>
      <c r="P556">
        <v>2</v>
      </c>
      <c r="Q556">
        <v>0</v>
      </c>
      <c r="R556">
        <v>5</v>
      </c>
      <c r="S556">
        <v>3</v>
      </c>
      <c r="T556">
        <v>7</v>
      </c>
      <c r="U556">
        <v>1</v>
      </c>
      <c r="V556">
        <v>0</v>
      </c>
      <c r="W556">
        <v>15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9</v>
      </c>
      <c r="AF556">
        <v>4</v>
      </c>
      <c r="AG556">
        <v>24</v>
      </c>
      <c r="AH556">
        <v>11</v>
      </c>
      <c r="AI556">
        <v>0</v>
      </c>
      <c r="AJ556">
        <v>18</v>
      </c>
      <c r="AK556">
        <v>0</v>
      </c>
      <c r="AL556">
        <v>0</v>
      </c>
      <c r="AM556">
        <v>25</v>
      </c>
      <c r="AN556">
        <v>19</v>
      </c>
      <c r="AO556">
        <v>7</v>
      </c>
      <c r="AQ556" t="str">
        <f t="shared" si="8"/>
        <v>Defensive Forward</v>
      </c>
    </row>
    <row r="557" spans="1:43" x14ac:dyDescent="0.35">
      <c r="A557" t="s">
        <v>400</v>
      </c>
      <c r="B557" t="s">
        <v>46</v>
      </c>
      <c r="C557" t="s">
        <v>1423</v>
      </c>
      <c r="D557">
        <v>1994</v>
      </c>
      <c r="E557">
        <v>24</v>
      </c>
      <c r="F557" t="s">
        <v>90</v>
      </c>
      <c r="G557" t="s">
        <v>41</v>
      </c>
      <c r="H557">
        <v>11000000</v>
      </c>
      <c r="I557">
        <v>16500000</v>
      </c>
      <c r="J557" t="s">
        <v>42</v>
      </c>
      <c r="K557">
        <v>25</v>
      </c>
      <c r="L557">
        <v>1345</v>
      </c>
      <c r="M557">
        <v>0</v>
      </c>
      <c r="N557">
        <v>442</v>
      </c>
      <c r="O557">
        <v>2</v>
      </c>
      <c r="P557">
        <v>0</v>
      </c>
      <c r="Q557">
        <v>0</v>
      </c>
      <c r="R557">
        <v>9</v>
      </c>
      <c r="S557">
        <v>14</v>
      </c>
      <c r="T557">
        <v>25</v>
      </c>
      <c r="U557">
        <v>7</v>
      </c>
      <c r="V557">
        <v>0</v>
      </c>
      <c r="W557">
        <v>3</v>
      </c>
      <c r="X557">
        <v>0</v>
      </c>
      <c r="Y557">
        <v>0</v>
      </c>
      <c r="Z557">
        <v>0</v>
      </c>
      <c r="AA557">
        <v>6</v>
      </c>
      <c r="AB557">
        <v>3</v>
      </c>
      <c r="AC557">
        <v>18</v>
      </c>
      <c r="AD557">
        <v>6</v>
      </c>
      <c r="AE557">
        <v>50</v>
      </c>
      <c r="AF557">
        <v>0</v>
      </c>
      <c r="AG557">
        <v>9</v>
      </c>
      <c r="AH557">
        <v>20</v>
      </c>
      <c r="AI557">
        <v>0</v>
      </c>
      <c r="AJ557">
        <v>18</v>
      </c>
      <c r="AK557">
        <v>0</v>
      </c>
      <c r="AL557">
        <v>0</v>
      </c>
      <c r="AM557">
        <v>5</v>
      </c>
      <c r="AN557">
        <v>10</v>
      </c>
      <c r="AO557">
        <v>35</v>
      </c>
      <c r="AQ557" t="str">
        <f t="shared" si="8"/>
        <v>Forward</v>
      </c>
    </row>
    <row r="558" spans="1:43" x14ac:dyDescent="0.35">
      <c r="A558" t="s">
        <v>401</v>
      </c>
      <c r="B558" t="s">
        <v>47</v>
      </c>
      <c r="C558" t="s">
        <v>1424</v>
      </c>
      <c r="D558">
        <v>1989</v>
      </c>
      <c r="E558">
        <v>27</v>
      </c>
      <c r="F558" t="s">
        <v>103</v>
      </c>
      <c r="G558" t="s">
        <v>62</v>
      </c>
      <c r="H558">
        <v>3300000</v>
      </c>
      <c r="I558">
        <v>2250000</v>
      </c>
      <c r="J558" t="s">
        <v>42</v>
      </c>
      <c r="K558">
        <v>29</v>
      </c>
      <c r="L558">
        <v>683</v>
      </c>
      <c r="M558">
        <v>3</v>
      </c>
      <c r="N558">
        <v>166</v>
      </c>
      <c r="O558">
        <v>2</v>
      </c>
      <c r="P558">
        <v>3</v>
      </c>
      <c r="Q558">
        <v>0</v>
      </c>
      <c r="R558">
        <v>24</v>
      </c>
      <c r="S558">
        <v>4</v>
      </c>
      <c r="T558">
        <v>16</v>
      </c>
      <c r="U558">
        <v>6</v>
      </c>
      <c r="V558">
        <v>0</v>
      </c>
      <c r="W558">
        <v>8</v>
      </c>
      <c r="X558">
        <v>0</v>
      </c>
      <c r="Y558">
        <v>0</v>
      </c>
      <c r="Z558">
        <v>0</v>
      </c>
      <c r="AA558">
        <v>5</v>
      </c>
      <c r="AB558">
        <v>0</v>
      </c>
      <c r="AC558">
        <v>2</v>
      </c>
      <c r="AD558">
        <v>0</v>
      </c>
      <c r="AE558">
        <v>12</v>
      </c>
      <c r="AF558">
        <v>0</v>
      </c>
      <c r="AG558">
        <v>4</v>
      </c>
      <c r="AH558">
        <v>28</v>
      </c>
      <c r="AI558">
        <v>0</v>
      </c>
      <c r="AJ558">
        <v>5</v>
      </c>
      <c r="AK558">
        <v>0</v>
      </c>
      <c r="AL558">
        <v>0</v>
      </c>
      <c r="AM558">
        <v>8</v>
      </c>
      <c r="AN558">
        <v>19</v>
      </c>
      <c r="AO558">
        <v>37</v>
      </c>
      <c r="AQ558" t="str">
        <f t="shared" si="8"/>
        <v>Forward</v>
      </c>
    </row>
    <row r="559" spans="1:43" x14ac:dyDescent="0.35">
      <c r="A559" t="s">
        <v>401</v>
      </c>
      <c r="B559" t="s">
        <v>43</v>
      </c>
      <c r="C559" t="s">
        <v>1425</v>
      </c>
      <c r="D559">
        <v>1989</v>
      </c>
      <c r="E559">
        <v>28</v>
      </c>
      <c r="F559" t="s">
        <v>103</v>
      </c>
      <c r="G559" t="s">
        <v>62</v>
      </c>
      <c r="H559">
        <v>2250000</v>
      </c>
      <c r="I559">
        <v>2250000</v>
      </c>
      <c r="J559" t="s">
        <v>42</v>
      </c>
      <c r="K559">
        <v>21</v>
      </c>
      <c r="L559">
        <v>822</v>
      </c>
      <c r="M559">
        <v>2</v>
      </c>
      <c r="N559">
        <v>184</v>
      </c>
      <c r="O559">
        <v>0</v>
      </c>
      <c r="P559">
        <v>2</v>
      </c>
      <c r="Q559">
        <v>1</v>
      </c>
      <c r="R559">
        <v>13</v>
      </c>
      <c r="S559">
        <v>6</v>
      </c>
      <c r="T559">
        <v>19</v>
      </c>
      <c r="U559">
        <v>8</v>
      </c>
      <c r="V559">
        <v>1</v>
      </c>
      <c r="W559">
        <v>4</v>
      </c>
      <c r="X559">
        <v>1</v>
      </c>
      <c r="Y559">
        <v>0</v>
      </c>
      <c r="Z559">
        <v>0</v>
      </c>
      <c r="AA559">
        <v>6</v>
      </c>
      <c r="AB559">
        <v>1</v>
      </c>
      <c r="AC559">
        <v>11</v>
      </c>
      <c r="AD559">
        <v>0</v>
      </c>
      <c r="AE559">
        <v>19</v>
      </c>
      <c r="AF559">
        <v>3</v>
      </c>
      <c r="AG559">
        <v>4</v>
      </c>
      <c r="AH559">
        <v>20</v>
      </c>
      <c r="AI559">
        <v>0</v>
      </c>
      <c r="AJ559">
        <v>5</v>
      </c>
      <c r="AK559">
        <v>0</v>
      </c>
      <c r="AL559">
        <v>0</v>
      </c>
      <c r="AM559">
        <v>9</v>
      </c>
      <c r="AN559">
        <v>24</v>
      </c>
      <c r="AO559">
        <v>45</v>
      </c>
      <c r="AQ559" t="str">
        <f t="shared" si="8"/>
        <v>Forward</v>
      </c>
    </row>
    <row r="560" spans="1:43" x14ac:dyDescent="0.35">
      <c r="A560" t="s">
        <v>402</v>
      </c>
      <c r="B560" t="s">
        <v>39</v>
      </c>
      <c r="C560" t="s">
        <v>1426</v>
      </c>
      <c r="D560">
        <v>1989</v>
      </c>
      <c r="E560">
        <v>25</v>
      </c>
      <c r="F560" t="s">
        <v>84</v>
      </c>
      <c r="G560" t="s">
        <v>260</v>
      </c>
      <c r="H560">
        <v>1800000</v>
      </c>
      <c r="I560">
        <v>2250000</v>
      </c>
      <c r="J560" t="s">
        <v>55</v>
      </c>
      <c r="K560">
        <v>21</v>
      </c>
      <c r="L560">
        <v>1670</v>
      </c>
      <c r="M560">
        <v>1</v>
      </c>
      <c r="N560">
        <v>1034</v>
      </c>
      <c r="O560">
        <v>0</v>
      </c>
      <c r="P560">
        <v>7</v>
      </c>
      <c r="Q560">
        <v>0</v>
      </c>
      <c r="R560">
        <v>0</v>
      </c>
      <c r="S560">
        <v>13</v>
      </c>
      <c r="T560">
        <v>36</v>
      </c>
      <c r="U560">
        <v>7</v>
      </c>
      <c r="V560">
        <v>0</v>
      </c>
      <c r="W560">
        <v>3</v>
      </c>
      <c r="X560">
        <v>0</v>
      </c>
      <c r="Y560">
        <v>0</v>
      </c>
      <c r="Z560">
        <v>0</v>
      </c>
      <c r="AA560">
        <v>0</v>
      </c>
      <c r="AB560">
        <v>5</v>
      </c>
      <c r="AC560">
        <v>0</v>
      </c>
      <c r="AD560">
        <v>2</v>
      </c>
      <c r="AE560">
        <v>7</v>
      </c>
      <c r="AF560">
        <v>1</v>
      </c>
      <c r="AG560">
        <v>25</v>
      </c>
      <c r="AH560">
        <v>23</v>
      </c>
      <c r="AI560">
        <v>0</v>
      </c>
      <c r="AJ560">
        <v>57</v>
      </c>
      <c r="AK560">
        <v>0</v>
      </c>
      <c r="AL560">
        <v>0</v>
      </c>
      <c r="AM560">
        <v>9</v>
      </c>
      <c r="AN560">
        <v>8</v>
      </c>
      <c r="AO560">
        <v>5</v>
      </c>
      <c r="AQ560" t="str">
        <f t="shared" si="8"/>
        <v>Midfielder</v>
      </c>
    </row>
    <row r="561" spans="1:43" x14ac:dyDescent="0.35">
      <c r="A561" t="s">
        <v>402</v>
      </c>
      <c r="B561" t="s">
        <v>47</v>
      </c>
      <c r="C561" t="s">
        <v>1427</v>
      </c>
      <c r="D561">
        <v>1989</v>
      </c>
      <c r="E561">
        <v>26</v>
      </c>
      <c r="F561" t="s">
        <v>84</v>
      </c>
      <c r="G561" t="s">
        <v>260</v>
      </c>
      <c r="H561">
        <v>2250000</v>
      </c>
      <c r="I561">
        <v>6300000</v>
      </c>
      <c r="J561" t="s">
        <v>55</v>
      </c>
      <c r="K561">
        <v>35</v>
      </c>
      <c r="L561">
        <v>2959</v>
      </c>
      <c r="M561">
        <v>1</v>
      </c>
      <c r="N561">
        <v>2004</v>
      </c>
      <c r="O561">
        <v>4</v>
      </c>
      <c r="P561">
        <v>11</v>
      </c>
      <c r="Q561">
        <v>1</v>
      </c>
      <c r="R561">
        <v>2</v>
      </c>
      <c r="S561">
        <v>4</v>
      </c>
      <c r="T561">
        <v>54</v>
      </c>
      <c r="U561">
        <v>11</v>
      </c>
      <c r="V561">
        <v>2</v>
      </c>
      <c r="W561">
        <v>7</v>
      </c>
      <c r="X561">
        <v>0</v>
      </c>
      <c r="Y561">
        <v>0</v>
      </c>
      <c r="Z561">
        <v>0</v>
      </c>
      <c r="AA561">
        <v>0</v>
      </c>
      <c r="AB561">
        <v>7</v>
      </c>
      <c r="AC561">
        <v>2</v>
      </c>
      <c r="AD561">
        <v>14</v>
      </c>
      <c r="AE561">
        <v>21</v>
      </c>
      <c r="AF561">
        <v>13</v>
      </c>
      <c r="AG561">
        <v>48</v>
      </c>
      <c r="AH561">
        <v>34</v>
      </c>
      <c r="AI561">
        <v>0</v>
      </c>
      <c r="AJ561">
        <v>83</v>
      </c>
      <c r="AK561">
        <v>1</v>
      </c>
      <c r="AL561">
        <v>0</v>
      </c>
      <c r="AM561">
        <v>31</v>
      </c>
      <c r="AN561">
        <v>5</v>
      </c>
      <c r="AO561">
        <v>8</v>
      </c>
      <c r="AQ561" t="str">
        <f t="shared" si="8"/>
        <v>Midfielder</v>
      </c>
    </row>
    <row r="562" spans="1:43" x14ac:dyDescent="0.35">
      <c r="A562" t="s">
        <v>402</v>
      </c>
      <c r="B562" t="s">
        <v>43</v>
      </c>
      <c r="C562" t="s">
        <v>1428</v>
      </c>
      <c r="D562">
        <v>1989</v>
      </c>
      <c r="E562">
        <v>28</v>
      </c>
      <c r="F562" t="s">
        <v>84</v>
      </c>
      <c r="G562" t="s">
        <v>260</v>
      </c>
      <c r="H562">
        <v>6300000</v>
      </c>
      <c r="I562">
        <v>6300000</v>
      </c>
      <c r="J562" t="s">
        <v>55</v>
      </c>
      <c r="K562">
        <v>13</v>
      </c>
      <c r="L562">
        <v>961</v>
      </c>
      <c r="M562">
        <v>1</v>
      </c>
      <c r="N562">
        <v>586</v>
      </c>
      <c r="O562">
        <v>0</v>
      </c>
      <c r="P562">
        <v>4</v>
      </c>
      <c r="Q562">
        <v>0</v>
      </c>
      <c r="R562">
        <v>2</v>
      </c>
      <c r="S562">
        <v>4</v>
      </c>
      <c r="T562">
        <v>11</v>
      </c>
      <c r="U562">
        <v>1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1</v>
      </c>
      <c r="AC562">
        <v>10</v>
      </c>
      <c r="AD562">
        <v>1</v>
      </c>
      <c r="AE562">
        <v>5</v>
      </c>
      <c r="AF562">
        <v>5</v>
      </c>
      <c r="AG562">
        <v>9</v>
      </c>
      <c r="AH562">
        <v>9</v>
      </c>
      <c r="AI562">
        <v>0</v>
      </c>
      <c r="AJ562">
        <v>19</v>
      </c>
      <c r="AK562">
        <v>0</v>
      </c>
      <c r="AL562">
        <v>0</v>
      </c>
      <c r="AM562">
        <v>5</v>
      </c>
      <c r="AN562">
        <v>6</v>
      </c>
      <c r="AO562">
        <v>2</v>
      </c>
      <c r="AQ562" t="str">
        <f t="shared" si="8"/>
        <v>Midfielder</v>
      </c>
    </row>
    <row r="563" spans="1:43" x14ac:dyDescent="0.35">
      <c r="A563" t="s">
        <v>402</v>
      </c>
      <c r="B563" t="s">
        <v>46</v>
      </c>
      <c r="C563" t="s">
        <v>1429</v>
      </c>
      <c r="D563">
        <v>1989</v>
      </c>
      <c r="E563">
        <v>28</v>
      </c>
      <c r="F563" t="s">
        <v>169</v>
      </c>
      <c r="G563" t="s">
        <v>260</v>
      </c>
      <c r="H563">
        <v>1100000</v>
      </c>
      <c r="I563">
        <v>4400000</v>
      </c>
      <c r="J563" t="s">
        <v>55</v>
      </c>
      <c r="K563">
        <v>25</v>
      </c>
      <c r="L563">
        <v>2006</v>
      </c>
      <c r="M563">
        <v>0</v>
      </c>
      <c r="N563">
        <v>658</v>
      </c>
      <c r="O563">
        <v>1</v>
      </c>
      <c r="P563">
        <v>10</v>
      </c>
      <c r="Q563">
        <v>0</v>
      </c>
      <c r="R563">
        <v>1</v>
      </c>
      <c r="S563">
        <v>12</v>
      </c>
      <c r="T563">
        <v>23</v>
      </c>
      <c r="U563">
        <v>5</v>
      </c>
      <c r="V563">
        <v>3</v>
      </c>
      <c r="W563">
        <v>7</v>
      </c>
      <c r="X563">
        <v>0</v>
      </c>
      <c r="Y563">
        <v>0</v>
      </c>
      <c r="Z563">
        <v>0</v>
      </c>
      <c r="AA563">
        <v>2</v>
      </c>
      <c r="AB563">
        <v>3</v>
      </c>
      <c r="AC563">
        <v>18</v>
      </c>
      <c r="AD563">
        <v>0</v>
      </c>
      <c r="AE563">
        <v>17</v>
      </c>
      <c r="AF563">
        <v>5</v>
      </c>
      <c r="AG563">
        <v>21</v>
      </c>
      <c r="AH563">
        <v>25</v>
      </c>
      <c r="AI563">
        <v>0</v>
      </c>
      <c r="AJ563">
        <v>62</v>
      </c>
      <c r="AK563">
        <v>2</v>
      </c>
      <c r="AL563">
        <v>0</v>
      </c>
      <c r="AM563">
        <v>20</v>
      </c>
      <c r="AN563">
        <v>6</v>
      </c>
      <c r="AO563">
        <v>14</v>
      </c>
      <c r="AQ563" t="str">
        <f t="shared" si="8"/>
        <v>Midfielder</v>
      </c>
    </row>
    <row r="564" spans="1:43" x14ac:dyDescent="0.35">
      <c r="A564" t="s">
        <v>403</v>
      </c>
      <c r="B564" t="s">
        <v>39</v>
      </c>
      <c r="C564" t="s">
        <v>1430</v>
      </c>
      <c r="D564">
        <v>1993</v>
      </c>
      <c r="E564">
        <v>22</v>
      </c>
      <c r="F564" t="s">
        <v>191</v>
      </c>
      <c r="G564" t="s">
        <v>51</v>
      </c>
      <c r="H564">
        <v>27500000</v>
      </c>
      <c r="I564">
        <v>36000000</v>
      </c>
      <c r="J564" t="s">
        <v>42</v>
      </c>
      <c r="K564">
        <v>38</v>
      </c>
      <c r="L564">
        <v>3368</v>
      </c>
      <c r="M564">
        <v>25</v>
      </c>
      <c r="N564">
        <v>962</v>
      </c>
      <c r="O564">
        <v>1</v>
      </c>
      <c r="P564">
        <v>5</v>
      </c>
      <c r="Q564">
        <v>0</v>
      </c>
      <c r="R564">
        <v>0</v>
      </c>
      <c r="S564">
        <v>9</v>
      </c>
      <c r="T564">
        <v>158</v>
      </c>
      <c r="U564">
        <v>75</v>
      </c>
      <c r="V564">
        <v>7</v>
      </c>
      <c r="W564">
        <v>18</v>
      </c>
      <c r="X564">
        <v>1</v>
      </c>
      <c r="Y564">
        <v>5</v>
      </c>
      <c r="Z564">
        <v>0</v>
      </c>
      <c r="AA564">
        <v>30</v>
      </c>
      <c r="AB564">
        <v>5</v>
      </c>
      <c r="AC564">
        <v>18</v>
      </c>
      <c r="AD564">
        <v>7</v>
      </c>
      <c r="AE564">
        <v>44</v>
      </c>
      <c r="AF564">
        <v>9</v>
      </c>
      <c r="AG564">
        <v>21</v>
      </c>
      <c r="AH564">
        <v>42</v>
      </c>
      <c r="AI564">
        <v>0</v>
      </c>
      <c r="AJ564">
        <v>29</v>
      </c>
      <c r="AK564">
        <v>0</v>
      </c>
      <c r="AL564">
        <v>1</v>
      </c>
      <c r="AM564">
        <v>31</v>
      </c>
      <c r="AN564">
        <v>76</v>
      </c>
      <c r="AO564">
        <v>142</v>
      </c>
      <c r="AQ564" t="str">
        <f t="shared" si="8"/>
        <v>Forward</v>
      </c>
    </row>
    <row r="565" spans="1:43" x14ac:dyDescent="0.35">
      <c r="A565" t="s">
        <v>403</v>
      </c>
      <c r="B565" t="s">
        <v>47</v>
      </c>
      <c r="C565" t="s">
        <v>1431</v>
      </c>
      <c r="D565">
        <v>1993</v>
      </c>
      <c r="E565">
        <v>23</v>
      </c>
      <c r="F565" t="s">
        <v>191</v>
      </c>
      <c r="G565" t="s">
        <v>51</v>
      </c>
      <c r="H565">
        <v>36000000</v>
      </c>
      <c r="I565">
        <v>54000000</v>
      </c>
      <c r="J565" t="s">
        <v>42</v>
      </c>
      <c r="K565">
        <v>30</v>
      </c>
      <c r="L565">
        <v>2531</v>
      </c>
      <c r="M565">
        <v>29</v>
      </c>
      <c r="N565">
        <v>597</v>
      </c>
      <c r="O565">
        <v>7</v>
      </c>
      <c r="P565">
        <v>3</v>
      </c>
      <c r="Q565">
        <v>0</v>
      </c>
      <c r="R565">
        <v>1</v>
      </c>
      <c r="S565">
        <v>16</v>
      </c>
      <c r="T565">
        <v>110</v>
      </c>
      <c r="U565">
        <v>58</v>
      </c>
      <c r="V565">
        <v>3</v>
      </c>
      <c r="W565">
        <v>15</v>
      </c>
      <c r="X565">
        <v>2</v>
      </c>
      <c r="Y565">
        <v>5</v>
      </c>
      <c r="Z565">
        <v>0</v>
      </c>
      <c r="AA565">
        <v>17</v>
      </c>
      <c r="AB565">
        <v>2</v>
      </c>
      <c r="AC565">
        <v>11</v>
      </c>
      <c r="AD565">
        <v>1</v>
      </c>
      <c r="AE565">
        <v>29</v>
      </c>
      <c r="AF565">
        <v>0</v>
      </c>
      <c r="AG565">
        <v>4</v>
      </c>
      <c r="AH565">
        <v>23</v>
      </c>
      <c r="AI565">
        <v>0</v>
      </c>
      <c r="AJ565">
        <v>22</v>
      </c>
      <c r="AK565">
        <v>0</v>
      </c>
      <c r="AL565">
        <v>0</v>
      </c>
      <c r="AM565">
        <v>21</v>
      </c>
      <c r="AN565">
        <v>46</v>
      </c>
      <c r="AO565">
        <v>66</v>
      </c>
      <c r="AQ565" t="str">
        <f t="shared" si="8"/>
        <v>Forward</v>
      </c>
    </row>
    <row r="566" spans="1:43" x14ac:dyDescent="0.35">
      <c r="A566" t="s">
        <v>403</v>
      </c>
      <c r="B566" t="s">
        <v>43</v>
      </c>
      <c r="C566" t="s">
        <v>1432</v>
      </c>
      <c r="D566">
        <v>1993</v>
      </c>
      <c r="E566">
        <v>24</v>
      </c>
      <c r="F566" t="s">
        <v>191</v>
      </c>
      <c r="G566" t="s">
        <v>51</v>
      </c>
      <c r="H566">
        <v>54000000</v>
      </c>
      <c r="I566">
        <v>108000000</v>
      </c>
      <c r="J566" t="s">
        <v>42</v>
      </c>
      <c r="K566">
        <v>37</v>
      </c>
      <c r="L566">
        <v>3083</v>
      </c>
      <c r="M566">
        <v>30</v>
      </c>
      <c r="N566">
        <v>657</v>
      </c>
      <c r="O566">
        <v>2</v>
      </c>
      <c r="P566">
        <v>5</v>
      </c>
      <c r="Q566">
        <v>0</v>
      </c>
      <c r="R566">
        <v>2</v>
      </c>
      <c r="S566">
        <v>9</v>
      </c>
      <c r="T566">
        <v>184</v>
      </c>
      <c r="U566">
        <v>76</v>
      </c>
      <c r="V566">
        <v>6</v>
      </c>
      <c r="W566">
        <v>14</v>
      </c>
      <c r="X566">
        <v>6</v>
      </c>
      <c r="Y566">
        <v>2</v>
      </c>
      <c r="Z566">
        <v>0</v>
      </c>
      <c r="AA566">
        <v>42</v>
      </c>
      <c r="AB566">
        <v>13</v>
      </c>
      <c r="AC566">
        <v>108</v>
      </c>
      <c r="AD566">
        <v>1</v>
      </c>
      <c r="AE566">
        <v>20</v>
      </c>
      <c r="AF566">
        <v>4</v>
      </c>
      <c r="AG566">
        <v>5</v>
      </c>
      <c r="AH566">
        <v>34</v>
      </c>
      <c r="AI566">
        <v>0</v>
      </c>
      <c r="AJ566">
        <v>17</v>
      </c>
      <c r="AK566">
        <v>0</v>
      </c>
      <c r="AL566">
        <v>0</v>
      </c>
      <c r="AM566">
        <v>19</v>
      </c>
      <c r="AN566">
        <v>60</v>
      </c>
      <c r="AO566">
        <v>78</v>
      </c>
      <c r="AQ566" t="str">
        <f t="shared" si="8"/>
        <v>Forward</v>
      </c>
    </row>
    <row r="567" spans="1:43" x14ac:dyDescent="0.35">
      <c r="A567" t="s">
        <v>403</v>
      </c>
      <c r="B567" t="s">
        <v>46</v>
      </c>
      <c r="C567" t="s">
        <v>1433</v>
      </c>
      <c r="D567">
        <v>1993</v>
      </c>
      <c r="E567">
        <v>25</v>
      </c>
      <c r="F567" t="s">
        <v>191</v>
      </c>
      <c r="G567" t="s">
        <v>51</v>
      </c>
      <c r="H567">
        <v>108000000</v>
      </c>
      <c r="I567">
        <v>135000000</v>
      </c>
      <c r="J567" t="s">
        <v>42</v>
      </c>
      <c r="K567">
        <v>28</v>
      </c>
      <c r="L567">
        <v>2427</v>
      </c>
      <c r="M567">
        <v>17</v>
      </c>
      <c r="N567">
        <v>551</v>
      </c>
      <c r="O567">
        <v>4</v>
      </c>
      <c r="P567">
        <v>5</v>
      </c>
      <c r="Q567">
        <v>0</v>
      </c>
      <c r="R567">
        <v>1</v>
      </c>
      <c r="S567">
        <v>4</v>
      </c>
      <c r="T567">
        <v>102</v>
      </c>
      <c r="U567">
        <v>46</v>
      </c>
      <c r="V567">
        <v>2</v>
      </c>
      <c r="W567">
        <v>12</v>
      </c>
      <c r="X567">
        <v>2</v>
      </c>
      <c r="Y567">
        <v>4</v>
      </c>
      <c r="Z567">
        <v>0</v>
      </c>
      <c r="AA567">
        <v>10</v>
      </c>
      <c r="AB567">
        <v>9</v>
      </c>
      <c r="AC567">
        <v>56</v>
      </c>
      <c r="AD567">
        <v>0</v>
      </c>
      <c r="AE567">
        <v>12</v>
      </c>
      <c r="AF567">
        <v>6</v>
      </c>
      <c r="AG567">
        <v>1</v>
      </c>
      <c r="AH567">
        <v>31</v>
      </c>
      <c r="AI567">
        <v>0</v>
      </c>
      <c r="AJ567">
        <v>9</v>
      </c>
      <c r="AK567">
        <v>0</v>
      </c>
      <c r="AL567">
        <v>0</v>
      </c>
      <c r="AM567">
        <v>14</v>
      </c>
      <c r="AN567">
        <v>49</v>
      </c>
      <c r="AO567">
        <v>68</v>
      </c>
      <c r="AQ567" t="str">
        <f t="shared" si="8"/>
        <v>Forward</v>
      </c>
    </row>
    <row r="568" spans="1:43" x14ac:dyDescent="0.35">
      <c r="A568" t="s">
        <v>404</v>
      </c>
      <c r="B568" t="s">
        <v>46</v>
      </c>
      <c r="C568" t="s">
        <v>1434</v>
      </c>
      <c r="D568">
        <v>1993</v>
      </c>
      <c r="E568">
        <v>25</v>
      </c>
      <c r="F568" t="s">
        <v>99</v>
      </c>
      <c r="G568" t="s">
        <v>51</v>
      </c>
      <c r="H568">
        <v>22500000</v>
      </c>
      <c r="I568">
        <v>45000000</v>
      </c>
      <c r="J568" t="s">
        <v>52</v>
      </c>
      <c r="K568">
        <v>31</v>
      </c>
      <c r="L568">
        <v>2599</v>
      </c>
      <c r="M568">
        <v>3</v>
      </c>
      <c r="N568">
        <v>1747</v>
      </c>
      <c r="O568">
        <v>0</v>
      </c>
      <c r="P568">
        <v>6</v>
      </c>
      <c r="Q568">
        <v>1</v>
      </c>
      <c r="R568">
        <v>0</v>
      </c>
      <c r="S568">
        <v>2</v>
      </c>
      <c r="T568">
        <v>30</v>
      </c>
      <c r="U568">
        <v>13</v>
      </c>
      <c r="V568">
        <v>1</v>
      </c>
      <c r="W568">
        <v>77</v>
      </c>
      <c r="X568">
        <v>1</v>
      </c>
      <c r="Y568">
        <v>0</v>
      </c>
      <c r="Z568">
        <v>0</v>
      </c>
      <c r="AA568">
        <v>4</v>
      </c>
      <c r="AB568">
        <v>2</v>
      </c>
      <c r="AC568">
        <v>17</v>
      </c>
      <c r="AD568">
        <v>0</v>
      </c>
      <c r="AE568">
        <v>1</v>
      </c>
      <c r="AF568">
        <v>18</v>
      </c>
      <c r="AG568">
        <v>37</v>
      </c>
      <c r="AH568">
        <v>20</v>
      </c>
      <c r="AI568">
        <v>2</v>
      </c>
      <c r="AJ568">
        <v>31</v>
      </c>
      <c r="AK568">
        <v>1</v>
      </c>
      <c r="AL568">
        <v>0</v>
      </c>
      <c r="AM568">
        <v>152</v>
      </c>
      <c r="AN568">
        <v>118</v>
      </c>
      <c r="AO568">
        <v>33</v>
      </c>
      <c r="AQ568" t="str">
        <f t="shared" si="8"/>
        <v>Defensive Forward</v>
      </c>
    </row>
    <row r="569" spans="1:43" x14ac:dyDescent="0.35">
      <c r="A569" t="s">
        <v>404</v>
      </c>
      <c r="B569" t="s">
        <v>47</v>
      </c>
      <c r="C569" t="s">
        <v>1435</v>
      </c>
      <c r="D569">
        <v>1993</v>
      </c>
      <c r="E569">
        <v>23</v>
      </c>
      <c r="F569" t="s">
        <v>71</v>
      </c>
      <c r="G569" t="s">
        <v>51</v>
      </c>
      <c r="H569">
        <v>2250000</v>
      </c>
      <c r="I569">
        <v>7200000</v>
      </c>
      <c r="J569" t="s">
        <v>52</v>
      </c>
      <c r="K569">
        <v>29</v>
      </c>
      <c r="L569">
        <v>2307</v>
      </c>
      <c r="M569">
        <v>2</v>
      </c>
      <c r="N569">
        <v>1182</v>
      </c>
      <c r="O569">
        <v>2</v>
      </c>
      <c r="P569">
        <v>5</v>
      </c>
      <c r="Q569">
        <v>0</v>
      </c>
      <c r="R569">
        <v>4</v>
      </c>
      <c r="S569">
        <v>3</v>
      </c>
      <c r="T569">
        <v>34</v>
      </c>
      <c r="U569">
        <v>10</v>
      </c>
      <c r="V569">
        <v>0</v>
      </c>
      <c r="W569">
        <v>101</v>
      </c>
      <c r="X569">
        <v>1</v>
      </c>
      <c r="Y569">
        <v>0</v>
      </c>
      <c r="Z569">
        <v>0</v>
      </c>
      <c r="AA569">
        <v>3</v>
      </c>
      <c r="AB569">
        <v>1</v>
      </c>
      <c r="AC569">
        <v>0</v>
      </c>
      <c r="AD569">
        <v>0</v>
      </c>
      <c r="AE569">
        <v>15</v>
      </c>
      <c r="AF569">
        <v>27</v>
      </c>
      <c r="AG569">
        <v>63</v>
      </c>
      <c r="AH569">
        <v>24</v>
      </c>
      <c r="AI569">
        <v>0</v>
      </c>
      <c r="AJ569">
        <v>54</v>
      </c>
      <c r="AK569">
        <v>0</v>
      </c>
      <c r="AL569">
        <v>0</v>
      </c>
      <c r="AM569">
        <v>141</v>
      </c>
      <c r="AN569">
        <v>69</v>
      </c>
      <c r="AO569">
        <v>29</v>
      </c>
      <c r="AQ569" t="str">
        <f t="shared" si="8"/>
        <v>Defensive Forward</v>
      </c>
    </row>
    <row r="570" spans="1:43" x14ac:dyDescent="0.35">
      <c r="A570" t="s">
        <v>404</v>
      </c>
      <c r="B570" t="s">
        <v>43</v>
      </c>
      <c r="C570" t="s">
        <v>1436</v>
      </c>
      <c r="D570">
        <v>1993</v>
      </c>
      <c r="E570">
        <v>24</v>
      </c>
      <c r="F570" t="s">
        <v>99</v>
      </c>
      <c r="G570" t="s">
        <v>51</v>
      </c>
      <c r="H570">
        <v>7200000</v>
      </c>
      <c r="I570">
        <v>22500000</v>
      </c>
      <c r="J570" t="s">
        <v>52</v>
      </c>
      <c r="K570">
        <v>38</v>
      </c>
      <c r="L570">
        <v>3420</v>
      </c>
      <c r="M570">
        <v>2</v>
      </c>
      <c r="N570">
        <v>1740</v>
      </c>
      <c r="O570">
        <v>4</v>
      </c>
      <c r="P570">
        <v>7</v>
      </c>
      <c r="Q570">
        <v>0</v>
      </c>
      <c r="R570">
        <v>0</v>
      </c>
      <c r="S570">
        <v>0</v>
      </c>
      <c r="T570">
        <v>30</v>
      </c>
      <c r="U570">
        <v>8</v>
      </c>
      <c r="V570">
        <v>2</v>
      </c>
      <c r="W570">
        <v>115</v>
      </c>
      <c r="X570">
        <v>1</v>
      </c>
      <c r="Y570">
        <v>0</v>
      </c>
      <c r="Z570">
        <v>0</v>
      </c>
      <c r="AA570">
        <v>4</v>
      </c>
      <c r="AB570">
        <v>2</v>
      </c>
      <c r="AC570">
        <v>22</v>
      </c>
      <c r="AD570">
        <v>0</v>
      </c>
      <c r="AE570">
        <v>15</v>
      </c>
      <c r="AF570">
        <v>28</v>
      </c>
      <c r="AG570">
        <v>48</v>
      </c>
      <c r="AH570">
        <v>34</v>
      </c>
      <c r="AI570">
        <v>1</v>
      </c>
      <c r="AJ570">
        <v>63</v>
      </c>
      <c r="AK570">
        <v>0</v>
      </c>
      <c r="AL570">
        <v>0</v>
      </c>
      <c r="AM570">
        <v>176</v>
      </c>
      <c r="AN570">
        <v>119</v>
      </c>
      <c r="AO570">
        <v>63</v>
      </c>
      <c r="AQ570" t="str">
        <f t="shared" si="8"/>
        <v>Defensive Forward</v>
      </c>
    </row>
    <row r="571" spans="1:43" x14ac:dyDescent="0.35">
      <c r="A571" t="s">
        <v>405</v>
      </c>
      <c r="B571" t="s">
        <v>47</v>
      </c>
      <c r="C571" t="s">
        <v>1437</v>
      </c>
      <c r="D571">
        <v>1996</v>
      </c>
      <c r="E571">
        <v>20</v>
      </c>
      <c r="F571" t="s">
        <v>191</v>
      </c>
      <c r="G571" t="s">
        <v>51</v>
      </c>
      <c r="H571">
        <v>16500000</v>
      </c>
      <c r="I571">
        <v>27500000</v>
      </c>
      <c r="J571" t="s">
        <v>55</v>
      </c>
      <c r="K571">
        <v>21</v>
      </c>
      <c r="L571">
        <v>477</v>
      </c>
      <c r="M571">
        <v>1</v>
      </c>
      <c r="N571">
        <v>366</v>
      </c>
      <c r="O571">
        <v>1</v>
      </c>
      <c r="P571">
        <v>0</v>
      </c>
      <c r="Q571">
        <v>0</v>
      </c>
      <c r="R571">
        <v>18</v>
      </c>
      <c r="S571">
        <v>0</v>
      </c>
      <c r="T571">
        <v>6</v>
      </c>
      <c r="U571">
        <v>2</v>
      </c>
      <c r="V571">
        <v>0</v>
      </c>
      <c r="W571">
        <v>1</v>
      </c>
      <c r="X571">
        <v>0</v>
      </c>
      <c r="Y571">
        <v>0</v>
      </c>
      <c r="Z571">
        <v>0</v>
      </c>
      <c r="AA571">
        <v>0</v>
      </c>
      <c r="AB571">
        <v>1</v>
      </c>
      <c r="AC571">
        <v>0</v>
      </c>
      <c r="AD571">
        <v>2</v>
      </c>
      <c r="AE571">
        <v>7</v>
      </c>
      <c r="AF571">
        <v>2</v>
      </c>
      <c r="AG571">
        <v>5</v>
      </c>
      <c r="AH571">
        <v>10</v>
      </c>
      <c r="AI571">
        <v>0</v>
      </c>
      <c r="AJ571">
        <v>10</v>
      </c>
      <c r="AK571">
        <v>0</v>
      </c>
      <c r="AL571">
        <v>0</v>
      </c>
      <c r="AM571">
        <v>6</v>
      </c>
      <c r="AN571">
        <v>0</v>
      </c>
      <c r="AO571">
        <v>4</v>
      </c>
      <c r="AQ571" t="str">
        <f t="shared" si="8"/>
        <v>Midfielder</v>
      </c>
    </row>
    <row r="572" spans="1:43" x14ac:dyDescent="0.35">
      <c r="A572" t="s">
        <v>405</v>
      </c>
      <c r="B572" t="s">
        <v>46</v>
      </c>
      <c r="C572" t="s">
        <v>1438</v>
      </c>
      <c r="D572">
        <v>1996</v>
      </c>
      <c r="E572">
        <v>22</v>
      </c>
      <c r="F572" t="s">
        <v>191</v>
      </c>
      <c r="G572" t="s">
        <v>51</v>
      </c>
      <c r="H572">
        <v>4400000</v>
      </c>
      <c r="I572">
        <v>16500000</v>
      </c>
      <c r="J572" t="s">
        <v>55</v>
      </c>
      <c r="K572">
        <v>26</v>
      </c>
      <c r="L572">
        <v>1592</v>
      </c>
      <c r="M572">
        <v>1</v>
      </c>
      <c r="N572">
        <v>1388</v>
      </c>
      <c r="O572">
        <v>0</v>
      </c>
      <c r="P572">
        <v>4</v>
      </c>
      <c r="Q572">
        <v>0</v>
      </c>
      <c r="R572">
        <v>9</v>
      </c>
      <c r="S572">
        <v>3</v>
      </c>
      <c r="T572">
        <v>9</v>
      </c>
      <c r="U572">
        <v>2</v>
      </c>
      <c r="V572">
        <v>0</v>
      </c>
      <c r="W572">
        <v>11</v>
      </c>
      <c r="X572">
        <v>1</v>
      </c>
      <c r="Y572">
        <v>0</v>
      </c>
      <c r="Z572">
        <v>0</v>
      </c>
      <c r="AA572">
        <v>2</v>
      </c>
      <c r="AB572">
        <v>0</v>
      </c>
      <c r="AC572">
        <v>7</v>
      </c>
      <c r="AD572">
        <v>2</v>
      </c>
      <c r="AE572">
        <v>8</v>
      </c>
      <c r="AF572">
        <v>3</v>
      </c>
      <c r="AG572">
        <v>21</v>
      </c>
      <c r="AH572">
        <v>16</v>
      </c>
      <c r="AI572">
        <v>0</v>
      </c>
      <c r="AJ572">
        <v>22</v>
      </c>
      <c r="AK572">
        <v>0</v>
      </c>
      <c r="AL572">
        <v>0</v>
      </c>
      <c r="AM572">
        <v>19</v>
      </c>
      <c r="AN572">
        <v>12</v>
      </c>
      <c r="AO572">
        <v>14</v>
      </c>
      <c r="AQ572" t="str">
        <f t="shared" si="8"/>
        <v>Midfielder</v>
      </c>
    </row>
    <row r="573" spans="1:43" x14ac:dyDescent="0.35">
      <c r="A573" t="s">
        <v>405</v>
      </c>
      <c r="B573" t="s">
        <v>43</v>
      </c>
      <c r="C573" t="s">
        <v>1439</v>
      </c>
      <c r="D573">
        <v>1996</v>
      </c>
      <c r="E573">
        <v>21</v>
      </c>
      <c r="F573" t="s">
        <v>191</v>
      </c>
      <c r="G573" t="s">
        <v>51</v>
      </c>
      <c r="H573">
        <v>1500000</v>
      </c>
      <c r="I573">
        <v>12000000</v>
      </c>
      <c r="J573" t="s">
        <v>55</v>
      </c>
      <c r="K573">
        <v>16</v>
      </c>
      <c r="L573">
        <v>771</v>
      </c>
      <c r="M573">
        <v>0</v>
      </c>
      <c r="N573">
        <v>642</v>
      </c>
      <c r="O573">
        <v>1</v>
      </c>
      <c r="P573">
        <v>0</v>
      </c>
      <c r="Q573">
        <v>0</v>
      </c>
      <c r="R573">
        <v>7</v>
      </c>
      <c r="S573">
        <v>4</v>
      </c>
      <c r="T573">
        <v>0</v>
      </c>
      <c r="U573">
        <v>0</v>
      </c>
      <c r="V573">
        <v>0</v>
      </c>
      <c r="W573">
        <v>3</v>
      </c>
      <c r="X573">
        <v>0</v>
      </c>
      <c r="Y573">
        <v>0</v>
      </c>
      <c r="Z573">
        <v>0</v>
      </c>
      <c r="AA573">
        <v>0</v>
      </c>
      <c r="AB573">
        <v>4</v>
      </c>
      <c r="AC573">
        <v>0</v>
      </c>
      <c r="AD573">
        <v>0</v>
      </c>
      <c r="AE573">
        <v>10</v>
      </c>
      <c r="AF573">
        <v>2</v>
      </c>
      <c r="AG573">
        <v>11</v>
      </c>
      <c r="AH573">
        <v>8</v>
      </c>
      <c r="AI573">
        <v>0</v>
      </c>
      <c r="AJ573">
        <v>15</v>
      </c>
      <c r="AK573">
        <v>0</v>
      </c>
      <c r="AL573">
        <v>0</v>
      </c>
      <c r="AM573">
        <v>8</v>
      </c>
      <c r="AN573">
        <v>4</v>
      </c>
      <c r="AO573">
        <v>6</v>
      </c>
      <c r="AQ573" t="str">
        <f t="shared" si="8"/>
        <v>Midfielder</v>
      </c>
    </row>
    <row r="574" spans="1:43" x14ac:dyDescent="0.35">
      <c r="A574" t="s">
        <v>406</v>
      </c>
      <c r="B574" t="s">
        <v>46</v>
      </c>
      <c r="C574" t="s">
        <v>1440</v>
      </c>
      <c r="D574">
        <v>1997</v>
      </c>
      <c r="E574">
        <v>20</v>
      </c>
      <c r="F574" t="s">
        <v>99</v>
      </c>
      <c r="G574" t="s">
        <v>51</v>
      </c>
      <c r="H574">
        <v>40500000</v>
      </c>
      <c r="I574">
        <v>38500000</v>
      </c>
      <c r="J574" t="s">
        <v>55</v>
      </c>
      <c r="K574">
        <v>16</v>
      </c>
      <c r="L574">
        <v>1009</v>
      </c>
      <c r="M574">
        <v>1</v>
      </c>
      <c r="N574">
        <v>311</v>
      </c>
      <c r="O574">
        <v>2</v>
      </c>
      <c r="P574">
        <v>0</v>
      </c>
      <c r="Q574">
        <v>0</v>
      </c>
      <c r="R574">
        <v>5</v>
      </c>
      <c r="S574">
        <v>8</v>
      </c>
      <c r="T574">
        <v>40</v>
      </c>
      <c r="U574">
        <v>10</v>
      </c>
      <c r="V574">
        <v>0</v>
      </c>
      <c r="W574">
        <v>3</v>
      </c>
      <c r="X574">
        <v>0</v>
      </c>
      <c r="Y574">
        <v>0</v>
      </c>
      <c r="Z574">
        <v>0</v>
      </c>
      <c r="AA574">
        <v>2</v>
      </c>
      <c r="AB574">
        <v>2</v>
      </c>
      <c r="AC574">
        <v>30</v>
      </c>
      <c r="AD574">
        <v>0</v>
      </c>
      <c r="AE574">
        <v>23</v>
      </c>
      <c r="AF574">
        <v>1</v>
      </c>
      <c r="AG574">
        <v>3</v>
      </c>
      <c r="AH574">
        <v>7</v>
      </c>
      <c r="AI574">
        <v>0</v>
      </c>
      <c r="AJ574">
        <v>10</v>
      </c>
      <c r="AK574">
        <v>0</v>
      </c>
      <c r="AL574">
        <v>0</v>
      </c>
      <c r="AM574">
        <v>5</v>
      </c>
      <c r="AN574">
        <v>7</v>
      </c>
      <c r="AO574">
        <v>8</v>
      </c>
      <c r="AQ574" t="str">
        <f t="shared" si="8"/>
        <v>Midfielder</v>
      </c>
    </row>
    <row r="575" spans="1:43" x14ac:dyDescent="0.35">
      <c r="A575" t="s">
        <v>407</v>
      </c>
      <c r="B575" t="s">
        <v>39</v>
      </c>
      <c r="C575" t="s">
        <v>1441</v>
      </c>
      <c r="D575">
        <v>1995</v>
      </c>
      <c r="E575">
        <v>20</v>
      </c>
      <c r="F575" t="s">
        <v>61</v>
      </c>
      <c r="G575" t="s">
        <v>45</v>
      </c>
      <c r="H575">
        <v>5000000</v>
      </c>
      <c r="I575">
        <v>18000000</v>
      </c>
      <c r="J575" t="s">
        <v>52</v>
      </c>
      <c r="K575">
        <v>36</v>
      </c>
      <c r="L575">
        <v>3240</v>
      </c>
      <c r="M575">
        <v>1</v>
      </c>
      <c r="N575">
        <v>1689</v>
      </c>
      <c r="O575">
        <v>5</v>
      </c>
      <c r="P575">
        <v>3</v>
      </c>
      <c r="Q575">
        <v>0</v>
      </c>
      <c r="R575">
        <v>0</v>
      </c>
      <c r="S575">
        <v>0</v>
      </c>
      <c r="T575">
        <v>13</v>
      </c>
      <c r="U575">
        <v>3</v>
      </c>
      <c r="V575">
        <v>1</v>
      </c>
      <c r="W575">
        <v>37</v>
      </c>
      <c r="X575">
        <v>0</v>
      </c>
      <c r="Y575">
        <v>0</v>
      </c>
      <c r="Z575">
        <v>0</v>
      </c>
      <c r="AA575">
        <v>1</v>
      </c>
      <c r="AB575">
        <v>9</v>
      </c>
      <c r="AC575">
        <v>0</v>
      </c>
      <c r="AD575">
        <v>0</v>
      </c>
      <c r="AE575">
        <v>109</v>
      </c>
      <c r="AF575">
        <v>7</v>
      </c>
      <c r="AG575">
        <v>66</v>
      </c>
      <c r="AH575">
        <v>19</v>
      </c>
      <c r="AI575">
        <v>0</v>
      </c>
      <c r="AJ575">
        <v>58</v>
      </c>
      <c r="AK575">
        <v>0</v>
      </c>
      <c r="AL575">
        <v>0</v>
      </c>
      <c r="AM575">
        <v>85</v>
      </c>
      <c r="AN575">
        <v>39</v>
      </c>
      <c r="AO575">
        <v>39</v>
      </c>
      <c r="AQ575" t="str">
        <f t="shared" si="8"/>
        <v>Defensive Forward</v>
      </c>
    </row>
    <row r="576" spans="1:43" x14ac:dyDescent="0.35">
      <c r="A576" t="s">
        <v>407</v>
      </c>
      <c r="B576" t="s">
        <v>46</v>
      </c>
      <c r="C576" t="s">
        <v>1442</v>
      </c>
      <c r="D576">
        <v>1995</v>
      </c>
      <c r="E576">
        <v>23</v>
      </c>
      <c r="F576" t="s">
        <v>61</v>
      </c>
      <c r="G576" t="s">
        <v>45</v>
      </c>
      <c r="H576">
        <v>40000000</v>
      </c>
      <c r="I576">
        <v>40000000</v>
      </c>
      <c r="J576" t="s">
        <v>52</v>
      </c>
      <c r="K576">
        <v>19</v>
      </c>
      <c r="L576">
        <v>1533</v>
      </c>
      <c r="M576">
        <v>0</v>
      </c>
      <c r="N576">
        <v>785</v>
      </c>
      <c r="O576">
        <v>5</v>
      </c>
      <c r="P576">
        <v>0</v>
      </c>
      <c r="Q576">
        <v>0</v>
      </c>
      <c r="R576">
        <v>1</v>
      </c>
      <c r="S576">
        <v>3</v>
      </c>
      <c r="T576">
        <v>18</v>
      </c>
      <c r="U576">
        <v>4</v>
      </c>
      <c r="V576">
        <v>0</v>
      </c>
      <c r="W576">
        <v>20</v>
      </c>
      <c r="X576">
        <v>0</v>
      </c>
      <c r="Y576">
        <v>0</v>
      </c>
      <c r="Z576">
        <v>0</v>
      </c>
      <c r="AA576">
        <v>1</v>
      </c>
      <c r="AB576">
        <v>6</v>
      </c>
      <c r="AC576">
        <v>14</v>
      </c>
      <c r="AD576">
        <v>0</v>
      </c>
      <c r="AE576">
        <v>39</v>
      </c>
      <c r="AF576">
        <v>5</v>
      </c>
      <c r="AG576">
        <v>20</v>
      </c>
      <c r="AH576">
        <v>16</v>
      </c>
      <c r="AI576">
        <v>0</v>
      </c>
      <c r="AJ576">
        <v>15</v>
      </c>
      <c r="AK576">
        <v>0</v>
      </c>
      <c r="AL576">
        <v>1</v>
      </c>
      <c r="AM576">
        <v>33</v>
      </c>
      <c r="AN576">
        <v>21</v>
      </c>
      <c r="AO576">
        <v>24</v>
      </c>
      <c r="AQ576" t="str">
        <f t="shared" si="8"/>
        <v>Defensive Forward</v>
      </c>
    </row>
    <row r="577" spans="1:43" x14ac:dyDescent="0.35">
      <c r="A577" t="s">
        <v>407</v>
      </c>
      <c r="B577" t="s">
        <v>47</v>
      </c>
      <c r="C577" t="s">
        <v>1443</v>
      </c>
      <c r="D577">
        <v>1995</v>
      </c>
      <c r="E577">
        <v>21</v>
      </c>
      <c r="F577" t="s">
        <v>61</v>
      </c>
      <c r="G577" t="s">
        <v>45</v>
      </c>
      <c r="H577">
        <v>18000000</v>
      </c>
      <c r="I577">
        <v>30000000</v>
      </c>
      <c r="J577" t="s">
        <v>52</v>
      </c>
      <c r="K577">
        <v>33</v>
      </c>
      <c r="L577">
        <v>2499</v>
      </c>
      <c r="M577">
        <v>1</v>
      </c>
      <c r="N577">
        <v>1392</v>
      </c>
      <c r="O577">
        <v>4</v>
      </c>
      <c r="P577">
        <v>4</v>
      </c>
      <c r="Q577">
        <v>0</v>
      </c>
      <c r="R577">
        <v>6</v>
      </c>
      <c r="S577">
        <v>1</v>
      </c>
      <c r="T577">
        <v>22</v>
      </c>
      <c r="U577">
        <v>5</v>
      </c>
      <c r="V577">
        <v>1</v>
      </c>
      <c r="W577">
        <v>24</v>
      </c>
      <c r="X577">
        <v>0</v>
      </c>
      <c r="Y577">
        <v>0</v>
      </c>
      <c r="Z577">
        <v>0</v>
      </c>
      <c r="AA577">
        <v>0</v>
      </c>
      <c r="AB577">
        <v>8</v>
      </c>
      <c r="AC577">
        <v>1</v>
      </c>
      <c r="AD577">
        <v>0</v>
      </c>
      <c r="AE577">
        <v>69</v>
      </c>
      <c r="AF577">
        <v>7</v>
      </c>
      <c r="AG577">
        <v>36</v>
      </c>
      <c r="AH577">
        <v>20</v>
      </c>
      <c r="AI577">
        <v>1</v>
      </c>
      <c r="AJ577">
        <v>24</v>
      </c>
      <c r="AK577">
        <v>0</v>
      </c>
      <c r="AL577">
        <v>0</v>
      </c>
      <c r="AM577">
        <v>46</v>
      </c>
      <c r="AN577">
        <v>31</v>
      </c>
      <c r="AO577">
        <v>43</v>
      </c>
      <c r="AQ577" t="str">
        <f t="shared" si="8"/>
        <v>Defensive Forward</v>
      </c>
    </row>
    <row r="578" spans="1:43" x14ac:dyDescent="0.35">
      <c r="A578" t="s">
        <v>407</v>
      </c>
      <c r="B578" t="s">
        <v>43</v>
      </c>
      <c r="C578" t="s">
        <v>1444</v>
      </c>
      <c r="D578">
        <v>1995</v>
      </c>
      <c r="E578">
        <v>22</v>
      </c>
      <c r="F578" t="s">
        <v>61</v>
      </c>
      <c r="G578" t="s">
        <v>45</v>
      </c>
      <c r="H578">
        <v>30000000</v>
      </c>
      <c r="I578">
        <v>40000000</v>
      </c>
      <c r="J578" t="s">
        <v>52</v>
      </c>
      <c r="K578">
        <v>35</v>
      </c>
      <c r="L578">
        <v>3051</v>
      </c>
      <c r="M578">
        <v>2</v>
      </c>
      <c r="N578">
        <v>1842</v>
      </c>
      <c r="O578">
        <v>3</v>
      </c>
      <c r="P578">
        <v>5</v>
      </c>
      <c r="Q578">
        <v>0</v>
      </c>
      <c r="R578">
        <v>1</v>
      </c>
      <c r="S578">
        <v>1</v>
      </c>
      <c r="T578">
        <v>29</v>
      </c>
      <c r="U578">
        <v>8</v>
      </c>
      <c r="V578">
        <v>1</v>
      </c>
      <c r="W578">
        <v>36</v>
      </c>
      <c r="X578">
        <v>0</v>
      </c>
      <c r="Y578">
        <v>0</v>
      </c>
      <c r="Z578">
        <v>0</v>
      </c>
      <c r="AA578">
        <v>4</v>
      </c>
      <c r="AB578">
        <v>7</v>
      </c>
      <c r="AC578">
        <v>21</v>
      </c>
      <c r="AD578">
        <v>0</v>
      </c>
      <c r="AE578">
        <v>64</v>
      </c>
      <c r="AF578">
        <v>8</v>
      </c>
      <c r="AG578">
        <v>23</v>
      </c>
      <c r="AH578">
        <v>36</v>
      </c>
      <c r="AI578">
        <v>0</v>
      </c>
      <c r="AJ578">
        <v>57</v>
      </c>
      <c r="AK578">
        <v>1</v>
      </c>
      <c r="AL578">
        <v>0</v>
      </c>
      <c r="AM578">
        <v>71</v>
      </c>
      <c r="AN578">
        <v>35</v>
      </c>
      <c r="AO578">
        <v>59</v>
      </c>
      <c r="AQ578" t="str">
        <f t="shared" ref="AQ578:AQ641" si="9">IF(J578 = "FW", REPLACE(J578,1,2,"Forward"),IF(J578 = "DF", "Defensive Forward", "Midfielder"))</f>
        <v>Defensive Forward</v>
      </c>
    </row>
    <row r="579" spans="1:43" x14ac:dyDescent="0.35">
      <c r="A579" t="s">
        <v>408</v>
      </c>
      <c r="B579" t="s">
        <v>47</v>
      </c>
      <c r="C579" t="s">
        <v>1445</v>
      </c>
      <c r="D579">
        <v>1989</v>
      </c>
      <c r="E579">
        <v>27</v>
      </c>
      <c r="F579" t="s">
        <v>129</v>
      </c>
      <c r="G579" t="s">
        <v>409</v>
      </c>
      <c r="H579">
        <v>38500000</v>
      </c>
      <c r="I579">
        <v>38500000</v>
      </c>
      <c r="J579" t="s">
        <v>55</v>
      </c>
      <c r="K579">
        <v>24</v>
      </c>
      <c r="L579">
        <v>1349</v>
      </c>
      <c r="M579">
        <v>4</v>
      </c>
      <c r="N579">
        <v>775</v>
      </c>
      <c r="O579">
        <v>1</v>
      </c>
      <c r="P579">
        <v>1</v>
      </c>
      <c r="Q579">
        <v>0</v>
      </c>
      <c r="R579">
        <v>9</v>
      </c>
      <c r="S579">
        <v>11</v>
      </c>
      <c r="T579">
        <v>33</v>
      </c>
      <c r="U579">
        <v>16</v>
      </c>
      <c r="V579">
        <v>0</v>
      </c>
      <c r="W579">
        <v>4</v>
      </c>
      <c r="X579">
        <v>0</v>
      </c>
      <c r="Y579">
        <v>0</v>
      </c>
      <c r="Z579">
        <v>0</v>
      </c>
      <c r="AA579">
        <v>8</v>
      </c>
      <c r="AB579">
        <v>11</v>
      </c>
      <c r="AC579">
        <v>2</v>
      </c>
      <c r="AD579">
        <v>24</v>
      </c>
      <c r="AE579">
        <v>48</v>
      </c>
      <c r="AF579">
        <v>0</v>
      </c>
      <c r="AG579">
        <v>22</v>
      </c>
      <c r="AH579">
        <v>19</v>
      </c>
      <c r="AI579">
        <v>0</v>
      </c>
      <c r="AJ579">
        <v>23</v>
      </c>
      <c r="AK579">
        <v>0</v>
      </c>
      <c r="AL579">
        <v>0</v>
      </c>
      <c r="AM579">
        <v>12</v>
      </c>
      <c r="AN579">
        <v>10</v>
      </c>
      <c r="AO579">
        <v>24</v>
      </c>
      <c r="AQ579" t="str">
        <f t="shared" si="9"/>
        <v>Midfielder</v>
      </c>
    </row>
    <row r="580" spans="1:43" x14ac:dyDescent="0.35">
      <c r="A580" t="s">
        <v>408</v>
      </c>
      <c r="B580" t="s">
        <v>43</v>
      </c>
      <c r="C580" t="s">
        <v>1446</v>
      </c>
      <c r="D580">
        <v>1989</v>
      </c>
      <c r="E580">
        <v>28</v>
      </c>
      <c r="F580" t="s">
        <v>129</v>
      </c>
      <c r="G580" t="s">
        <v>409</v>
      </c>
      <c r="H580">
        <v>38500000</v>
      </c>
      <c r="I580">
        <v>27500000</v>
      </c>
      <c r="J580" t="s">
        <v>55</v>
      </c>
      <c r="K580">
        <v>26</v>
      </c>
      <c r="L580">
        <v>1727</v>
      </c>
      <c r="M580">
        <v>3</v>
      </c>
      <c r="N580">
        <v>980</v>
      </c>
      <c r="O580">
        <v>9</v>
      </c>
      <c r="P580">
        <v>2</v>
      </c>
      <c r="Q580">
        <v>0</v>
      </c>
      <c r="R580">
        <v>6</v>
      </c>
      <c r="S580">
        <v>15</v>
      </c>
      <c r="T580">
        <v>36</v>
      </c>
      <c r="U580">
        <v>16</v>
      </c>
      <c r="V580">
        <v>0</v>
      </c>
      <c r="W580">
        <v>4</v>
      </c>
      <c r="X580">
        <v>0</v>
      </c>
      <c r="Y580">
        <v>0</v>
      </c>
      <c r="Z580">
        <v>0</v>
      </c>
      <c r="AA580">
        <v>4</v>
      </c>
      <c r="AB580">
        <v>15</v>
      </c>
      <c r="AC580">
        <v>20</v>
      </c>
      <c r="AD580">
        <v>47</v>
      </c>
      <c r="AE580">
        <v>84</v>
      </c>
      <c r="AF580">
        <v>2</v>
      </c>
      <c r="AG580">
        <v>15</v>
      </c>
      <c r="AH580">
        <v>23</v>
      </c>
      <c r="AI580">
        <v>0</v>
      </c>
      <c r="AJ580">
        <v>33</v>
      </c>
      <c r="AK580">
        <v>0</v>
      </c>
      <c r="AL580">
        <v>0</v>
      </c>
      <c r="AM580">
        <v>5</v>
      </c>
      <c r="AN580">
        <v>19</v>
      </c>
      <c r="AO580">
        <v>23</v>
      </c>
      <c r="AQ580" t="str">
        <f t="shared" si="9"/>
        <v>Midfielder</v>
      </c>
    </row>
    <row r="581" spans="1:43" x14ac:dyDescent="0.35">
      <c r="A581" t="s">
        <v>408</v>
      </c>
      <c r="B581" t="s">
        <v>46</v>
      </c>
      <c r="C581" t="s">
        <v>1447</v>
      </c>
      <c r="D581">
        <v>1989</v>
      </c>
      <c r="E581">
        <v>29</v>
      </c>
      <c r="F581" t="s">
        <v>61</v>
      </c>
      <c r="G581" t="s">
        <v>409</v>
      </c>
      <c r="H581">
        <v>4500000</v>
      </c>
      <c r="I581">
        <v>2700000</v>
      </c>
      <c r="J581" t="s">
        <v>55</v>
      </c>
      <c r="K581">
        <v>25</v>
      </c>
      <c r="L581">
        <v>1644</v>
      </c>
      <c r="M581">
        <v>6</v>
      </c>
      <c r="N581">
        <v>796</v>
      </c>
      <c r="O581">
        <v>4</v>
      </c>
      <c r="P581">
        <v>1</v>
      </c>
      <c r="Q581">
        <v>0</v>
      </c>
      <c r="R581">
        <v>6</v>
      </c>
      <c r="S581">
        <v>8</v>
      </c>
      <c r="T581">
        <v>49</v>
      </c>
      <c r="U581">
        <v>14</v>
      </c>
      <c r="V581">
        <v>1</v>
      </c>
      <c r="W581">
        <v>5</v>
      </c>
      <c r="X581">
        <v>1</v>
      </c>
      <c r="Y581">
        <v>0</v>
      </c>
      <c r="Z581">
        <v>0</v>
      </c>
      <c r="AA581">
        <v>3</v>
      </c>
      <c r="AB581">
        <v>5</v>
      </c>
      <c r="AC581">
        <v>35</v>
      </c>
      <c r="AD581">
        <v>46</v>
      </c>
      <c r="AE581">
        <v>63</v>
      </c>
      <c r="AF581">
        <v>2</v>
      </c>
      <c r="AG581">
        <v>16</v>
      </c>
      <c r="AH581">
        <v>27</v>
      </c>
      <c r="AI581">
        <v>0</v>
      </c>
      <c r="AJ581">
        <v>28</v>
      </c>
      <c r="AK581">
        <v>0</v>
      </c>
      <c r="AL581">
        <v>0</v>
      </c>
      <c r="AM581">
        <v>11</v>
      </c>
      <c r="AN581">
        <v>21</v>
      </c>
      <c r="AO581">
        <v>25</v>
      </c>
      <c r="AQ581" t="str">
        <f t="shared" si="9"/>
        <v>Midfielder</v>
      </c>
    </row>
    <row r="582" spans="1:43" x14ac:dyDescent="0.35">
      <c r="A582" t="s">
        <v>410</v>
      </c>
      <c r="B582" t="s">
        <v>39</v>
      </c>
      <c r="C582" t="s">
        <v>1448</v>
      </c>
      <c r="D582">
        <v>1986</v>
      </c>
      <c r="E582">
        <v>29</v>
      </c>
      <c r="F582" t="s">
        <v>184</v>
      </c>
      <c r="G582" t="s">
        <v>216</v>
      </c>
      <c r="H582">
        <v>3400000</v>
      </c>
      <c r="I582">
        <v>4500000</v>
      </c>
      <c r="J582" t="s">
        <v>42</v>
      </c>
      <c r="K582">
        <v>23</v>
      </c>
      <c r="L582">
        <v>2105</v>
      </c>
      <c r="M582">
        <v>2</v>
      </c>
      <c r="N582">
        <v>1274</v>
      </c>
      <c r="O582">
        <v>2</v>
      </c>
      <c r="P582">
        <v>3</v>
      </c>
      <c r="Q582">
        <v>1</v>
      </c>
      <c r="R582">
        <v>7</v>
      </c>
      <c r="S582">
        <v>10</v>
      </c>
      <c r="T582">
        <v>39</v>
      </c>
      <c r="U582">
        <v>8</v>
      </c>
      <c r="V582">
        <v>0</v>
      </c>
      <c r="W582">
        <v>6</v>
      </c>
      <c r="X582">
        <v>1</v>
      </c>
      <c r="Y582">
        <v>0</v>
      </c>
      <c r="Z582">
        <v>0</v>
      </c>
      <c r="AA582">
        <v>2</v>
      </c>
      <c r="AB582">
        <v>3</v>
      </c>
      <c r="AC582">
        <v>1</v>
      </c>
      <c r="AD582">
        <v>31</v>
      </c>
      <c r="AE582">
        <v>68</v>
      </c>
      <c r="AF582">
        <v>1</v>
      </c>
      <c r="AG582">
        <v>11</v>
      </c>
      <c r="AH582">
        <v>19</v>
      </c>
      <c r="AI582">
        <v>0</v>
      </c>
      <c r="AJ582">
        <v>27</v>
      </c>
      <c r="AK582">
        <v>0</v>
      </c>
      <c r="AL582">
        <v>0</v>
      </c>
      <c r="AM582">
        <v>12</v>
      </c>
      <c r="AN582">
        <v>14</v>
      </c>
      <c r="AO582">
        <v>16</v>
      </c>
      <c r="AQ582" t="str">
        <f t="shared" si="9"/>
        <v>Forward</v>
      </c>
    </row>
    <row r="583" spans="1:43" x14ac:dyDescent="0.35">
      <c r="A583" t="s">
        <v>410</v>
      </c>
      <c r="B583" t="s">
        <v>47</v>
      </c>
      <c r="C583" t="s">
        <v>1449</v>
      </c>
      <c r="D583">
        <v>1986</v>
      </c>
      <c r="E583">
        <v>30</v>
      </c>
      <c r="F583" t="s">
        <v>184</v>
      </c>
      <c r="G583" t="s">
        <v>216</v>
      </c>
      <c r="H583">
        <v>8250000</v>
      </c>
      <c r="I583">
        <v>9900000</v>
      </c>
      <c r="J583" t="s">
        <v>55</v>
      </c>
      <c r="K583">
        <v>12</v>
      </c>
      <c r="L583">
        <v>377</v>
      </c>
      <c r="M583">
        <v>0</v>
      </c>
      <c r="N583">
        <v>189</v>
      </c>
      <c r="O583">
        <v>0</v>
      </c>
      <c r="P583">
        <v>0</v>
      </c>
      <c r="Q583">
        <v>0</v>
      </c>
      <c r="R583">
        <v>9</v>
      </c>
      <c r="S583">
        <v>2</v>
      </c>
      <c r="T583">
        <v>6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2</v>
      </c>
      <c r="AB583">
        <v>1</v>
      </c>
      <c r="AC583">
        <v>1</v>
      </c>
      <c r="AD583">
        <v>1</v>
      </c>
      <c r="AE583">
        <v>15</v>
      </c>
      <c r="AF583">
        <v>0</v>
      </c>
      <c r="AG583">
        <v>4</v>
      </c>
      <c r="AH583">
        <v>3</v>
      </c>
      <c r="AI583">
        <v>0</v>
      </c>
      <c r="AJ583">
        <v>3</v>
      </c>
      <c r="AK583">
        <v>0</v>
      </c>
      <c r="AL583">
        <v>0</v>
      </c>
      <c r="AM583">
        <v>1</v>
      </c>
      <c r="AN583">
        <v>1</v>
      </c>
      <c r="AO583">
        <v>4</v>
      </c>
      <c r="AQ583" t="str">
        <f t="shared" si="9"/>
        <v>Midfielder</v>
      </c>
    </row>
    <row r="584" spans="1:43" x14ac:dyDescent="0.35">
      <c r="A584" t="s">
        <v>411</v>
      </c>
      <c r="B584" t="s">
        <v>39</v>
      </c>
      <c r="C584" t="s">
        <v>1450</v>
      </c>
      <c r="D584">
        <v>1989</v>
      </c>
      <c r="E584">
        <v>26</v>
      </c>
      <c r="F584" t="s">
        <v>89</v>
      </c>
      <c r="G584" t="s">
        <v>132</v>
      </c>
      <c r="H584">
        <v>9900000</v>
      </c>
      <c r="I584">
        <v>19800000</v>
      </c>
      <c r="J584" t="s">
        <v>55</v>
      </c>
      <c r="K584">
        <v>35</v>
      </c>
      <c r="L584">
        <v>3075</v>
      </c>
      <c r="M584">
        <v>0</v>
      </c>
      <c r="N584">
        <v>1869</v>
      </c>
      <c r="O584">
        <v>1</v>
      </c>
      <c r="P584">
        <v>10</v>
      </c>
      <c r="Q584">
        <v>0</v>
      </c>
      <c r="R584">
        <v>0</v>
      </c>
      <c r="S584">
        <v>5</v>
      </c>
      <c r="T584">
        <v>30</v>
      </c>
      <c r="U584">
        <v>4</v>
      </c>
      <c r="V584">
        <v>0</v>
      </c>
      <c r="W584">
        <v>14</v>
      </c>
      <c r="X584">
        <v>0</v>
      </c>
      <c r="Y584">
        <v>0</v>
      </c>
      <c r="Z584">
        <v>0</v>
      </c>
      <c r="AA584">
        <v>1</v>
      </c>
      <c r="AB584">
        <v>3</v>
      </c>
      <c r="AC584">
        <v>0</v>
      </c>
      <c r="AD584">
        <v>0</v>
      </c>
      <c r="AE584">
        <v>15</v>
      </c>
      <c r="AF584">
        <v>6</v>
      </c>
      <c r="AG584">
        <v>141</v>
      </c>
      <c r="AH584">
        <v>68</v>
      </c>
      <c r="AI584">
        <v>0</v>
      </c>
      <c r="AJ584">
        <v>144</v>
      </c>
      <c r="AK584">
        <v>1</v>
      </c>
      <c r="AL584">
        <v>0</v>
      </c>
      <c r="AM584">
        <v>30</v>
      </c>
      <c r="AN584">
        <v>31</v>
      </c>
      <c r="AO584">
        <v>27</v>
      </c>
      <c r="AQ584" t="str">
        <f t="shared" si="9"/>
        <v>Midfielder</v>
      </c>
    </row>
    <row r="585" spans="1:43" x14ac:dyDescent="0.35">
      <c r="A585" t="s">
        <v>411</v>
      </c>
      <c r="B585" t="s">
        <v>47</v>
      </c>
      <c r="C585" t="s">
        <v>1451</v>
      </c>
      <c r="D585">
        <v>1989</v>
      </c>
      <c r="E585">
        <v>27</v>
      </c>
      <c r="F585" t="s">
        <v>54</v>
      </c>
      <c r="G585" t="s">
        <v>132</v>
      </c>
      <c r="H585">
        <v>19800000</v>
      </c>
      <c r="I585">
        <v>22000000</v>
      </c>
      <c r="J585" t="s">
        <v>55</v>
      </c>
      <c r="K585">
        <v>33</v>
      </c>
      <c r="L585">
        <v>2685</v>
      </c>
      <c r="M585">
        <v>1</v>
      </c>
      <c r="N585">
        <v>1885</v>
      </c>
      <c r="O585">
        <v>1</v>
      </c>
      <c r="P585">
        <v>11</v>
      </c>
      <c r="Q585">
        <v>0</v>
      </c>
      <c r="R585">
        <v>1</v>
      </c>
      <c r="S585">
        <v>8</v>
      </c>
      <c r="T585">
        <v>25</v>
      </c>
      <c r="U585">
        <v>6</v>
      </c>
      <c r="V585">
        <v>1</v>
      </c>
      <c r="W585">
        <v>15</v>
      </c>
      <c r="X585">
        <v>0</v>
      </c>
      <c r="Y585">
        <v>0</v>
      </c>
      <c r="Z585">
        <v>0</v>
      </c>
      <c r="AA585">
        <v>0</v>
      </c>
      <c r="AB585">
        <v>1</v>
      </c>
      <c r="AC585">
        <v>0</v>
      </c>
      <c r="AD585">
        <v>0</v>
      </c>
      <c r="AE585">
        <v>12</v>
      </c>
      <c r="AF585">
        <v>9</v>
      </c>
      <c r="AG585">
        <v>81</v>
      </c>
      <c r="AH585">
        <v>51</v>
      </c>
      <c r="AI585">
        <v>0</v>
      </c>
      <c r="AJ585">
        <v>135</v>
      </c>
      <c r="AK585">
        <v>0</v>
      </c>
      <c r="AL585">
        <v>0</v>
      </c>
      <c r="AM585">
        <v>39</v>
      </c>
      <c r="AN585">
        <v>32</v>
      </c>
      <c r="AO585">
        <v>19</v>
      </c>
      <c r="AQ585" t="str">
        <f t="shared" si="9"/>
        <v>Midfielder</v>
      </c>
    </row>
    <row r="586" spans="1:43" x14ac:dyDescent="0.35">
      <c r="A586" t="s">
        <v>411</v>
      </c>
      <c r="B586" t="s">
        <v>43</v>
      </c>
      <c r="C586" t="s">
        <v>1452</v>
      </c>
      <c r="D586">
        <v>1989</v>
      </c>
      <c r="E586">
        <v>28</v>
      </c>
      <c r="F586" t="s">
        <v>54</v>
      </c>
      <c r="G586" t="s">
        <v>132</v>
      </c>
      <c r="H586">
        <v>22000000</v>
      </c>
      <c r="I586">
        <v>27500000</v>
      </c>
      <c r="J586" t="s">
        <v>55</v>
      </c>
      <c r="K586">
        <v>33</v>
      </c>
      <c r="L586">
        <v>2757</v>
      </c>
      <c r="M586">
        <v>2</v>
      </c>
      <c r="N586">
        <v>1566</v>
      </c>
      <c r="O586">
        <v>1</v>
      </c>
      <c r="P586">
        <v>6</v>
      </c>
      <c r="Q586">
        <v>1</v>
      </c>
      <c r="R586">
        <v>1</v>
      </c>
      <c r="S586">
        <v>7</v>
      </c>
      <c r="T586">
        <v>23</v>
      </c>
      <c r="U586">
        <v>7</v>
      </c>
      <c r="V586">
        <v>0</v>
      </c>
      <c r="W586">
        <v>13</v>
      </c>
      <c r="X586">
        <v>0</v>
      </c>
      <c r="Y586">
        <v>0</v>
      </c>
      <c r="Z586">
        <v>0</v>
      </c>
      <c r="AA586">
        <v>0</v>
      </c>
      <c r="AB586">
        <v>1</v>
      </c>
      <c r="AC586">
        <v>16</v>
      </c>
      <c r="AD586">
        <v>0</v>
      </c>
      <c r="AE586">
        <v>11</v>
      </c>
      <c r="AF586">
        <v>9</v>
      </c>
      <c r="AG586">
        <v>62</v>
      </c>
      <c r="AH586">
        <v>50</v>
      </c>
      <c r="AI586">
        <v>0</v>
      </c>
      <c r="AJ586">
        <v>117</v>
      </c>
      <c r="AK586">
        <v>0</v>
      </c>
      <c r="AL586">
        <v>0</v>
      </c>
      <c r="AM586">
        <v>42</v>
      </c>
      <c r="AN586">
        <v>0</v>
      </c>
      <c r="AO586">
        <v>33</v>
      </c>
      <c r="AQ586" t="str">
        <f t="shared" si="9"/>
        <v>Midfielder</v>
      </c>
    </row>
    <row r="587" spans="1:43" x14ac:dyDescent="0.35">
      <c r="A587" t="s">
        <v>411</v>
      </c>
      <c r="B587" t="s">
        <v>46</v>
      </c>
      <c r="C587" t="s">
        <v>1453</v>
      </c>
      <c r="D587">
        <v>1989</v>
      </c>
      <c r="E587">
        <v>29</v>
      </c>
      <c r="F587" t="s">
        <v>54</v>
      </c>
      <c r="G587" t="s">
        <v>132</v>
      </c>
      <c r="H587">
        <v>2250000</v>
      </c>
      <c r="I587">
        <v>2700000</v>
      </c>
      <c r="J587" t="s">
        <v>55</v>
      </c>
      <c r="K587">
        <v>33</v>
      </c>
      <c r="L587">
        <v>2825</v>
      </c>
      <c r="M587">
        <v>0</v>
      </c>
      <c r="N587">
        <v>1739</v>
      </c>
      <c r="O587">
        <v>2</v>
      </c>
      <c r="P587">
        <v>6</v>
      </c>
      <c r="Q587">
        <v>0</v>
      </c>
      <c r="R587">
        <v>1</v>
      </c>
      <c r="S587">
        <v>4</v>
      </c>
      <c r="T587">
        <v>19</v>
      </c>
      <c r="U587">
        <v>4</v>
      </c>
      <c r="V587">
        <v>1</v>
      </c>
      <c r="W587">
        <v>11</v>
      </c>
      <c r="X587">
        <v>0</v>
      </c>
      <c r="Y587">
        <v>0</v>
      </c>
      <c r="Z587">
        <v>0</v>
      </c>
      <c r="AA587">
        <v>0</v>
      </c>
      <c r="AB587">
        <v>4</v>
      </c>
      <c r="AC587">
        <v>15</v>
      </c>
      <c r="AD587">
        <v>0</v>
      </c>
      <c r="AE587">
        <v>13</v>
      </c>
      <c r="AF587">
        <v>8</v>
      </c>
      <c r="AG587">
        <v>75</v>
      </c>
      <c r="AH587">
        <v>54</v>
      </c>
      <c r="AI587">
        <v>0</v>
      </c>
      <c r="AJ587">
        <v>142</v>
      </c>
      <c r="AK587">
        <v>0</v>
      </c>
      <c r="AL587">
        <v>0</v>
      </c>
      <c r="AM587">
        <v>44</v>
      </c>
      <c r="AN587">
        <v>32</v>
      </c>
      <c r="AO587">
        <v>35</v>
      </c>
      <c r="AQ587" t="str">
        <f t="shared" si="9"/>
        <v>Midfielder</v>
      </c>
    </row>
    <row r="588" spans="1:43" x14ac:dyDescent="0.35">
      <c r="A588" t="s">
        <v>412</v>
      </c>
      <c r="B588" t="s">
        <v>39</v>
      </c>
      <c r="C588" t="s">
        <v>1454</v>
      </c>
      <c r="D588">
        <v>1988</v>
      </c>
      <c r="E588">
        <v>27</v>
      </c>
      <c r="F588" t="s">
        <v>66</v>
      </c>
      <c r="G588" t="s">
        <v>108</v>
      </c>
      <c r="H588">
        <v>33000000</v>
      </c>
      <c r="I588">
        <v>44000000</v>
      </c>
      <c r="J588" t="s">
        <v>55</v>
      </c>
      <c r="K588">
        <v>28</v>
      </c>
      <c r="L588">
        <v>1680</v>
      </c>
      <c r="M588">
        <v>0</v>
      </c>
      <c r="N588">
        <v>660</v>
      </c>
      <c r="O588">
        <v>1</v>
      </c>
      <c r="P588">
        <v>0</v>
      </c>
      <c r="Q588">
        <v>0</v>
      </c>
      <c r="R588">
        <v>11</v>
      </c>
      <c r="S588">
        <v>5</v>
      </c>
      <c r="T588">
        <v>10</v>
      </c>
      <c r="U588">
        <v>1</v>
      </c>
      <c r="V588">
        <v>0</v>
      </c>
      <c r="W588">
        <v>12</v>
      </c>
      <c r="X588">
        <v>0</v>
      </c>
      <c r="Y588">
        <v>0</v>
      </c>
      <c r="Z588">
        <v>0</v>
      </c>
      <c r="AA588">
        <v>1</v>
      </c>
      <c r="AB588">
        <v>0</v>
      </c>
      <c r="AC588">
        <v>1</v>
      </c>
      <c r="AD588">
        <v>1</v>
      </c>
      <c r="AE588">
        <v>71</v>
      </c>
      <c r="AF588">
        <v>2</v>
      </c>
      <c r="AG588">
        <v>45</v>
      </c>
      <c r="AH588">
        <v>1</v>
      </c>
      <c r="AI588">
        <v>0</v>
      </c>
      <c r="AJ588">
        <v>16</v>
      </c>
      <c r="AK588">
        <v>0</v>
      </c>
      <c r="AL588">
        <v>0</v>
      </c>
      <c r="AM588">
        <v>33</v>
      </c>
      <c r="AN588">
        <v>14</v>
      </c>
      <c r="AO588">
        <v>21</v>
      </c>
      <c r="AQ588" t="str">
        <f t="shared" si="9"/>
        <v>Midfielder</v>
      </c>
    </row>
    <row r="589" spans="1:43" x14ac:dyDescent="0.35">
      <c r="A589" t="s">
        <v>413</v>
      </c>
      <c r="B589" t="s">
        <v>43</v>
      </c>
      <c r="C589" t="s">
        <v>1455</v>
      </c>
      <c r="D589">
        <v>1990</v>
      </c>
      <c r="E589">
        <v>27</v>
      </c>
      <c r="F589" t="s">
        <v>114</v>
      </c>
      <c r="G589" t="s">
        <v>146</v>
      </c>
      <c r="H589">
        <v>33000000</v>
      </c>
      <c r="I589">
        <v>33000000</v>
      </c>
      <c r="J589" t="s">
        <v>55</v>
      </c>
      <c r="K589">
        <v>30</v>
      </c>
      <c r="L589">
        <v>1510</v>
      </c>
      <c r="M589">
        <v>4</v>
      </c>
      <c r="N589">
        <v>1402</v>
      </c>
      <c r="O589">
        <v>1</v>
      </c>
      <c r="P589">
        <v>3</v>
      </c>
      <c r="Q589">
        <v>0</v>
      </c>
      <c r="R589">
        <v>15</v>
      </c>
      <c r="S589">
        <v>6</v>
      </c>
      <c r="T589">
        <v>35</v>
      </c>
      <c r="U589">
        <v>11</v>
      </c>
      <c r="V589">
        <v>1</v>
      </c>
      <c r="W589">
        <v>2</v>
      </c>
      <c r="X589">
        <v>1</v>
      </c>
      <c r="Y589">
        <v>1</v>
      </c>
      <c r="Z589">
        <v>0</v>
      </c>
      <c r="AA589">
        <v>0</v>
      </c>
      <c r="AB589">
        <v>6</v>
      </c>
      <c r="AC589">
        <v>24</v>
      </c>
      <c r="AD589">
        <v>10</v>
      </c>
      <c r="AE589">
        <v>8</v>
      </c>
      <c r="AF589">
        <v>1</v>
      </c>
      <c r="AG589">
        <v>16</v>
      </c>
      <c r="AH589">
        <v>14</v>
      </c>
      <c r="AI589">
        <v>0</v>
      </c>
      <c r="AJ589">
        <v>27</v>
      </c>
      <c r="AK589">
        <v>0</v>
      </c>
      <c r="AL589">
        <v>0</v>
      </c>
      <c r="AM589">
        <v>10</v>
      </c>
      <c r="AN589">
        <v>4</v>
      </c>
      <c r="AO589">
        <v>12</v>
      </c>
      <c r="AQ589" t="str">
        <f t="shared" si="9"/>
        <v>Midfielder</v>
      </c>
    </row>
    <row r="590" spans="1:43" x14ac:dyDescent="0.35">
      <c r="A590" t="s">
        <v>413</v>
      </c>
      <c r="B590" t="s">
        <v>47</v>
      </c>
      <c r="C590" t="s">
        <v>1456</v>
      </c>
      <c r="D590">
        <v>1990</v>
      </c>
      <c r="E590">
        <v>25</v>
      </c>
      <c r="F590" t="s">
        <v>114</v>
      </c>
      <c r="G590" t="s">
        <v>146</v>
      </c>
      <c r="H590">
        <v>44000000</v>
      </c>
      <c r="I590">
        <v>55000000</v>
      </c>
      <c r="J590" t="s">
        <v>55</v>
      </c>
      <c r="K590">
        <v>10</v>
      </c>
      <c r="L590">
        <v>709</v>
      </c>
      <c r="M590">
        <v>3</v>
      </c>
      <c r="N590">
        <v>505</v>
      </c>
      <c r="O590">
        <v>1</v>
      </c>
      <c r="P590">
        <v>0</v>
      </c>
      <c r="Q590">
        <v>0</v>
      </c>
      <c r="R590">
        <v>1</v>
      </c>
      <c r="S590">
        <v>7</v>
      </c>
      <c r="T590">
        <v>16</v>
      </c>
      <c r="U590">
        <v>4</v>
      </c>
      <c r="V590">
        <v>0</v>
      </c>
      <c r="W590">
        <v>2</v>
      </c>
      <c r="X590">
        <v>0</v>
      </c>
      <c r="Y590">
        <v>0</v>
      </c>
      <c r="Z590">
        <v>0</v>
      </c>
      <c r="AA590">
        <v>0</v>
      </c>
      <c r="AB590">
        <v>6</v>
      </c>
      <c r="AC590">
        <v>0</v>
      </c>
      <c r="AD590">
        <v>4</v>
      </c>
      <c r="AE590">
        <v>7</v>
      </c>
      <c r="AF590">
        <v>0</v>
      </c>
      <c r="AG590">
        <v>9</v>
      </c>
      <c r="AH590">
        <v>2</v>
      </c>
      <c r="AI590">
        <v>0</v>
      </c>
      <c r="AJ590">
        <v>10</v>
      </c>
      <c r="AK590">
        <v>0</v>
      </c>
      <c r="AL590">
        <v>0</v>
      </c>
      <c r="AM590">
        <v>4</v>
      </c>
      <c r="AN590">
        <v>2</v>
      </c>
      <c r="AO590">
        <v>5</v>
      </c>
      <c r="AQ590" t="str">
        <f t="shared" si="9"/>
        <v>Midfielder</v>
      </c>
    </row>
    <row r="591" spans="1:43" x14ac:dyDescent="0.35">
      <c r="A591" t="s">
        <v>413</v>
      </c>
      <c r="B591" t="s">
        <v>46</v>
      </c>
      <c r="C591" t="s">
        <v>1457</v>
      </c>
      <c r="D591">
        <v>1990</v>
      </c>
      <c r="E591">
        <v>27</v>
      </c>
      <c r="F591" t="s">
        <v>114</v>
      </c>
      <c r="G591" t="s">
        <v>146</v>
      </c>
      <c r="H591">
        <v>7500000</v>
      </c>
      <c r="I591">
        <v>6500000</v>
      </c>
      <c r="J591" t="s">
        <v>55</v>
      </c>
      <c r="K591">
        <v>31</v>
      </c>
      <c r="L591">
        <v>2135</v>
      </c>
      <c r="M591">
        <v>6</v>
      </c>
      <c r="N591">
        <v>1994</v>
      </c>
      <c r="O591">
        <v>3</v>
      </c>
      <c r="P591">
        <v>0</v>
      </c>
      <c r="Q591">
        <v>0</v>
      </c>
      <c r="R591">
        <v>8</v>
      </c>
      <c r="S591">
        <v>6</v>
      </c>
      <c r="T591">
        <v>43</v>
      </c>
      <c r="U591">
        <v>11</v>
      </c>
      <c r="V591">
        <v>1</v>
      </c>
      <c r="W591">
        <v>9</v>
      </c>
      <c r="X591">
        <v>1</v>
      </c>
      <c r="Y591">
        <v>0</v>
      </c>
      <c r="Z591">
        <v>1</v>
      </c>
      <c r="AA591">
        <v>0</v>
      </c>
      <c r="AB591">
        <v>17</v>
      </c>
      <c r="AC591">
        <v>32</v>
      </c>
      <c r="AD591">
        <v>81</v>
      </c>
      <c r="AE591">
        <v>98</v>
      </c>
      <c r="AF591">
        <v>3</v>
      </c>
      <c r="AG591">
        <v>28</v>
      </c>
      <c r="AH591">
        <v>13</v>
      </c>
      <c r="AI591">
        <v>0</v>
      </c>
      <c r="AJ591">
        <v>19</v>
      </c>
      <c r="AK591">
        <v>0</v>
      </c>
      <c r="AL591">
        <v>0</v>
      </c>
      <c r="AM591">
        <v>18</v>
      </c>
      <c r="AN591">
        <v>26</v>
      </c>
      <c r="AO591">
        <v>24</v>
      </c>
      <c r="AQ591" t="str">
        <f t="shared" si="9"/>
        <v>Midfielder</v>
      </c>
    </row>
    <row r="592" spans="1:43" x14ac:dyDescent="0.35">
      <c r="A592" t="s">
        <v>414</v>
      </c>
      <c r="B592" t="s">
        <v>46</v>
      </c>
      <c r="C592" t="s">
        <v>1458</v>
      </c>
      <c r="D592">
        <v>1995</v>
      </c>
      <c r="E592">
        <v>23</v>
      </c>
      <c r="F592" t="s">
        <v>117</v>
      </c>
      <c r="G592" t="s">
        <v>51</v>
      </c>
      <c r="H592">
        <v>6300000</v>
      </c>
      <c r="I592">
        <v>7200000</v>
      </c>
      <c r="J592" t="s">
        <v>52</v>
      </c>
      <c r="K592">
        <v>25</v>
      </c>
      <c r="L592">
        <v>1864</v>
      </c>
      <c r="M592">
        <v>1</v>
      </c>
      <c r="N592">
        <v>720</v>
      </c>
      <c r="O592">
        <v>4</v>
      </c>
      <c r="P592">
        <v>3</v>
      </c>
      <c r="Q592">
        <v>1</v>
      </c>
      <c r="R592">
        <v>4</v>
      </c>
      <c r="S592">
        <v>6</v>
      </c>
      <c r="T592">
        <v>22</v>
      </c>
      <c r="U592">
        <v>5</v>
      </c>
      <c r="V592">
        <v>0</v>
      </c>
      <c r="W592">
        <v>16</v>
      </c>
      <c r="X592">
        <v>0</v>
      </c>
      <c r="Y592">
        <v>0</v>
      </c>
      <c r="Z592">
        <v>0</v>
      </c>
      <c r="AA592">
        <v>0</v>
      </c>
      <c r="AB592">
        <v>5</v>
      </c>
      <c r="AC592">
        <v>17</v>
      </c>
      <c r="AD592">
        <v>0</v>
      </c>
      <c r="AE592">
        <v>11</v>
      </c>
      <c r="AF592">
        <v>4</v>
      </c>
      <c r="AG592">
        <v>40</v>
      </c>
      <c r="AH592">
        <v>32</v>
      </c>
      <c r="AI592">
        <v>0</v>
      </c>
      <c r="AJ592">
        <v>73</v>
      </c>
      <c r="AK592">
        <v>0</v>
      </c>
      <c r="AL592">
        <v>0</v>
      </c>
      <c r="AM592">
        <v>28</v>
      </c>
      <c r="AN592">
        <v>54</v>
      </c>
      <c r="AO592">
        <v>40</v>
      </c>
      <c r="AQ592" t="str">
        <f t="shared" si="9"/>
        <v>Defensive Forward</v>
      </c>
    </row>
    <row r="593" spans="1:43" x14ac:dyDescent="0.35">
      <c r="A593" t="s">
        <v>414</v>
      </c>
      <c r="B593" t="s">
        <v>43</v>
      </c>
      <c r="C593" t="s">
        <v>1459</v>
      </c>
      <c r="D593">
        <v>1995</v>
      </c>
      <c r="E593">
        <v>22</v>
      </c>
      <c r="F593" t="s">
        <v>117</v>
      </c>
      <c r="G593" t="s">
        <v>51</v>
      </c>
      <c r="H593">
        <v>3600000</v>
      </c>
      <c r="I593">
        <v>6300000</v>
      </c>
      <c r="J593" t="s">
        <v>52</v>
      </c>
      <c r="K593">
        <v>26</v>
      </c>
      <c r="L593">
        <v>1372</v>
      </c>
      <c r="M593">
        <v>1</v>
      </c>
      <c r="N593">
        <v>527</v>
      </c>
      <c r="O593">
        <v>0</v>
      </c>
      <c r="P593">
        <v>7</v>
      </c>
      <c r="Q593">
        <v>0</v>
      </c>
      <c r="R593">
        <v>11</v>
      </c>
      <c r="S593">
        <v>7</v>
      </c>
      <c r="T593">
        <v>14</v>
      </c>
      <c r="U593">
        <v>9</v>
      </c>
      <c r="V593">
        <v>0</v>
      </c>
      <c r="W593">
        <v>20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17</v>
      </c>
      <c r="AF593">
        <v>6</v>
      </c>
      <c r="AG593">
        <v>23</v>
      </c>
      <c r="AH593">
        <v>30</v>
      </c>
      <c r="AI593">
        <v>0</v>
      </c>
      <c r="AJ593">
        <v>40</v>
      </c>
      <c r="AK593">
        <v>0</v>
      </c>
      <c r="AL593">
        <v>0</v>
      </c>
      <c r="AM593">
        <v>40</v>
      </c>
      <c r="AN593">
        <v>51</v>
      </c>
      <c r="AO593">
        <v>45</v>
      </c>
      <c r="AQ593" t="str">
        <f t="shared" si="9"/>
        <v>Defensive Forward</v>
      </c>
    </row>
    <row r="594" spans="1:43" x14ac:dyDescent="0.35">
      <c r="A594" t="s">
        <v>415</v>
      </c>
      <c r="B594" t="s">
        <v>46</v>
      </c>
      <c r="C594" t="s">
        <v>1460</v>
      </c>
      <c r="D594">
        <v>1996</v>
      </c>
      <c r="E594">
        <v>22</v>
      </c>
      <c r="F594" t="s">
        <v>58</v>
      </c>
      <c r="G594" t="s">
        <v>95</v>
      </c>
      <c r="H594">
        <v>3850000</v>
      </c>
      <c r="I594">
        <v>4500000</v>
      </c>
      <c r="J594" t="s">
        <v>42</v>
      </c>
      <c r="K594">
        <v>22</v>
      </c>
      <c r="L594">
        <v>982</v>
      </c>
      <c r="M594">
        <v>1</v>
      </c>
      <c r="N594">
        <v>232</v>
      </c>
      <c r="O594">
        <v>1</v>
      </c>
      <c r="P594">
        <v>1</v>
      </c>
      <c r="Q594">
        <v>0</v>
      </c>
      <c r="R594">
        <v>12</v>
      </c>
      <c r="S594">
        <v>7</v>
      </c>
      <c r="T594">
        <v>16</v>
      </c>
      <c r="U594">
        <v>5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5</v>
      </c>
      <c r="AB594">
        <v>1</v>
      </c>
      <c r="AC594">
        <v>11</v>
      </c>
      <c r="AD594">
        <v>5</v>
      </c>
      <c r="AE594">
        <v>34</v>
      </c>
      <c r="AF594">
        <v>0</v>
      </c>
      <c r="AG594">
        <v>5</v>
      </c>
      <c r="AH594">
        <v>8</v>
      </c>
      <c r="AI594">
        <v>0</v>
      </c>
      <c r="AJ594">
        <v>10</v>
      </c>
      <c r="AK594">
        <v>0</v>
      </c>
      <c r="AL594">
        <v>0</v>
      </c>
      <c r="AM594">
        <v>4</v>
      </c>
      <c r="AN594">
        <v>2</v>
      </c>
      <c r="AO594">
        <v>10</v>
      </c>
      <c r="AQ594" t="str">
        <f t="shared" si="9"/>
        <v>Forward</v>
      </c>
    </row>
    <row r="595" spans="1:43" x14ac:dyDescent="0.35">
      <c r="A595" t="s">
        <v>416</v>
      </c>
      <c r="B595" t="s">
        <v>47</v>
      </c>
      <c r="C595" t="s">
        <v>1461</v>
      </c>
      <c r="D595">
        <v>1996</v>
      </c>
      <c r="E595">
        <v>20</v>
      </c>
      <c r="F595" t="s">
        <v>66</v>
      </c>
      <c r="G595" t="s">
        <v>105</v>
      </c>
      <c r="H595">
        <v>3600000</v>
      </c>
      <c r="I595">
        <v>3600000</v>
      </c>
      <c r="J595" t="s">
        <v>42</v>
      </c>
      <c r="K595">
        <v>19</v>
      </c>
      <c r="L595">
        <v>505</v>
      </c>
      <c r="M595">
        <v>1</v>
      </c>
      <c r="N595">
        <v>131</v>
      </c>
      <c r="O595">
        <v>1</v>
      </c>
      <c r="P595">
        <v>2</v>
      </c>
      <c r="Q595">
        <v>0</v>
      </c>
      <c r="R595">
        <v>17</v>
      </c>
      <c r="S595">
        <v>1</v>
      </c>
      <c r="T595">
        <v>14</v>
      </c>
      <c r="U595">
        <v>7</v>
      </c>
      <c r="V595">
        <v>0</v>
      </c>
      <c r="W595">
        <v>5</v>
      </c>
      <c r="X595">
        <v>1</v>
      </c>
      <c r="Y595">
        <v>0</v>
      </c>
      <c r="Z595">
        <v>0</v>
      </c>
      <c r="AA595">
        <v>1</v>
      </c>
      <c r="AB595">
        <v>0</v>
      </c>
      <c r="AC595">
        <v>3</v>
      </c>
      <c r="AD595">
        <v>1</v>
      </c>
      <c r="AE595">
        <v>13</v>
      </c>
      <c r="AF595">
        <v>2</v>
      </c>
      <c r="AG595">
        <v>7</v>
      </c>
      <c r="AH595">
        <v>12</v>
      </c>
      <c r="AI595">
        <v>0</v>
      </c>
      <c r="AJ595">
        <v>16</v>
      </c>
      <c r="AK595">
        <v>0</v>
      </c>
      <c r="AL595">
        <v>0</v>
      </c>
      <c r="AM595">
        <v>9</v>
      </c>
      <c r="AN595">
        <v>5</v>
      </c>
      <c r="AO595">
        <v>8</v>
      </c>
      <c r="AQ595" t="str">
        <f t="shared" si="9"/>
        <v>Forward</v>
      </c>
    </row>
    <row r="596" spans="1:43" x14ac:dyDescent="0.35">
      <c r="A596" t="s">
        <v>416</v>
      </c>
      <c r="B596" t="s">
        <v>46</v>
      </c>
      <c r="C596" t="s">
        <v>1462</v>
      </c>
      <c r="D596">
        <v>1996</v>
      </c>
      <c r="E596">
        <v>22</v>
      </c>
      <c r="F596" t="s">
        <v>66</v>
      </c>
      <c r="G596" t="s">
        <v>105</v>
      </c>
      <c r="H596">
        <v>2200000</v>
      </c>
      <c r="I596">
        <v>4500000</v>
      </c>
      <c r="J596" t="s">
        <v>42</v>
      </c>
      <c r="K596">
        <v>30</v>
      </c>
      <c r="L596">
        <v>1039</v>
      </c>
      <c r="M596">
        <v>0</v>
      </c>
      <c r="N596">
        <v>349</v>
      </c>
      <c r="O596">
        <v>0</v>
      </c>
      <c r="P596">
        <v>4</v>
      </c>
      <c r="Q596">
        <v>0</v>
      </c>
      <c r="R596">
        <v>21</v>
      </c>
      <c r="S596">
        <v>6</v>
      </c>
      <c r="T596">
        <v>29</v>
      </c>
      <c r="U596">
        <v>10</v>
      </c>
      <c r="V596">
        <v>0</v>
      </c>
      <c r="W596">
        <v>10</v>
      </c>
      <c r="X596">
        <v>0</v>
      </c>
      <c r="Y596">
        <v>0</v>
      </c>
      <c r="Z596">
        <v>0</v>
      </c>
      <c r="AA596">
        <v>12</v>
      </c>
      <c r="AB596">
        <v>2</v>
      </c>
      <c r="AC596">
        <v>19</v>
      </c>
      <c r="AD596">
        <v>0</v>
      </c>
      <c r="AE596">
        <v>13</v>
      </c>
      <c r="AF596">
        <v>0</v>
      </c>
      <c r="AG596">
        <v>2</v>
      </c>
      <c r="AH596">
        <v>24</v>
      </c>
      <c r="AI596">
        <v>0</v>
      </c>
      <c r="AJ596">
        <v>15</v>
      </c>
      <c r="AK596">
        <v>0</v>
      </c>
      <c r="AL596">
        <v>0</v>
      </c>
      <c r="AM596">
        <v>11</v>
      </c>
      <c r="AN596">
        <v>31</v>
      </c>
      <c r="AO596">
        <v>59</v>
      </c>
      <c r="AQ596" t="str">
        <f t="shared" si="9"/>
        <v>Forward</v>
      </c>
    </row>
    <row r="597" spans="1:43" x14ac:dyDescent="0.35">
      <c r="A597" t="s">
        <v>417</v>
      </c>
      <c r="B597" t="s">
        <v>43</v>
      </c>
      <c r="C597" t="s">
        <v>1463</v>
      </c>
      <c r="D597">
        <v>1997</v>
      </c>
      <c r="E597">
        <v>20</v>
      </c>
      <c r="F597" t="s">
        <v>134</v>
      </c>
      <c r="G597" t="s">
        <v>51</v>
      </c>
      <c r="H597">
        <v>4500000</v>
      </c>
      <c r="I597">
        <v>4500000</v>
      </c>
      <c r="J597" t="s">
        <v>42</v>
      </c>
      <c r="K597">
        <v>13</v>
      </c>
      <c r="L597">
        <v>306</v>
      </c>
      <c r="M597">
        <v>0</v>
      </c>
      <c r="N597">
        <v>129</v>
      </c>
      <c r="O597">
        <v>0</v>
      </c>
      <c r="P597">
        <v>0</v>
      </c>
      <c r="Q597">
        <v>0</v>
      </c>
      <c r="R597">
        <v>9</v>
      </c>
      <c r="S597">
        <v>4</v>
      </c>
      <c r="T597">
        <v>1</v>
      </c>
      <c r="U597">
        <v>1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1</v>
      </c>
      <c r="AB597">
        <v>0</v>
      </c>
      <c r="AC597">
        <v>0</v>
      </c>
      <c r="AD597">
        <v>0</v>
      </c>
      <c r="AE597">
        <v>7</v>
      </c>
      <c r="AF597">
        <v>0</v>
      </c>
      <c r="AG597">
        <v>1</v>
      </c>
      <c r="AH597">
        <v>3</v>
      </c>
      <c r="AI597">
        <v>0</v>
      </c>
      <c r="AJ597">
        <v>3</v>
      </c>
      <c r="AK597">
        <v>0</v>
      </c>
      <c r="AL597">
        <v>0</v>
      </c>
      <c r="AM597">
        <v>2</v>
      </c>
      <c r="AN597">
        <v>13</v>
      </c>
      <c r="AO597">
        <v>24</v>
      </c>
      <c r="AQ597" t="str">
        <f t="shared" si="9"/>
        <v>Forward</v>
      </c>
    </row>
    <row r="598" spans="1:43" x14ac:dyDescent="0.35">
      <c r="A598" t="s">
        <v>418</v>
      </c>
      <c r="B598" t="s">
        <v>47</v>
      </c>
      <c r="C598" t="s">
        <v>1464</v>
      </c>
      <c r="D598">
        <v>1988</v>
      </c>
      <c r="E598">
        <v>28</v>
      </c>
      <c r="F598" t="s">
        <v>99</v>
      </c>
      <c r="G598" t="s">
        <v>93</v>
      </c>
      <c r="H598">
        <v>20000000</v>
      </c>
      <c r="I598">
        <v>22500000</v>
      </c>
      <c r="J598" t="s">
        <v>42</v>
      </c>
      <c r="K598">
        <v>23</v>
      </c>
      <c r="L598">
        <v>1279</v>
      </c>
      <c r="M598">
        <v>7</v>
      </c>
      <c r="N598">
        <v>423</v>
      </c>
      <c r="O598">
        <v>4</v>
      </c>
      <c r="P598">
        <v>1</v>
      </c>
      <c r="Q598">
        <v>0</v>
      </c>
      <c r="R598">
        <v>10</v>
      </c>
      <c r="S598">
        <v>7</v>
      </c>
      <c r="T598">
        <v>35</v>
      </c>
      <c r="U598">
        <v>13</v>
      </c>
      <c r="V598">
        <v>2</v>
      </c>
      <c r="W598">
        <v>2</v>
      </c>
      <c r="X598">
        <v>5</v>
      </c>
      <c r="Y598">
        <v>1</v>
      </c>
      <c r="Z598">
        <v>0</v>
      </c>
      <c r="AA598">
        <v>11</v>
      </c>
      <c r="AB598">
        <v>3</v>
      </c>
      <c r="AC598">
        <v>7</v>
      </c>
      <c r="AD598">
        <v>0</v>
      </c>
      <c r="AE598">
        <v>3</v>
      </c>
      <c r="AF598">
        <v>3</v>
      </c>
      <c r="AG598">
        <v>3</v>
      </c>
      <c r="AH598">
        <v>27</v>
      </c>
      <c r="AI598">
        <v>0</v>
      </c>
      <c r="AJ598">
        <v>12</v>
      </c>
      <c r="AK598">
        <v>0</v>
      </c>
      <c r="AL598">
        <v>0</v>
      </c>
      <c r="AM598">
        <v>3</v>
      </c>
      <c r="AN598">
        <v>54</v>
      </c>
      <c r="AO598">
        <v>79</v>
      </c>
      <c r="AQ598" t="str">
        <f t="shared" si="9"/>
        <v>Forward</v>
      </c>
    </row>
    <row r="599" spans="1:43" x14ac:dyDescent="0.35">
      <c r="A599" t="s">
        <v>418</v>
      </c>
      <c r="B599" t="s">
        <v>43</v>
      </c>
      <c r="C599" t="s">
        <v>1465</v>
      </c>
      <c r="D599">
        <v>1988</v>
      </c>
      <c r="E599">
        <v>29</v>
      </c>
      <c r="F599" t="s">
        <v>99</v>
      </c>
      <c r="G599" t="s">
        <v>93</v>
      </c>
      <c r="H599">
        <v>22500000</v>
      </c>
      <c r="I599">
        <v>16800000</v>
      </c>
      <c r="J599" t="s">
        <v>42</v>
      </c>
      <c r="K599">
        <v>16</v>
      </c>
      <c r="L599">
        <v>370</v>
      </c>
      <c r="M599">
        <v>1</v>
      </c>
      <c r="N599">
        <v>157</v>
      </c>
      <c r="O599">
        <v>1</v>
      </c>
      <c r="P599">
        <v>1</v>
      </c>
      <c r="Q599">
        <v>0</v>
      </c>
      <c r="R599">
        <v>13</v>
      </c>
      <c r="S599">
        <v>2</v>
      </c>
      <c r="T599">
        <v>4</v>
      </c>
      <c r="U599">
        <v>4</v>
      </c>
      <c r="V599">
        <v>0</v>
      </c>
      <c r="W599">
        <v>2</v>
      </c>
      <c r="X599">
        <v>0</v>
      </c>
      <c r="Y599">
        <v>0</v>
      </c>
      <c r="Z599">
        <v>0</v>
      </c>
      <c r="AA599">
        <v>4</v>
      </c>
      <c r="AB599">
        <v>2</v>
      </c>
      <c r="AC599">
        <v>0</v>
      </c>
      <c r="AD599">
        <v>0</v>
      </c>
      <c r="AE599">
        <v>7</v>
      </c>
      <c r="AF599">
        <v>0</v>
      </c>
      <c r="AG599">
        <v>1</v>
      </c>
      <c r="AH599">
        <v>3</v>
      </c>
      <c r="AI599">
        <v>0</v>
      </c>
      <c r="AJ599">
        <v>2</v>
      </c>
      <c r="AK599">
        <v>0</v>
      </c>
      <c r="AL599">
        <v>0</v>
      </c>
      <c r="AM599">
        <v>3</v>
      </c>
      <c r="AN599">
        <v>13</v>
      </c>
      <c r="AO599">
        <v>27</v>
      </c>
      <c r="AQ599" t="str">
        <f t="shared" si="9"/>
        <v>Forward</v>
      </c>
    </row>
    <row r="600" spans="1:43" x14ac:dyDescent="0.35">
      <c r="A600" t="s">
        <v>419</v>
      </c>
      <c r="B600" t="s">
        <v>46</v>
      </c>
      <c r="C600" t="s">
        <v>1466</v>
      </c>
      <c r="D600">
        <v>1997</v>
      </c>
      <c r="E600">
        <v>21</v>
      </c>
      <c r="F600" t="s">
        <v>50</v>
      </c>
      <c r="G600" t="s">
        <v>67</v>
      </c>
      <c r="H600">
        <v>19800000</v>
      </c>
      <c r="I600">
        <v>31500000</v>
      </c>
      <c r="J600" t="s">
        <v>52</v>
      </c>
      <c r="K600">
        <v>33</v>
      </c>
      <c r="L600">
        <v>2970</v>
      </c>
      <c r="M600">
        <v>1</v>
      </c>
      <c r="N600">
        <v>1134</v>
      </c>
      <c r="O600">
        <v>0</v>
      </c>
      <c r="P600">
        <v>4</v>
      </c>
      <c r="Q600">
        <v>0</v>
      </c>
      <c r="R600">
        <v>0</v>
      </c>
      <c r="S600">
        <v>0</v>
      </c>
      <c r="T600">
        <v>12</v>
      </c>
      <c r="U600">
        <v>5</v>
      </c>
      <c r="V600">
        <v>0</v>
      </c>
      <c r="W600">
        <v>72</v>
      </c>
      <c r="X600">
        <v>1</v>
      </c>
      <c r="Y600">
        <v>0</v>
      </c>
      <c r="Z600">
        <v>0</v>
      </c>
      <c r="AA600">
        <v>3</v>
      </c>
      <c r="AB600">
        <v>0</v>
      </c>
      <c r="AC600">
        <v>7</v>
      </c>
      <c r="AD600">
        <v>0</v>
      </c>
      <c r="AE600">
        <v>0</v>
      </c>
      <c r="AF600">
        <v>36</v>
      </c>
      <c r="AG600">
        <v>64</v>
      </c>
      <c r="AH600">
        <v>18</v>
      </c>
      <c r="AI600">
        <v>0</v>
      </c>
      <c r="AJ600">
        <v>68</v>
      </c>
      <c r="AK600">
        <v>1</v>
      </c>
      <c r="AL600">
        <v>1</v>
      </c>
      <c r="AM600">
        <v>155</v>
      </c>
      <c r="AN600">
        <v>76</v>
      </c>
      <c r="AO600">
        <v>49</v>
      </c>
      <c r="AQ600" t="str">
        <f t="shared" si="9"/>
        <v>Defensive Forward</v>
      </c>
    </row>
    <row r="601" spans="1:43" x14ac:dyDescent="0.35">
      <c r="A601" t="s">
        <v>420</v>
      </c>
      <c r="B601" t="s">
        <v>46</v>
      </c>
      <c r="C601" t="s">
        <v>1467</v>
      </c>
      <c r="D601">
        <v>1993</v>
      </c>
      <c r="E601">
        <v>24</v>
      </c>
      <c r="F601" t="s">
        <v>90</v>
      </c>
      <c r="G601" t="s">
        <v>41</v>
      </c>
      <c r="H601">
        <v>11000000</v>
      </c>
      <c r="I601">
        <v>11000000</v>
      </c>
      <c r="J601" t="s">
        <v>42</v>
      </c>
      <c r="K601">
        <v>23</v>
      </c>
      <c r="L601">
        <v>683</v>
      </c>
      <c r="M601">
        <v>3</v>
      </c>
      <c r="N601">
        <v>294</v>
      </c>
      <c r="O601">
        <v>1</v>
      </c>
      <c r="P601">
        <v>1</v>
      </c>
      <c r="Q601">
        <v>0</v>
      </c>
      <c r="R601">
        <v>17</v>
      </c>
      <c r="S601">
        <v>6</v>
      </c>
      <c r="T601">
        <v>13</v>
      </c>
      <c r="U601">
        <v>4</v>
      </c>
      <c r="V601">
        <v>2</v>
      </c>
      <c r="W601">
        <v>3</v>
      </c>
      <c r="X601">
        <v>0</v>
      </c>
      <c r="Y601">
        <v>0</v>
      </c>
      <c r="Z601">
        <v>0</v>
      </c>
      <c r="AA601">
        <v>6</v>
      </c>
      <c r="AB601">
        <v>1</v>
      </c>
      <c r="AC601">
        <v>9</v>
      </c>
      <c r="AD601">
        <v>17</v>
      </c>
      <c r="AE601">
        <v>54</v>
      </c>
      <c r="AF601">
        <v>0</v>
      </c>
      <c r="AG601">
        <v>4</v>
      </c>
      <c r="AH601">
        <v>13</v>
      </c>
      <c r="AI601">
        <v>0</v>
      </c>
      <c r="AJ601">
        <v>5</v>
      </c>
      <c r="AK601">
        <v>0</v>
      </c>
      <c r="AL601">
        <v>0</v>
      </c>
      <c r="AM601">
        <v>4</v>
      </c>
      <c r="AN601">
        <v>9</v>
      </c>
      <c r="AO601">
        <v>23</v>
      </c>
      <c r="AQ601" t="str">
        <f t="shared" si="9"/>
        <v>Forward</v>
      </c>
    </row>
    <row r="602" spans="1:43" x14ac:dyDescent="0.35">
      <c r="A602" t="s">
        <v>421</v>
      </c>
      <c r="B602" t="s">
        <v>39</v>
      </c>
      <c r="C602" t="s">
        <v>1468</v>
      </c>
      <c r="D602">
        <v>1990</v>
      </c>
      <c r="E602">
        <v>25</v>
      </c>
      <c r="F602" t="s">
        <v>123</v>
      </c>
      <c r="G602" t="s">
        <v>41</v>
      </c>
      <c r="H602">
        <v>3600000</v>
      </c>
      <c r="I602">
        <v>3600000</v>
      </c>
      <c r="J602" t="s">
        <v>52</v>
      </c>
      <c r="K602">
        <v>10</v>
      </c>
      <c r="L602">
        <v>811</v>
      </c>
      <c r="M602">
        <v>0</v>
      </c>
      <c r="N602">
        <v>306</v>
      </c>
      <c r="O602">
        <v>0</v>
      </c>
      <c r="P602">
        <v>0</v>
      </c>
      <c r="Q602">
        <v>0</v>
      </c>
      <c r="R602">
        <v>1</v>
      </c>
      <c r="S602">
        <v>0</v>
      </c>
      <c r="T602">
        <v>0</v>
      </c>
      <c r="U602">
        <v>0</v>
      </c>
      <c r="V602">
        <v>0</v>
      </c>
      <c r="W602">
        <v>12</v>
      </c>
      <c r="X602">
        <v>0</v>
      </c>
      <c r="Y602">
        <v>0</v>
      </c>
      <c r="Z602">
        <v>0</v>
      </c>
      <c r="AA602">
        <v>3</v>
      </c>
      <c r="AB602">
        <v>0</v>
      </c>
      <c r="AC602">
        <v>0</v>
      </c>
      <c r="AD602">
        <v>0</v>
      </c>
      <c r="AE602">
        <v>31</v>
      </c>
      <c r="AF602">
        <v>2</v>
      </c>
      <c r="AG602">
        <v>21</v>
      </c>
      <c r="AH602">
        <v>9</v>
      </c>
      <c r="AI602">
        <v>0</v>
      </c>
      <c r="AJ602">
        <v>17</v>
      </c>
      <c r="AK602">
        <v>0</v>
      </c>
      <c r="AL602">
        <v>0</v>
      </c>
      <c r="AM602">
        <v>28</v>
      </c>
      <c r="AN602">
        <v>5</v>
      </c>
      <c r="AO602">
        <v>14</v>
      </c>
      <c r="AQ602" t="str">
        <f t="shared" si="9"/>
        <v>Defensive Forward</v>
      </c>
    </row>
    <row r="603" spans="1:43" x14ac:dyDescent="0.35">
      <c r="A603" t="s">
        <v>422</v>
      </c>
      <c r="B603" t="s">
        <v>46</v>
      </c>
      <c r="C603" t="s">
        <v>1469</v>
      </c>
      <c r="D603">
        <v>1993</v>
      </c>
      <c r="E603">
        <v>24</v>
      </c>
      <c r="F603" t="s">
        <v>134</v>
      </c>
      <c r="G603" t="s">
        <v>216</v>
      </c>
      <c r="H603">
        <v>13600000</v>
      </c>
      <c r="I603">
        <v>10800000</v>
      </c>
      <c r="J603" t="s">
        <v>42</v>
      </c>
      <c r="K603">
        <v>26</v>
      </c>
      <c r="L603">
        <v>1229</v>
      </c>
      <c r="M603">
        <v>2</v>
      </c>
      <c r="N603">
        <v>331</v>
      </c>
      <c r="O603">
        <v>0</v>
      </c>
      <c r="P603">
        <v>0</v>
      </c>
      <c r="Q603">
        <v>0</v>
      </c>
      <c r="R603">
        <v>14</v>
      </c>
      <c r="S603">
        <v>5</v>
      </c>
      <c r="T603">
        <v>28</v>
      </c>
      <c r="U603">
        <v>10</v>
      </c>
      <c r="V603">
        <v>0</v>
      </c>
      <c r="W603">
        <v>4</v>
      </c>
      <c r="X603">
        <v>0</v>
      </c>
      <c r="Y603">
        <v>0</v>
      </c>
      <c r="Z603">
        <v>0</v>
      </c>
      <c r="AA603">
        <v>11</v>
      </c>
      <c r="AB603">
        <v>0</v>
      </c>
      <c r="AC603">
        <v>18</v>
      </c>
      <c r="AD603">
        <v>0</v>
      </c>
      <c r="AE603">
        <v>12</v>
      </c>
      <c r="AF603">
        <v>0</v>
      </c>
      <c r="AG603">
        <v>9</v>
      </c>
      <c r="AH603">
        <v>22</v>
      </c>
      <c r="AI603">
        <v>0</v>
      </c>
      <c r="AJ603">
        <v>15</v>
      </c>
      <c r="AK603">
        <v>0</v>
      </c>
      <c r="AL603">
        <v>0</v>
      </c>
      <c r="AM603">
        <v>9</v>
      </c>
      <c r="AN603">
        <v>23</v>
      </c>
      <c r="AO603">
        <v>43</v>
      </c>
      <c r="AQ603" t="str">
        <f t="shared" si="9"/>
        <v>Forward</v>
      </c>
    </row>
    <row r="604" spans="1:43" x14ac:dyDescent="0.35">
      <c r="A604" t="s">
        <v>423</v>
      </c>
      <c r="B604" t="s">
        <v>39</v>
      </c>
      <c r="C604" t="s">
        <v>1470</v>
      </c>
      <c r="D604">
        <v>1989</v>
      </c>
      <c r="E604">
        <v>25</v>
      </c>
      <c r="F604" t="s">
        <v>117</v>
      </c>
      <c r="G604" t="s">
        <v>51</v>
      </c>
      <c r="H604">
        <v>4400000</v>
      </c>
      <c r="I604">
        <v>5500000</v>
      </c>
      <c r="J604" t="s">
        <v>55</v>
      </c>
      <c r="K604">
        <v>29</v>
      </c>
      <c r="L604">
        <v>2396</v>
      </c>
      <c r="M604">
        <v>1</v>
      </c>
      <c r="N604">
        <v>1066</v>
      </c>
      <c r="O604">
        <v>0</v>
      </c>
      <c r="P604">
        <v>11</v>
      </c>
      <c r="Q604">
        <v>0</v>
      </c>
      <c r="R604">
        <v>1</v>
      </c>
      <c r="S604">
        <v>10</v>
      </c>
      <c r="T604">
        <v>15</v>
      </c>
      <c r="U604">
        <v>4</v>
      </c>
      <c r="V604">
        <v>0</v>
      </c>
      <c r="W604">
        <v>13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35</v>
      </c>
      <c r="AE604">
        <v>59</v>
      </c>
      <c r="AF604">
        <v>13</v>
      </c>
      <c r="AG604">
        <v>63</v>
      </c>
      <c r="AH604">
        <v>49</v>
      </c>
      <c r="AI604">
        <v>0</v>
      </c>
      <c r="AJ604">
        <v>81</v>
      </c>
      <c r="AK604">
        <v>0</v>
      </c>
      <c r="AL604">
        <v>0</v>
      </c>
      <c r="AM604">
        <v>39</v>
      </c>
      <c r="AN604">
        <v>25</v>
      </c>
      <c r="AO604">
        <v>20</v>
      </c>
      <c r="AQ604" t="str">
        <f t="shared" si="9"/>
        <v>Midfielder</v>
      </c>
    </row>
    <row r="605" spans="1:43" x14ac:dyDescent="0.35">
      <c r="A605" t="s">
        <v>424</v>
      </c>
      <c r="B605" t="s">
        <v>39</v>
      </c>
      <c r="C605" t="s">
        <v>1471</v>
      </c>
      <c r="D605">
        <v>1989</v>
      </c>
      <c r="E605">
        <v>26</v>
      </c>
      <c r="F605" t="s">
        <v>40</v>
      </c>
      <c r="G605" t="s">
        <v>51</v>
      </c>
      <c r="H605">
        <v>5500000</v>
      </c>
      <c r="I605">
        <v>5500000</v>
      </c>
      <c r="J605" t="s">
        <v>55</v>
      </c>
      <c r="K605">
        <v>35</v>
      </c>
      <c r="L605">
        <v>2544</v>
      </c>
      <c r="M605">
        <v>1</v>
      </c>
      <c r="N605">
        <v>1712</v>
      </c>
      <c r="O605">
        <v>0</v>
      </c>
      <c r="P605">
        <v>3</v>
      </c>
      <c r="Q605">
        <v>0</v>
      </c>
      <c r="R605">
        <v>7</v>
      </c>
      <c r="S605">
        <v>4</v>
      </c>
      <c r="T605">
        <v>19</v>
      </c>
      <c r="U605">
        <v>6</v>
      </c>
      <c r="V605">
        <v>0</v>
      </c>
      <c r="W605">
        <v>34</v>
      </c>
      <c r="X605">
        <v>0</v>
      </c>
      <c r="Y605">
        <v>0</v>
      </c>
      <c r="Z605">
        <v>0</v>
      </c>
      <c r="AA605">
        <v>2</v>
      </c>
      <c r="AB605">
        <v>3</v>
      </c>
      <c r="AC605">
        <v>1</v>
      </c>
      <c r="AD605">
        <v>0</v>
      </c>
      <c r="AE605">
        <v>24</v>
      </c>
      <c r="AF605">
        <v>12</v>
      </c>
      <c r="AG605">
        <v>83</v>
      </c>
      <c r="AH605">
        <v>29</v>
      </c>
      <c r="AI605">
        <v>0</v>
      </c>
      <c r="AJ605">
        <v>77</v>
      </c>
      <c r="AK605">
        <v>0</v>
      </c>
      <c r="AL605">
        <v>1</v>
      </c>
      <c r="AM605">
        <v>67</v>
      </c>
      <c r="AN605">
        <v>58</v>
      </c>
      <c r="AO605">
        <v>56</v>
      </c>
      <c r="AQ605" t="str">
        <f t="shared" si="9"/>
        <v>Midfielder</v>
      </c>
    </row>
    <row r="606" spans="1:43" x14ac:dyDescent="0.35">
      <c r="A606" t="s">
        <v>424</v>
      </c>
      <c r="B606" t="s">
        <v>47</v>
      </c>
      <c r="C606" t="s">
        <v>1472</v>
      </c>
      <c r="D606">
        <v>1989</v>
      </c>
      <c r="E606">
        <v>27</v>
      </c>
      <c r="F606" t="s">
        <v>40</v>
      </c>
      <c r="G606" t="s">
        <v>51</v>
      </c>
      <c r="H606">
        <v>5500000</v>
      </c>
      <c r="I606">
        <v>16500000</v>
      </c>
      <c r="J606" t="s">
        <v>55</v>
      </c>
      <c r="K606">
        <v>30</v>
      </c>
      <c r="L606">
        <v>2233</v>
      </c>
      <c r="M606">
        <v>0</v>
      </c>
      <c r="N606">
        <v>1285</v>
      </c>
      <c r="O606">
        <v>0</v>
      </c>
      <c r="P606">
        <v>7</v>
      </c>
      <c r="Q606">
        <v>0</v>
      </c>
      <c r="R606">
        <v>5</v>
      </c>
      <c r="S606">
        <v>6</v>
      </c>
      <c r="T606">
        <v>18</v>
      </c>
      <c r="U606">
        <v>5</v>
      </c>
      <c r="V606">
        <v>0</v>
      </c>
      <c r="W606">
        <v>23</v>
      </c>
      <c r="X606">
        <v>0</v>
      </c>
      <c r="Y606">
        <v>0</v>
      </c>
      <c r="Z606">
        <v>0</v>
      </c>
      <c r="AA606">
        <v>1</v>
      </c>
      <c r="AB606">
        <v>1</v>
      </c>
      <c r="AC606">
        <v>0</v>
      </c>
      <c r="AD606">
        <v>0</v>
      </c>
      <c r="AE606">
        <v>20</v>
      </c>
      <c r="AF606">
        <v>8</v>
      </c>
      <c r="AG606">
        <v>56</v>
      </c>
      <c r="AH606">
        <v>25</v>
      </c>
      <c r="AI606">
        <v>0</v>
      </c>
      <c r="AJ606">
        <v>59</v>
      </c>
      <c r="AK606">
        <v>0</v>
      </c>
      <c r="AL606">
        <v>2</v>
      </c>
      <c r="AM606">
        <v>48</v>
      </c>
      <c r="AN606">
        <v>37</v>
      </c>
      <c r="AO606">
        <v>49</v>
      </c>
      <c r="AQ606" t="str">
        <f t="shared" si="9"/>
        <v>Midfielder</v>
      </c>
    </row>
    <row r="607" spans="1:43" x14ac:dyDescent="0.35">
      <c r="A607" t="s">
        <v>424</v>
      </c>
      <c r="B607" t="s">
        <v>43</v>
      </c>
      <c r="C607" t="s">
        <v>1473</v>
      </c>
      <c r="D607">
        <v>1989</v>
      </c>
      <c r="E607">
        <v>28</v>
      </c>
      <c r="F607" t="s">
        <v>56</v>
      </c>
      <c r="G607" t="s">
        <v>51</v>
      </c>
      <c r="H607">
        <v>4500000</v>
      </c>
      <c r="I607">
        <v>4500000</v>
      </c>
      <c r="J607" t="s">
        <v>55</v>
      </c>
      <c r="K607">
        <v>38</v>
      </c>
      <c r="L607">
        <v>3420</v>
      </c>
      <c r="M607">
        <v>2</v>
      </c>
      <c r="N607">
        <v>1584</v>
      </c>
      <c r="O607">
        <v>1</v>
      </c>
      <c r="P607">
        <v>7</v>
      </c>
      <c r="Q607">
        <v>0</v>
      </c>
      <c r="R607">
        <v>0</v>
      </c>
      <c r="S607">
        <v>0</v>
      </c>
      <c r="T607">
        <v>15</v>
      </c>
      <c r="U607">
        <v>5</v>
      </c>
      <c r="V607">
        <v>0</v>
      </c>
      <c r="W607">
        <v>38</v>
      </c>
      <c r="X607">
        <v>2</v>
      </c>
      <c r="Y607">
        <v>0</v>
      </c>
      <c r="Z607">
        <v>0</v>
      </c>
      <c r="AA607">
        <v>1</v>
      </c>
      <c r="AB607">
        <v>0</v>
      </c>
      <c r="AC607">
        <v>10</v>
      </c>
      <c r="AD607">
        <v>2</v>
      </c>
      <c r="AE607">
        <v>19</v>
      </c>
      <c r="AF607">
        <v>15</v>
      </c>
      <c r="AG607">
        <v>41</v>
      </c>
      <c r="AH607">
        <v>23</v>
      </c>
      <c r="AI607">
        <v>0</v>
      </c>
      <c r="AJ607">
        <v>60</v>
      </c>
      <c r="AK607">
        <v>1</v>
      </c>
      <c r="AL607">
        <v>0</v>
      </c>
      <c r="AM607">
        <v>81</v>
      </c>
      <c r="AN607">
        <v>58</v>
      </c>
      <c r="AO607">
        <v>78</v>
      </c>
      <c r="AQ607" t="str">
        <f t="shared" si="9"/>
        <v>Midfielder</v>
      </c>
    </row>
    <row r="608" spans="1:43" x14ac:dyDescent="0.35">
      <c r="A608" t="s">
        <v>424</v>
      </c>
      <c r="B608" t="s">
        <v>46</v>
      </c>
      <c r="C608" t="s">
        <v>1474</v>
      </c>
      <c r="D608">
        <v>1989</v>
      </c>
      <c r="E608">
        <v>29</v>
      </c>
      <c r="F608" t="s">
        <v>56</v>
      </c>
      <c r="G608" t="s">
        <v>51</v>
      </c>
      <c r="H608">
        <v>13500000</v>
      </c>
      <c r="I608">
        <v>13500000</v>
      </c>
      <c r="J608" t="s">
        <v>52</v>
      </c>
      <c r="K608">
        <v>37</v>
      </c>
      <c r="L608">
        <v>3313</v>
      </c>
      <c r="M608">
        <v>1</v>
      </c>
      <c r="N608">
        <v>1329</v>
      </c>
      <c r="O608">
        <v>2</v>
      </c>
      <c r="P608">
        <v>6</v>
      </c>
      <c r="Q608">
        <v>0</v>
      </c>
      <c r="R608">
        <v>0</v>
      </c>
      <c r="S608">
        <v>1</v>
      </c>
      <c r="T608">
        <v>17</v>
      </c>
      <c r="U608">
        <v>2</v>
      </c>
      <c r="V608">
        <v>0</v>
      </c>
      <c r="W608">
        <v>32</v>
      </c>
      <c r="X608">
        <v>0</v>
      </c>
      <c r="Y608">
        <v>0</v>
      </c>
      <c r="Z608">
        <v>0</v>
      </c>
      <c r="AA608">
        <v>4</v>
      </c>
      <c r="AB608">
        <v>3</v>
      </c>
      <c r="AC608">
        <v>15</v>
      </c>
      <c r="AD608">
        <v>1</v>
      </c>
      <c r="AE608">
        <v>14</v>
      </c>
      <c r="AF608">
        <v>16</v>
      </c>
      <c r="AG608">
        <v>29</v>
      </c>
      <c r="AH608">
        <v>30</v>
      </c>
      <c r="AI608">
        <v>0</v>
      </c>
      <c r="AJ608">
        <v>51</v>
      </c>
      <c r="AK608">
        <v>0</v>
      </c>
      <c r="AL608">
        <v>0</v>
      </c>
      <c r="AM608">
        <v>79</v>
      </c>
      <c r="AN608">
        <v>52</v>
      </c>
      <c r="AO608">
        <v>79</v>
      </c>
      <c r="AQ608" t="str">
        <f t="shared" si="9"/>
        <v>Defensive Forward</v>
      </c>
    </row>
    <row r="609" spans="1:43" x14ac:dyDescent="0.35">
      <c r="A609" t="s">
        <v>425</v>
      </c>
      <c r="B609" t="s">
        <v>39</v>
      </c>
      <c r="C609" t="s">
        <v>1475</v>
      </c>
      <c r="D609">
        <v>1995</v>
      </c>
      <c r="E609">
        <v>19</v>
      </c>
      <c r="F609" t="s">
        <v>89</v>
      </c>
      <c r="G609" t="s">
        <v>51</v>
      </c>
      <c r="H609">
        <v>25300000</v>
      </c>
      <c r="I609">
        <v>19800000</v>
      </c>
      <c r="J609" t="s">
        <v>55</v>
      </c>
      <c r="K609">
        <v>16</v>
      </c>
      <c r="L609">
        <v>832</v>
      </c>
      <c r="M609">
        <v>1</v>
      </c>
      <c r="N609">
        <v>316</v>
      </c>
      <c r="O609">
        <v>0</v>
      </c>
      <c r="P609">
        <v>1</v>
      </c>
      <c r="Q609">
        <v>0</v>
      </c>
      <c r="R609">
        <v>7</v>
      </c>
      <c r="S609">
        <v>5</v>
      </c>
      <c r="T609">
        <v>16</v>
      </c>
      <c r="U609">
        <v>4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6</v>
      </c>
      <c r="AE609">
        <v>20</v>
      </c>
      <c r="AF609">
        <v>0</v>
      </c>
      <c r="AG609">
        <v>14</v>
      </c>
      <c r="AH609">
        <v>6</v>
      </c>
      <c r="AI609">
        <v>0</v>
      </c>
      <c r="AJ609">
        <v>6</v>
      </c>
      <c r="AK609">
        <v>0</v>
      </c>
      <c r="AL609">
        <v>0</v>
      </c>
      <c r="AM609">
        <v>1</v>
      </c>
      <c r="AN609">
        <v>1</v>
      </c>
      <c r="AO609">
        <v>11</v>
      </c>
      <c r="AQ609" t="str">
        <f t="shared" si="9"/>
        <v>Midfielder</v>
      </c>
    </row>
    <row r="610" spans="1:43" x14ac:dyDescent="0.35">
      <c r="A610" t="s">
        <v>426</v>
      </c>
      <c r="B610" t="s">
        <v>39</v>
      </c>
      <c r="C610" t="s">
        <v>1476</v>
      </c>
      <c r="D610">
        <v>1991</v>
      </c>
      <c r="E610">
        <v>24</v>
      </c>
      <c r="F610" t="s">
        <v>78</v>
      </c>
      <c r="G610" t="s">
        <v>51</v>
      </c>
      <c r="H610">
        <v>8100000</v>
      </c>
      <c r="I610">
        <v>6300000</v>
      </c>
      <c r="J610" t="s">
        <v>52</v>
      </c>
      <c r="K610">
        <v>22</v>
      </c>
      <c r="L610">
        <v>1158</v>
      </c>
      <c r="M610">
        <v>1</v>
      </c>
      <c r="N610">
        <v>446</v>
      </c>
      <c r="O610">
        <v>0</v>
      </c>
      <c r="P610">
        <v>5</v>
      </c>
      <c r="Q610">
        <v>0</v>
      </c>
      <c r="R610">
        <v>13</v>
      </c>
      <c r="S610">
        <v>1</v>
      </c>
      <c r="T610">
        <v>25</v>
      </c>
      <c r="U610">
        <v>7</v>
      </c>
      <c r="V610">
        <v>0</v>
      </c>
      <c r="W610">
        <v>8</v>
      </c>
      <c r="X610">
        <v>0</v>
      </c>
      <c r="Y610">
        <v>0</v>
      </c>
      <c r="Z610">
        <v>0</v>
      </c>
      <c r="AA610">
        <v>2</v>
      </c>
      <c r="AB610">
        <v>2</v>
      </c>
      <c r="AC610">
        <v>3</v>
      </c>
      <c r="AD610">
        <v>0</v>
      </c>
      <c r="AE610">
        <v>6</v>
      </c>
      <c r="AF610">
        <v>7</v>
      </c>
      <c r="AG610">
        <v>14</v>
      </c>
      <c r="AH610">
        <v>17</v>
      </c>
      <c r="AI610">
        <v>0</v>
      </c>
      <c r="AJ610">
        <v>25</v>
      </c>
      <c r="AK610">
        <v>0</v>
      </c>
      <c r="AL610">
        <v>0</v>
      </c>
      <c r="AM610">
        <v>17</v>
      </c>
      <c r="AN610">
        <v>25</v>
      </c>
      <c r="AO610">
        <v>18</v>
      </c>
      <c r="AQ610" t="str">
        <f t="shared" si="9"/>
        <v>Defensive Forward</v>
      </c>
    </row>
    <row r="611" spans="1:43" x14ac:dyDescent="0.35">
      <c r="A611" t="s">
        <v>426</v>
      </c>
      <c r="B611" t="s">
        <v>47</v>
      </c>
      <c r="C611" t="s">
        <v>1477</v>
      </c>
      <c r="D611">
        <v>1991</v>
      </c>
      <c r="E611">
        <v>25</v>
      </c>
      <c r="F611" t="s">
        <v>78</v>
      </c>
      <c r="G611" t="s">
        <v>51</v>
      </c>
      <c r="H611">
        <v>6300000</v>
      </c>
      <c r="I611">
        <v>4500000</v>
      </c>
      <c r="J611" t="s">
        <v>52</v>
      </c>
      <c r="K611">
        <v>20</v>
      </c>
      <c r="L611">
        <v>1493</v>
      </c>
      <c r="M611">
        <v>0</v>
      </c>
      <c r="N611">
        <v>570</v>
      </c>
      <c r="O611">
        <v>1</v>
      </c>
      <c r="P611">
        <v>4</v>
      </c>
      <c r="Q611">
        <v>0</v>
      </c>
      <c r="R611">
        <v>3</v>
      </c>
      <c r="S611">
        <v>4</v>
      </c>
      <c r="T611">
        <v>19</v>
      </c>
      <c r="U611">
        <v>5</v>
      </c>
      <c r="V611">
        <v>0</v>
      </c>
      <c r="W611">
        <v>26</v>
      </c>
      <c r="X611">
        <v>0</v>
      </c>
      <c r="Y611">
        <v>0</v>
      </c>
      <c r="Z611">
        <v>0</v>
      </c>
      <c r="AA611">
        <v>1</v>
      </c>
      <c r="AB611">
        <v>3</v>
      </c>
      <c r="AC611">
        <v>1</v>
      </c>
      <c r="AD611">
        <v>0</v>
      </c>
      <c r="AE611">
        <v>8</v>
      </c>
      <c r="AF611">
        <v>8</v>
      </c>
      <c r="AG611">
        <v>19</v>
      </c>
      <c r="AH611">
        <v>23</v>
      </c>
      <c r="AI611">
        <v>0</v>
      </c>
      <c r="AJ611">
        <v>38</v>
      </c>
      <c r="AK611">
        <v>0</v>
      </c>
      <c r="AL611">
        <v>0</v>
      </c>
      <c r="AM611">
        <v>51</v>
      </c>
      <c r="AN611">
        <v>32</v>
      </c>
      <c r="AO611">
        <v>24</v>
      </c>
      <c r="AQ611" t="str">
        <f t="shared" si="9"/>
        <v>Defensive Forward</v>
      </c>
    </row>
    <row r="612" spans="1:43" x14ac:dyDescent="0.35">
      <c r="A612" t="s">
        <v>427</v>
      </c>
      <c r="B612" t="s">
        <v>46</v>
      </c>
      <c r="C612" t="s">
        <v>1478</v>
      </c>
      <c r="D612">
        <v>1994</v>
      </c>
      <c r="E612">
        <v>24</v>
      </c>
      <c r="F612" t="s">
        <v>220</v>
      </c>
      <c r="G612" t="s">
        <v>51</v>
      </c>
      <c r="H612">
        <v>3150000</v>
      </c>
      <c r="I612">
        <v>7200000</v>
      </c>
      <c r="J612" t="s">
        <v>52</v>
      </c>
      <c r="K612">
        <v>24</v>
      </c>
      <c r="L612">
        <v>1697</v>
      </c>
      <c r="M612">
        <v>0</v>
      </c>
      <c r="N612">
        <v>767</v>
      </c>
      <c r="O612">
        <v>0</v>
      </c>
      <c r="P612">
        <v>4</v>
      </c>
      <c r="Q612">
        <v>0</v>
      </c>
      <c r="R612">
        <v>5</v>
      </c>
      <c r="S612">
        <v>2</v>
      </c>
      <c r="T612">
        <v>7</v>
      </c>
      <c r="U612">
        <v>5</v>
      </c>
      <c r="V612">
        <v>0</v>
      </c>
      <c r="W612">
        <v>50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0</v>
      </c>
      <c r="AE612">
        <v>2</v>
      </c>
      <c r="AF612">
        <v>13</v>
      </c>
      <c r="AG612">
        <v>37</v>
      </c>
      <c r="AH612">
        <v>11</v>
      </c>
      <c r="AI612">
        <v>0</v>
      </c>
      <c r="AJ612">
        <v>25</v>
      </c>
      <c r="AK612">
        <v>0</v>
      </c>
      <c r="AL612">
        <v>0</v>
      </c>
      <c r="AM612">
        <v>94</v>
      </c>
      <c r="AN612">
        <v>56</v>
      </c>
      <c r="AO612">
        <v>42</v>
      </c>
      <c r="AQ612" t="str">
        <f t="shared" si="9"/>
        <v>Defensive Forward</v>
      </c>
    </row>
    <row r="613" spans="1:43" x14ac:dyDescent="0.35">
      <c r="A613" t="s">
        <v>427</v>
      </c>
      <c r="B613" t="s">
        <v>43</v>
      </c>
      <c r="C613" t="s">
        <v>1479</v>
      </c>
      <c r="D613">
        <v>1994</v>
      </c>
      <c r="E613">
        <v>23</v>
      </c>
      <c r="F613" t="s">
        <v>220</v>
      </c>
      <c r="G613" t="s">
        <v>51</v>
      </c>
      <c r="H613">
        <v>3150000</v>
      </c>
      <c r="I613">
        <v>3150000</v>
      </c>
      <c r="J613" t="s">
        <v>52</v>
      </c>
      <c r="K613">
        <v>22</v>
      </c>
      <c r="L613">
        <v>1979</v>
      </c>
      <c r="M613">
        <v>2</v>
      </c>
      <c r="N613">
        <v>928</v>
      </c>
      <c r="O613">
        <v>0</v>
      </c>
      <c r="P613">
        <v>6</v>
      </c>
      <c r="Q613">
        <v>1</v>
      </c>
      <c r="R613">
        <v>0</v>
      </c>
      <c r="S613">
        <v>0</v>
      </c>
      <c r="T613">
        <v>11</v>
      </c>
      <c r="U613">
        <v>4</v>
      </c>
      <c r="V613">
        <v>0</v>
      </c>
      <c r="W613">
        <v>54</v>
      </c>
      <c r="X613">
        <v>1</v>
      </c>
      <c r="Y613">
        <v>0</v>
      </c>
      <c r="Z613">
        <v>0</v>
      </c>
      <c r="AA613">
        <v>2</v>
      </c>
      <c r="AB613">
        <v>1</v>
      </c>
      <c r="AC613">
        <v>7</v>
      </c>
      <c r="AD613">
        <v>0</v>
      </c>
      <c r="AE613">
        <v>9</v>
      </c>
      <c r="AF613">
        <v>18</v>
      </c>
      <c r="AG613">
        <v>41</v>
      </c>
      <c r="AH613">
        <v>13</v>
      </c>
      <c r="AI613">
        <v>2</v>
      </c>
      <c r="AJ613">
        <v>29</v>
      </c>
      <c r="AK613">
        <v>0</v>
      </c>
      <c r="AL613">
        <v>0</v>
      </c>
      <c r="AM613">
        <v>105</v>
      </c>
      <c r="AN613">
        <v>45</v>
      </c>
      <c r="AO613">
        <v>34</v>
      </c>
      <c r="AQ613" t="str">
        <f t="shared" si="9"/>
        <v>Defensive Forward</v>
      </c>
    </row>
    <row r="614" spans="1:43" x14ac:dyDescent="0.35">
      <c r="A614" t="s">
        <v>427</v>
      </c>
      <c r="B614" t="s">
        <v>47</v>
      </c>
      <c r="C614" t="s">
        <v>1480</v>
      </c>
      <c r="D614">
        <v>1994</v>
      </c>
      <c r="E614">
        <v>22</v>
      </c>
      <c r="F614" t="s">
        <v>220</v>
      </c>
      <c r="G614" t="s">
        <v>51</v>
      </c>
      <c r="H614">
        <v>225000</v>
      </c>
      <c r="I614">
        <v>3150000</v>
      </c>
      <c r="J614" t="s">
        <v>52</v>
      </c>
      <c r="K614">
        <v>17</v>
      </c>
      <c r="L614">
        <v>1469</v>
      </c>
      <c r="M614">
        <v>0</v>
      </c>
      <c r="N614">
        <v>729</v>
      </c>
      <c r="O614">
        <v>1</v>
      </c>
      <c r="P614">
        <v>1</v>
      </c>
      <c r="Q614">
        <v>0</v>
      </c>
      <c r="R614">
        <v>2</v>
      </c>
      <c r="S614">
        <v>0</v>
      </c>
      <c r="T614">
        <v>4</v>
      </c>
      <c r="U614">
        <v>0</v>
      </c>
      <c r="V614">
        <v>0</v>
      </c>
      <c r="W614">
        <v>45</v>
      </c>
      <c r="X614">
        <v>0</v>
      </c>
      <c r="Y614">
        <v>0</v>
      </c>
      <c r="Z614">
        <v>0</v>
      </c>
      <c r="AA614">
        <v>1</v>
      </c>
      <c r="AB614">
        <v>2</v>
      </c>
      <c r="AC614">
        <v>0</v>
      </c>
      <c r="AD614">
        <v>0</v>
      </c>
      <c r="AE614">
        <v>4</v>
      </c>
      <c r="AF614">
        <v>19</v>
      </c>
      <c r="AG614">
        <v>24</v>
      </c>
      <c r="AH614">
        <v>15</v>
      </c>
      <c r="AI614">
        <v>0</v>
      </c>
      <c r="AJ614">
        <v>22</v>
      </c>
      <c r="AK614">
        <v>0</v>
      </c>
      <c r="AL614">
        <v>0</v>
      </c>
      <c r="AM614">
        <v>79</v>
      </c>
      <c r="AN614">
        <v>29</v>
      </c>
      <c r="AO614">
        <v>39</v>
      </c>
      <c r="AQ614" t="str">
        <f t="shared" si="9"/>
        <v>Defensive Forward</v>
      </c>
    </row>
    <row r="615" spans="1:43" x14ac:dyDescent="0.35">
      <c r="A615" t="s">
        <v>428</v>
      </c>
      <c r="B615" t="s">
        <v>47</v>
      </c>
      <c r="C615" t="s">
        <v>1481</v>
      </c>
      <c r="D615">
        <v>1992</v>
      </c>
      <c r="E615">
        <v>24</v>
      </c>
      <c r="F615" t="s">
        <v>84</v>
      </c>
      <c r="G615" t="s">
        <v>51</v>
      </c>
      <c r="H615">
        <v>19800000</v>
      </c>
      <c r="I615">
        <v>22000000</v>
      </c>
      <c r="J615" t="s">
        <v>55</v>
      </c>
      <c r="K615">
        <v>29</v>
      </c>
      <c r="L615">
        <v>1949</v>
      </c>
      <c r="M615">
        <v>0</v>
      </c>
      <c r="N615">
        <v>1068</v>
      </c>
      <c r="O615">
        <v>2</v>
      </c>
      <c r="P615">
        <v>4</v>
      </c>
      <c r="Q615">
        <v>0</v>
      </c>
      <c r="R615">
        <v>7</v>
      </c>
      <c r="S615">
        <v>7</v>
      </c>
      <c r="T615">
        <v>27</v>
      </c>
      <c r="U615">
        <v>10</v>
      </c>
      <c r="V615">
        <v>5</v>
      </c>
      <c r="W615">
        <v>3</v>
      </c>
      <c r="X615">
        <v>0</v>
      </c>
      <c r="Y615">
        <v>0</v>
      </c>
      <c r="Z615">
        <v>0</v>
      </c>
      <c r="AA615">
        <v>0</v>
      </c>
      <c r="AB615">
        <v>13</v>
      </c>
      <c r="AC615">
        <v>2</v>
      </c>
      <c r="AD615">
        <v>11</v>
      </c>
      <c r="AE615">
        <v>26</v>
      </c>
      <c r="AF615">
        <v>6</v>
      </c>
      <c r="AG615">
        <v>13</v>
      </c>
      <c r="AH615">
        <v>21</v>
      </c>
      <c r="AI615">
        <v>0</v>
      </c>
      <c r="AJ615">
        <v>27</v>
      </c>
      <c r="AK615">
        <v>0</v>
      </c>
      <c r="AL615">
        <v>0</v>
      </c>
      <c r="AM615">
        <v>11</v>
      </c>
      <c r="AN615">
        <v>9</v>
      </c>
      <c r="AO615">
        <v>10</v>
      </c>
      <c r="AQ615" t="str">
        <f t="shared" si="9"/>
        <v>Midfielder</v>
      </c>
    </row>
    <row r="616" spans="1:43" x14ac:dyDescent="0.35">
      <c r="A616" t="s">
        <v>428</v>
      </c>
      <c r="B616" t="s">
        <v>43</v>
      </c>
      <c r="C616" t="s">
        <v>1482</v>
      </c>
      <c r="D616">
        <v>1992</v>
      </c>
      <c r="E616">
        <v>25</v>
      </c>
      <c r="F616" t="s">
        <v>61</v>
      </c>
      <c r="G616" t="s">
        <v>51</v>
      </c>
      <c r="H616">
        <v>4500000</v>
      </c>
      <c r="I616">
        <v>4500000</v>
      </c>
      <c r="J616" t="s">
        <v>55</v>
      </c>
      <c r="K616">
        <v>20</v>
      </c>
      <c r="L616">
        <v>1187</v>
      </c>
      <c r="M616">
        <v>1</v>
      </c>
      <c r="N616">
        <v>808</v>
      </c>
      <c r="O616">
        <v>3</v>
      </c>
      <c r="P616">
        <v>6</v>
      </c>
      <c r="Q616">
        <v>0</v>
      </c>
      <c r="R616">
        <v>8</v>
      </c>
      <c r="S616">
        <v>2</v>
      </c>
      <c r="T616">
        <v>15</v>
      </c>
      <c r="U616">
        <v>5</v>
      </c>
      <c r="V616">
        <v>0</v>
      </c>
      <c r="W616">
        <v>4</v>
      </c>
      <c r="X616">
        <v>0</v>
      </c>
      <c r="Y616">
        <v>0</v>
      </c>
      <c r="Z616">
        <v>0</v>
      </c>
      <c r="AA616">
        <v>0</v>
      </c>
      <c r="AB616">
        <v>9</v>
      </c>
      <c r="AC616">
        <v>10</v>
      </c>
      <c r="AD616">
        <v>1</v>
      </c>
      <c r="AE616">
        <v>3</v>
      </c>
      <c r="AF616">
        <v>2</v>
      </c>
      <c r="AG616">
        <v>8</v>
      </c>
      <c r="AH616">
        <v>15</v>
      </c>
      <c r="AI616">
        <v>0</v>
      </c>
      <c r="AJ616">
        <v>15</v>
      </c>
      <c r="AK616">
        <v>0</v>
      </c>
      <c r="AL616">
        <v>0</v>
      </c>
      <c r="AM616">
        <v>5</v>
      </c>
      <c r="AN616">
        <v>7</v>
      </c>
      <c r="AO616">
        <v>7</v>
      </c>
      <c r="AQ616" t="str">
        <f t="shared" si="9"/>
        <v>Midfielder</v>
      </c>
    </row>
    <row r="617" spans="1:43" x14ac:dyDescent="0.35">
      <c r="A617" t="s">
        <v>429</v>
      </c>
      <c r="B617" t="s">
        <v>43</v>
      </c>
      <c r="C617" t="s">
        <v>1483</v>
      </c>
      <c r="D617">
        <v>1995</v>
      </c>
      <c r="E617">
        <v>22</v>
      </c>
      <c r="F617" t="s">
        <v>117</v>
      </c>
      <c r="G617" t="s">
        <v>51</v>
      </c>
      <c r="H617">
        <v>6300000</v>
      </c>
      <c r="I617">
        <v>6300000</v>
      </c>
      <c r="J617" t="s">
        <v>42</v>
      </c>
      <c r="K617">
        <v>25</v>
      </c>
      <c r="L617">
        <v>1145</v>
      </c>
      <c r="M617">
        <v>1</v>
      </c>
      <c r="N617">
        <v>281</v>
      </c>
      <c r="O617">
        <v>1</v>
      </c>
      <c r="P617">
        <v>0</v>
      </c>
      <c r="Q617">
        <v>0</v>
      </c>
      <c r="R617">
        <v>12</v>
      </c>
      <c r="S617">
        <v>8</v>
      </c>
      <c r="T617">
        <v>22</v>
      </c>
      <c r="U617">
        <v>7</v>
      </c>
      <c r="V617">
        <v>0</v>
      </c>
      <c r="W617">
        <v>3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15</v>
      </c>
      <c r="AD617">
        <v>4</v>
      </c>
      <c r="AE617">
        <v>40</v>
      </c>
      <c r="AF617">
        <v>0</v>
      </c>
      <c r="AG617">
        <v>6</v>
      </c>
      <c r="AH617">
        <v>8</v>
      </c>
      <c r="AI617">
        <v>0</v>
      </c>
      <c r="AJ617">
        <v>13</v>
      </c>
      <c r="AK617">
        <v>0</v>
      </c>
      <c r="AL617">
        <v>0</v>
      </c>
      <c r="AM617">
        <v>9</v>
      </c>
      <c r="AN617">
        <v>7</v>
      </c>
      <c r="AO617">
        <v>24</v>
      </c>
      <c r="AQ617" t="str">
        <f t="shared" si="9"/>
        <v>Forward</v>
      </c>
    </row>
    <row r="618" spans="1:43" x14ac:dyDescent="0.35">
      <c r="A618" t="s">
        <v>430</v>
      </c>
      <c r="B618" t="s">
        <v>43</v>
      </c>
      <c r="C618" t="s">
        <v>1484</v>
      </c>
      <c r="D618">
        <v>1996</v>
      </c>
      <c r="E618">
        <v>21</v>
      </c>
      <c r="F618" t="s">
        <v>64</v>
      </c>
      <c r="G618" t="s">
        <v>216</v>
      </c>
      <c r="H618">
        <v>4950000</v>
      </c>
      <c r="I618">
        <v>7700000</v>
      </c>
      <c r="J618" t="s">
        <v>55</v>
      </c>
      <c r="K618">
        <v>12</v>
      </c>
      <c r="L618">
        <v>435</v>
      </c>
      <c r="M618">
        <v>0</v>
      </c>
      <c r="N618">
        <v>155</v>
      </c>
      <c r="O618">
        <v>0</v>
      </c>
      <c r="P618">
        <v>0</v>
      </c>
      <c r="Q618">
        <v>0</v>
      </c>
      <c r="R618">
        <v>8</v>
      </c>
      <c r="S618">
        <v>0</v>
      </c>
      <c r="T618">
        <v>0</v>
      </c>
      <c r="U618">
        <v>0</v>
      </c>
      <c r="V618">
        <v>0</v>
      </c>
      <c r="W618">
        <v>6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2</v>
      </c>
      <c r="AF618">
        <v>1</v>
      </c>
      <c r="AG618">
        <v>12</v>
      </c>
      <c r="AH618">
        <v>3</v>
      </c>
      <c r="AI618">
        <v>0</v>
      </c>
      <c r="AJ618">
        <v>11</v>
      </c>
      <c r="AK618">
        <v>0</v>
      </c>
      <c r="AL618">
        <v>0</v>
      </c>
      <c r="AM618">
        <v>12</v>
      </c>
      <c r="AN618">
        <v>4</v>
      </c>
      <c r="AO618">
        <v>3</v>
      </c>
      <c r="AQ618" t="str">
        <f t="shared" si="9"/>
        <v>Midfielder</v>
      </c>
    </row>
    <row r="619" spans="1:43" x14ac:dyDescent="0.35">
      <c r="A619" t="s">
        <v>431</v>
      </c>
      <c r="B619" t="s">
        <v>47</v>
      </c>
      <c r="C619" t="s">
        <v>1485</v>
      </c>
      <c r="D619">
        <v>1989</v>
      </c>
      <c r="E619">
        <v>26</v>
      </c>
      <c r="F619" t="s">
        <v>71</v>
      </c>
      <c r="G619" t="s">
        <v>51</v>
      </c>
      <c r="H619">
        <v>7700000</v>
      </c>
      <c r="I619">
        <v>9900000</v>
      </c>
      <c r="J619" t="s">
        <v>55</v>
      </c>
      <c r="K619">
        <v>37</v>
      </c>
      <c r="L619">
        <v>2976</v>
      </c>
      <c r="M619">
        <v>0</v>
      </c>
      <c r="N619">
        <v>1605</v>
      </c>
      <c r="O619">
        <v>1</v>
      </c>
      <c r="P619">
        <v>5</v>
      </c>
      <c r="Q619">
        <v>0</v>
      </c>
      <c r="R619">
        <v>2</v>
      </c>
      <c r="S619">
        <v>7</v>
      </c>
      <c r="T619">
        <v>33</v>
      </c>
      <c r="U619">
        <v>7</v>
      </c>
      <c r="V619">
        <v>0</v>
      </c>
      <c r="W619">
        <v>32</v>
      </c>
      <c r="X619">
        <v>0</v>
      </c>
      <c r="Y619">
        <v>0</v>
      </c>
      <c r="Z619">
        <v>0</v>
      </c>
      <c r="AA619">
        <v>1</v>
      </c>
      <c r="AB619">
        <v>4</v>
      </c>
      <c r="AC619">
        <v>0</v>
      </c>
      <c r="AD619">
        <v>0</v>
      </c>
      <c r="AE619">
        <v>7</v>
      </c>
      <c r="AF619">
        <v>25</v>
      </c>
      <c r="AG619">
        <v>49</v>
      </c>
      <c r="AH619">
        <v>33</v>
      </c>
      <c r="AI619">
        <v>0</v>
      </c>
      <c r="AJ619">
        <v>79</v>
      </c>
      <c r="AK619">
        <v>0</v>
      </c>
      <c r="AL619">
        <v>0</v>
      </c>
      <c r="AM619">
        <v>64</v>
      </c>
      <c r="AN619">
        <v>33</v>
      </c>
      <c r="AO619">
        <v>32</v>
      </c>
      <c r="AQ619" t="str">
        <f t="shared" si="9"/>
        <v>Midfielder</v>
      </c>
    </row>
    <row r="620" spans="1:43" x14ac:dyDescent="0.35">
      <c r="A620" t="s">
        <v>431</v>
      </c>
      <c r="B620" t="s">
        <v>43</v>
      </c>
      <c r="C620" t="s">
        <v>1486</v>
      </c>
      <c r="D620">
        <v>1989</v>
      </c>
      <c r="E620">
        <v>28</v>
      </c>
      <c r="F620" t="s">
        <v>103</v>
      </c>
      <c r="G620" t="s">
        <v>51</v>
      </c>
      <c r="H620">
        <v>22000000</v>
      </c>
      <c r="I620">
        <v>40000000</v>
      </c>
      <c r="J620" t="s">
        <v>55</v>
      </c>
      <c r="K620">
        <v>34</v>
      </c>
      <c r="L620">
        <v>2675</v>
      </c>
      <c r="M620">
        <v>2</v>
      </c>
      <c r="N620">
        <v>1103</v>
      </c>
      <c r="O620">
        <v>2</v>
      </c>
      <c r="P620">
        <v>5</v>
      </c>
      <c r="Q620">
        <v>0</v>
      </c>
      <c r="R620">
        <v>4</v>
      </c>
      <c r="S620">
        <v>5</v>
      </c>
      <c r="T620">
        <v>15</v>
      </c>
      <c r="U620">
        <v>4</v>
      </c>
      <c r="V620">
        <v>1</v>
      </c>
      <c r="W620">
        <v>10</v>
      </c>
      <c r="X620">
        <v>0</v>
      </c>
      <c r="Y620">
        <v>0</v>
      </c>
      <c r="Z620">
        <v>0</v>
      </c>
      <c r="AA620">
        <v>0</v>
      </c>
      <c r="AB620">
        <v>8</v>
      </c>
      <c r="AC620">
        <v>11</v>
      </c>
      <c r="AD620">
        <v>1</v>
      </c>
      <c r="AE620">
        <v>16</v>
      </c>
      <c r="AF620">
        <v>9</v>
      </c>
      <c r="AG620">
        <v>26</v>
      </c>
      <c r="AH620">
        <v>42</v>
      </c>
      <c r="AI620">
        <v>0</v>
      </c>
      <c r="AJ620">
        <v>72</v>
      </c>
      <c r="AK620">
        <v>0</v>
      </c>
      <c r="AL620">
        <v>0</v>
      </c>
      <c r="AM620">
        <v>28</v>
      </c>
      <c r="AN620">
        <v>23</v>
      </c>
      <c r="AO620">
        <v>37</v>
      </c>
      <c r="AQ620" t="str">
        <f t="shared" si="9"/>
        <v>Midfielder</v>
      </c>
    </row>
    <row r="621" spans="1:43" x14ac:dyDescent="0.35">
      <c r="A621" t="s">
        <v>432</v>
      </c>
      <c r="B621" t="s">
        <v>39</v>
      </c>
      <c r="C621" t="s">
        <v>1487</v>
      </c>
      <c r="D621">
        <v>1993</v>
      </c>
      <c r="E621">
        <v>21</v>
      </c>
      <c r="F621" t="s">
        <v>117</v>
      </c>
      <c r="G621" t="s">
        <v>51</v>
      </c>
      <c r="H621">
        <v>3600000</v>
      </c>
      <c r="I621">
        <v>3600000</v>
      </c>
      <c r="J621" t="s">
        <v>52</v>
      </c>
      <c r="K621">
        <v>18</v>
      </c>
      <c r="L621">
        <v>1148</v>
      </c>
      <c r="M621">
        <v>2</v>
      </c>
      <c r="N621">
        <v>486</v>
      </c>
      <c r="O621">
        <v>0</v>
      </c>
      <c r="P621">
        <v>1</v>
      </c>
      <c r="Q621">
        <v>1</v>
      </c>
      <c r="R621">
        <v>8</v>
      </c>
      <c r="S621">
        <v>0</v>
      </c>
      <c r="T621">
        <v>4</v>
      </c>
      <c r="U621">
        <v>4</v>
      </c>
      <c r="V621">
        <v>0</v>
      </c>
      <c r="W621">
        <v>54</v>
      </c>
      <c r="X621">
        <v>2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1</v>
      </c>
      <c r="AF621">
        <v>13</v>
      </c>
      <c r="AG621">
        <v>28</v>
      </c>
      <c r="AH621">
        <v>11</v>
      </c>
      <c r="AI621">
        <v>0</v>
      </c>
      <c r="AJ621">
        <v>12</v>
      </c>
      <c r="AK621">
        <v>1</v>
      </c>
      <c r="AL621">
        <v>0</v>
      </c>
      <c r="AM621">
        <v>77</v>
      </c>
      <c r="AN621">
        <v>42</v>
      </c>
      <c r="AO621">
        <v>13</v>
      </c>
      <c r="AQ621" t="str">
        <f t="shared" si="9"/>
        <v>Defensive Forward</v>
      </c>
    </row>
    <row r="622" spans="1:43" x14ac:dyDescent="0.35">
      <c r="A622" t="s">
        <v>432</v>
      </c>
      <c r="B622" t="s">
        <v>43</v>
      </c>
      <c r="C622" t="s">
        <v>1488</v>
      </c>
      <c r="D622">
        <v>1993</v>
      </c>
      <c r="E622">
        <v>24</v>
      </c>
      <c r="F622" t="s">
        <v>117</v>
      </c>
      <c r="G622" t="s">
        <v>51</v>
      </c>
      <c r="H622">
        <v>4500000</v>
      </c>
      <c r="I622">
        <v>13500000</v>
      </c>
      <c r="J622" t="s">
        <v>52</v>
      </c>
      <c r="K622">
        <v>33</v>
      </c>
      <c r="L622">
        <v>2928</v>
      </c>
      <c r="M622">
        <v>3</v>
      </c>
      <c r="N622">
        <v>1184</v>
      </c>
      <c r="O622">
        <v>0</v>
      </c>
      <c r="P622">
        <v>5</v>
      </c>
      <c r="Q622">
        <v>0</v>
      </c>
      <c r="R622">
        <v>1</v>
      </c>
      <c r="S622">
        <v>1</v>
      </c>
      <c r="T622">
        <v>12</v>
      </c>
      <c r="U622">
        <v>8</v>
      </c>
      <c r="V622">
        <v>0</v>
      </c>
      <c r="W622">
        <v>140</v>
      </c>
      <c r="X622">
        <v>3</v>
      </c>
      <c r="Y622">
        <v>0</v>
      </c>
      <c r="Z622">
        <v>0</v>
      </c>
      <c r="AA622">
        <v>0</v>
      </c>
      <c r="AB622">
        <v>0</v>
      </c>
      <c r="AC622">
        <v>4</v>
      </c>
      <c r="AD622">
        <v>0</v>
      </c>
      <c r="AE622">
        <v>2</v>
      </c>
      <c r="AF622">
        <v>24</v>
      </c>
      <c r="AG622">
        <v>28</v>
      </c>
      <c r="AH622">
        <v>16</v>
      </c>
      <c r="AI622">
        <v>2</v>
      </c>
      <c r="AJ622">
        <v>31</v>
      </c>
      <c r="AK622">
        <v>0</v>
      </c>
      <c r="AL622">
        <v>0</v>
      </c>
      <c r="AM622">
        <v>230</v>
      </c>
      <c r="AN622">
        <v>128</v>
      </c>
      <c r="AO622">
        <v>60</v>
      </c>
      <c r="AQ622" t="str">
        <f t="shared" si="9"/>
        <v>Defensive Forward</v>
      </c>
    </row>
    <row r="623" spans="1:43" x14ac:dyDescent="0.35">
      <c r="A623" t="s">
        <v>432</v>
      </c>
      <c r="B623" t="s">
        <v>46</v>
      </c>
      <c r="C623" t="s">
        <v>1489</v>
      </c>
      <c r="D623">
        <v>1993</v>
      </c>
      <c r="E623">
        <v>24</v>
      </c>
      <c r="F623" t="s">
        <v>117</v>
      </c>
      <c r="G623" t="s">
        <v>51</v>
      </c>
      <c r="H623">
        <v>13500000</v>
      </c>
      <c r="I623">
        <v>13500000</v>
      </c>
      <c r="J623" t="s">
        <v>52</v>
      </c>
      <c r="K623">
        <v>32</v>
      </c>
      <c r="L623">
        <v>2745</v>
      </c>
      <c r="M623">
        <v>0</v>
      </c>
      <c r="N623">
        <v>1104</v>
      </c>
      <c r="O623">
        <v>1</v>
      </c>
      <c r="P623">
        <v>4</v>
      </c>
      <c r="Q623">
        <v>0</v>
      </c>
      <c r="R623">
        <v>0</v>
      </c>
      <c r="S623">
        <v>3</v>
      </c>
      <c r="T623">
        <v>11</v>
      </c>
      <c r="U623">
        <v>1</v>
      </c>
      <c r="V623">
        <v>0</v>
      </c>
      <c r="W623">
        <v>104</v>
      </c>
      <c r="X623">
        <v>0</v>
      </c>
      <c r="Y623">
        <v>0</v>
      </c>
      <c r="Z623">
        <v>0</v>
      </c>
      <c r="AA623">
        <v>1</v>
      </c>
      <c r="AB623">
        <v>2</v>
      </c>
      <c r="AC623">
        <v>10</v>
      </c>
      <c r="AD623">
        <v>0</v>
      </c>
      <c r="AE623">
        <v>2</v>
      </c>
      <c r="AF623">
        <v>28</v>
      </c>
      <c r="AG623">
        <v>39</v>
      </c>
      <c r="AH623">
        <v>16</v>
      </c>
      <c r="AI623">
        <v>2</v>
      </c>
      <c r="AJ623">
        <v>32</v>
      </c>
      <c r="AK623">
        <v>2</v>
      </c>
      <c r="AL623">
        <v>0</v>
      </c>
      <c r="AM623">
        <v>213</v>
      </c>
      <c r="AN623">
        <v>92</v>
      </c>
      <c r="AO623">
        <v>46</v>
      </c>
      <c r="AQ623" t="str">
        <f t="shared" si="9"/>
        <v>Defensive Forward</v>
      </c>
    </row>
    <row r="624" spans="1:43" x14ac:dyDescent="0.35">
      <c r="A624" t="s">
        <v>433</v>
      </c>
      <c r="B624" t="s">
        <v>39</v>
      </c>
      <c r="C624" t="s">
        <v>1490</v>
      </c>
      <c r="D624">
        <v>1989</v>
      </c>
      <c r="E624">
        <v>26</v>
      </c>
      <c r="F624" t="s">
        <v>103</v>
      </c>
      <c r="G624" t="s">
        <v>62</v>
      </c>
      <c r="H624">
        <v>3600000</v>
      </c>
      <c r="I624">
        <v>4500000</v>
      </c>
      <c r="J624" t="s">
        <v>52</v>
      </c>
      <c r="K624">
        <v>13</v>
      </c>
      <c r="L624">
        <v>962</v>
      </c>
      <c r="M624">
        <v>0</v>
      </c>
      <c r="N624">
        <v>327</v>
      </c>
      <c r="O624">
        <v>0</v>
      </c>
      <c r="P624">
        <v>5</v>
      </c>
      <c r="Q624">
        <v>0</v>
      </c>
      <c r="R624">
        <v>4</v>
      </c>
      <c r="S624">
        <v>2</v>
      </c>
      <c r="T624">
        <v>0</v>
      </c>
      <c r="U624">
        <v>0</v>
      </c>
      <c r="V624">
        <v>0</v>
      </c>
      <c r="W624">
        <v>31</v>
      </c>
      <c r="X624">
        <v>0</v>
      </c>
      <c r="Y624">
        <v>0</v>
      </c>
      <c r="Z624">
        <v>0</v>
      </c>
      <c r="AA624">
        <v>0</v>
      </c>
      <c r="AB624">
        <v>2</v>
      </c>
      <c r="AC624">
        <v>0</v>
      </c>
      <c r="AD624">
        <v>0</v>
      </c>
      <c r="AE624">
        <v>14</v>
      </c>
      <c r="AF624">
        <v>5</v>
      </c>
      <c r="AG624">
        <v>24</v>
      </c>
      <c r="AH624">
        <v>11</v>
      </c>
      <c r="AI624">
        <v>0</v>
      </c>
      <c r="AJ624">
        <v>32</v>
      </c>
      <c r="AK624">
        <v>0</v>
      </c>
      <c r="AL624">
        <v>0</v>
      </c>
      <c r="AM624">
        <v>50</v>
      </c>
      <c r="AN624">
        <v>21</v>
      </c>
      <c r="AO624">
        <v>13</v>
      </c>
      <c r="AQ624" t="str">
        <f t="shared" si="9"/>
        <v>Defensive Forward</v>
      </c>
    </row>
    <row r="625" spans="1:43" x14ac:dyDescent="0.35">
      <c r="A625" t="s">
        <v>434</v>
      </c>
      <c r="B625" t="s">
        <v>47</v>
      </c>
      <c r="C625" t="s">
        <v>1491</v>
      </c>
      <c r="D625">
        <v>1983</v>
      </c>
      <c r="E625">
        <v>32</v>
      </c>
      <c r="F625" t="s">
        <v>50</v>
      </c>
      <c r="G625" t="s">
        <v>62</v>
      </c>
      <c r="H625">
        <v>2200000</v>
      </c>
      <c r="I625">
        <v>2200000</v>
      </c>
      <c r="J625" t="s">
        <v>52</v>
      </c>
      <c r="K625">
        <v>22</v>
      </c>
      <c r="L625">
        <v>1654</v>
      </c>
      <c r="M625">
        <v>2</v>
      </c>
      <c r="N625">
        <v>580</v>
      </c>
      <c r="O625">
        <v>0</v>
      </c>
      <c r="P625">
        <v>3</v>
      </c>
      <c r="Q625">
        <v>0</v>
      </c>
      <c r="R625">
        <v>3</v>
      </c>
      <c r="S625">
        <v>1</v>
      </c>
      <c r="T625">
        <v>11</v>
      </c>
      <c r="U625">
        <v>4</v>
      </c>
      <c r="V625">
        <v>0</v>
      </c>
      <c r="W625">
        <v>96</v>
      </c>
      <c r="X625">
        <v>1</v>
      </c>
      <c r="Y625">
        <v>0</v>
      </c>
      <c r="Z625">
        <v>0</v>
      </c>
      <c r="AA625">
        <v>1</v>
      </c>
      <c r="AB625">
        <v>0</v>
      </c>
      <c r="AC625">
        <v>0</v>
      </c>
      <c r="AD625">
        <v>0</v>
      </c>
      <c r="AE625">
        <v>0</v>
      </c>
      <c r="AF625">
        <v>18</v>
      </c>
      <c r="AG625">
        <v>38</v>
      </c>
      <c r="AH625">
        <v>7</v>
      </c>
      <c r="AI625">
        <v>1</v>
      </c>
      <c r="AJ625">
        <v>21</v>
      </c>
      <c r="AK625">
        <v>1</v>
      </c>
      <c r="AL625">
        <v>0</v>
      </c>
      <c r="AM625">
        <v>147</v>
      </c>
      <c r="AN625">
        <v>59</v>
      </c>
      <c r="AO625">
        <v>28</v>
      </c>
      <c r="AQ625" t="str">
        <f t="shared" si="9"/>
        <v>Defensive Forward</v>
      </c>
    </row>
    <row r="626" spans="1:43" x14ac:dyDescent="0.35">
      <c r="A626" t="s">
        <v>434</v>
      </c>
      <c r="B626" t="s">
        <v>39</v>
      </c>
      <c r="C626" t="s">
        <v>1492</v>
      </c>
      <c r="D626">
        <v>1983</v>
      </c>
      <c r="E626">
        <v>31</v>
      </c>
      <c r="F626" t="s">
        <v>50</v>
      </c>
      <c r="G626" t="s">
        <v>62</v>
      </c>
      <c r="H626">
        <v>2200000</v>
      </c>
      <c r="I626">
        <v>2200000</v>
      </c>
      <c r="J626" t="s">
        <v>52</v>
      </c>
      <c r="K626">
        <v>19</v>
      </c>
      <c r="L626">
        <v>1440</v>
      </c>
      <c r="M626">
        <v>0</v>
      </c>
      <c r="N626">
        <v>574</v>
      </c>
      <c r="O626">
        <v>0</v>
      </c>
      <c r="P626">
        <v>3</v>
      </c>
      <c r="Q626">
        <v>1</v>
      </c>
      <c r="R626">
        <v>3</v>
      </c>
      <c r="S626">
        <v>1</v>
      </c>
      <c r="T626">
        <v>13</v>
      </c>
      <c r="U626">
        <v>4</v>
      </c>
      <c r="V626">
        <v>0</v>
      </c>
      <c r="W626">
        <v>96</v>
      </c>
      <c r="X626">
        <v>0</v>
      </c>
      <c r="Y626">
        <v>0</v>
      </c>
      <c r="Z626">
        <v>0</v>
      </c>
      <c r="AA626">
        <v>1</v>
      </c>
      <c r="AB626">
        <v>0</v>
      </c>
      <c r="AC626">
        <v>0</v>
      </c>
      <c r="AD626">
        <v>0</v>
      </c>
      <c r="AE626">
        <v>0</v>
      </c>
      <c r="AF626">
        <v>22</v>
      </c>
      <c r="AG626">
        <v>19</v>
      </c>
      <c r="AH626">
        <v>12</v>
      </c>
      <c r="AI626">
        <v>0</v>
      </c>
      <c r="AJ626">
        <v>18</v>
      </c>
      <c r="AK626">
        <v>0</v>
      </c>
      <c r="AL626">
        <v>0</v>
      </c>
      <c r="AM626">
        <v>151</v>
      </c>
      <c r="AN626">
        <v>51</v>
      </c>
      <c r="AO626">
        <v>27</v>
      </c>
      <c r="AQ626" t="str">
        <f t="shared" si="9"/>
        <v>Defensive Forward</v>
      </c>
    </row>
    <row r="627" spans="1:43" x14ac:dyDescent="0.35">
      <c r="A627" t="s">
        <v>434</v>
      </c>
      <c r="B627" t="s">
        <v>43</v>
      </c>
      <c r="C627" t="s">
        <v>1493</v>
      </c>
      <c r="D627">
        <v>1983</v>
      </c>
      <c r="E627">
        <v>34</v>
      </c>
      <c r="F627" t="s">
        <v>50</v>
      </c>
      <c r="G627" t="s">
        <v>62</v>
      </c>
      <c r="H627">
        <v>2200000</v>
      </c>
      <c r="I627">
        <v>1100000</v>
      </c>
      <c r="J627" t="s">
        <v>52</v>
      </c>
      <c r="K627">
        <v>13</v>
      </c>
      <c r="L627">
        <v>1050</v>
      </c>
      <c r="M627">
        <v>1</v>
      </c>
      <c r="N627">
        <v>389</v>
      </c>
      <c r="O627">
        <v>0</v>
      </c>
      <c r="P627">
        <v>3</v>
      </c>
      <c r="Q627">
        <v>0</v>
      </c>
      <c r="R627">
        <v>1</v>
      </c>
      <c r="S627">
        <v>1</v>
      </c>
      <c r="T627">
        <v>1</v>
      </c>
      <c r="U627">
        <v>1</v>
      </c>
      <c r="V627">
        <v>0</v>
      </c>
      <c r="W627">
        <v>71</v>
      </c>
      <c r="X627">
        <v>1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10</v>
      </c>
      <c r="AG627">
        <v>16</v>
      </c>
      <c r="AH627">
        <v>13</v>
      </c>
      <c r="AI627">
        <v>0</v>
      </c>
      <c r="AJ627">
        <v>15</v>
      </c>
      <c r="AK627">
        <v>1</v>
      </c>
      <c r="AL627">
        <v>0</v>
      </c>
      <c r="AM627">
        <v>118</v>
      </c>
      <c r="AN627">
        <v>47</v>
      </c>
      <c r="AO627">
        <v>34</v>
      </c>
      <c r="AQ627" t="str">
        <f t="shared" si="9"/>
        <v>Defensive Forward</v>
      </c>
    </row>
    <row r="628" spans="1:43" x14ac:dyDescent="0.35">
      <c r="A628" t="s">
        <v>435</v>
      </c>
      <c r="B628" t="s">
        <v>46</v>
      </c>
      <c r="C628" t="s">
        <v>1494</v>
      </c>
      <c r="D628">
        <v>1996</v>
      </c>
      <c r="E628">
        <v>21</v>
      </c>
      <c r="F628" t="s">
        <v>99</v>
      </c>
      <c r="G628" t="s">
        <v>51</v>
      </c>
      <c r="H628">
        <v>6300000</v>
      </c>
      <c r="I628">
        <v>6300000</v>
      </c>
      <c r="J628" t="s">
        <v>55</v>
      </c>
      <c r="K628">
        <v>36</v>
      </c>
      <c r="L628">
        <v>2848</v>
      </c>
      <c r="M628">
        <v>7</v>
      </c>
      <c r="N628">
        <v>1404</v>
      </c>
      <c r="O628">
        <v>7</v>
      </c>
      <c r="P628">
        <v>3</v>
      </c>
      <c r="Q628">
        <v>1</v>
      </c>
      <c r="R628">
        <v>1</v>
      </c>
      <c r="S628">
        <v>19</v>
      </c>
      <c r="T628">
        <v>83</v>
      </c>
      <c r="U628">
        <v>28</v>
      </c>
      <c r="V628">
        <v>1</v>
      </c>
      <c r="W628">
        <v>3</v>
      </c>
      <c r="X628">
        <v>0</v>
      </c>
      <c r="Y628">
        <v>0</v>
      </c>
      <c r="Z628">
        <v>3</v>
      </c>
      <c r="AA628">
        <v>2</v>
      </c>
      <c r="AB628">
        <v>22</v>
      </c>
      <c r="AC628">
        <v>55</v>
      </c>
      <c r="AD628">
        <v>163</v>
      </c>
      <c r="AE628">
        <v>205</v>
      </c>
      <c r="AF628">
        <v>4</v>
      </c>
      <c r="AG628">
        <v>12</v>
      </c>
      <c r="AH628">
        <v>25</v>
      </c>
      <c r="AI628">
        <v>0</v>
      </c>
      <c r="AJ628">
        <v>48</v>
      </c>
      <c r="AK628">
        <v>0</v>
      </c>
      <c r="AL628">
        <v>0</v>
      </c>
      <c r="AM628">
        <v>5</v>
      </c>
      <c r="AN628">
        <v>11</v>
      </c>
      <c r="AO628">
        <v>34</v>
      </c>
      <c r="AQ628" t="str">
        <f t="shared" si="9"/>
        <v>Midfielder</v>
      </c>
    </row>
    <row r="629" spans="1:43" x14ac:dyDescent="0.35">
      <c r="A629" t="s">
        <v>436</v>
      </c>
      <c r="B629" t="s">
        <v>39</v>
      </c>
      <c r="C629" t="s">
        <v>1495</v>
      </c>
      <c r="D629">
        <v>1987</v>
      </c>
      <c r="E629">
        <v>27</v>
      </c>
      <c r="F629" t="s">
        <v>64</v>
      </c>
      <c r="G629" t="s">
        <v>108</v>
      </c>
      <c r="H629">
        <v>6300000</v>
      </c>
      <c r="I629">
        <v>6000000</v>
      </c>
      <c r="J629" t="s">
        <v>55</v>
      </c>
      <c r="K629">
        <v>28</v>
      </c>
      <c r="L629">
        <v>2192</v>
      </c>
      <c r="M629">
        <v>2</v>
      </c>
      <c r="N629">
        <v>1058</v>
      </c>
      <c r="O629">
        <v>2</v>
      </c>
      <c r="P629">
        <v>5</v>
      </c>
      <c r="Q629">
        <v>0</v>
      </c>
      <c r="R629">
        <v>2</v>
      </c>
      <c r="S629">
        <v>10</v>
      </c>
      <c r="T629">
        <v>16</v>
      </c>
      <c r="U629">
        <v>4</v>
      </c>
      <c r="V629">
        <v>0</v>
      </c>
      <c r="W629">
        <v>11</v>
      </c>
      <c r="X629">
        <v>0</v>
      </c>
      <c r="Y629">
        <v>0</v>
      </c>
      <c r="Z629">
        <v>0</v>
      </c>
      <c r="AA629">
        <v>1</v>
      </c>
      <c r="AB629">
        <v>1</v>
      </c>
      <c r="AC629">
        <v>1</v>
      </c>
      <c r="AD629">
        <v>0</v>
      </c>
      <c r="AE629">
        <v>8</v>
      </c>
      <c r="AF629">
        <v>10</v>
      </c>
      <c r="AG629">
        <v>66</v>
      </c>
      <c r="AH629">
        <v>41</v>
      </c>
      <c r="AI629">
        <v>0</v>
      </c>
      <c r="AJ629">
        <v>55</v>
      </c>
      <c r="AK629">
        <v>0</v>
      </c>
      <c r="AL629">
        <v>0</v>
      </c>
      <c r="AM629">
        <v>20</v>
      </c>
      <c r="AN629">
        <v>32</v>
      </c>
      <c r="AO629">
        <v>42</v>
      </c>
      <c r="AQ629" t="str">
        <f t="shared" si="9"/>
        <v>Midfielder</v>
      </c>
    </row>
    <row r="630" spans="1:43" x14ac:dyDescent="0.35">
      <c r="A630" t="s">
        <v>436</v>
      </c>
      <c r="B630" t="s">
        <v>47</v>
      </c>
      <c r="C630" t="s">
        <v>1496</v>
      </c>
      <c r="D630">
        <v>1987</v>
      </c>
      <c r="E630">
        <v>28</v>
      </c>
      <c r="F630" t="s">
        <v>64</v>
      </c>
      <c r="G630" t="s">
        <v>108</v>
      </c>
      <c r="H630">
        <v>6000000</v>
      </c>
      <c r="I630">
        <v>5400000</v>
      </c>
      <c r="J630" t="s">
        <v>55</v>
      </c>
      <c r="K630">
        <v>29</v>
      </c>
      <c r="L630">
        <v>2010</v>
      </c>
      <c r="M630">
        <v>5</v>
      </c>
      <c r="N630">
        <v>854</v>
      </c>
      <c r="O630">
        <v>3</v>
      </c>
      <c r="P630">
        <v>5</v>
      </c>
      <c r="Q630">
        <v>0</v>
      </c>
      <c r="R630">
        <v>5</v>
      </c>
      <c r="S630">
        <v>16</v>
      </c>
      <c r="T630">
        <v>23</v>
      </c>
      <c r="U630">
        <v>6</v>
      </c>
      <c r="V630">
        <v>0</v>
      </c>
      <c r="W630">
        <v>8</v>
      </c>
      <c r="X630">
        <v>3</v>
      </c>
      <c r="Y630">
        <v>0</v>
      </c>
      <c r="Z630">
        <v>0</v>
      </c>
      <c r="AA630">
        <v>4</v>
      </c>
      <c r="AB630">
        <v>4</v>
      </c>
      <c r="AC630">
        <v>0</v>
      </c>
      <c r="AD630">
        <v>1</v>
      </c>
      <c r="AE630">
        <v>26</v>
      </c>
      <c r="AF630">
        <v>6</v>
      </c>
      <c r="AG630">
        <v>26</v>
      </c>
      <c r="AH630">
        <v>41</v>
      </c>
      <c r="AI630">
        <v>0</v>
      </c>
      <c r="AJ630">
        <v>59</v>
      </c>
      <c r="AK630">
        <v>0</v>
      </c>
      <c r="AL630">
        <v>0</v>
      </c>
      <c r="AM630">
        <v>24</v>
      </c>
      <c r="AN630">
        <v>32</v>
      </c>
      <c r="AO630">
        <v>41</v>
      </c>
      <c r="AQ630" t="str">
        <f t="shared" si="9"/>
        <v>Midfielder</v>
      </c>
    </row>
    <row r="631" spans="1:43" x14ac:dyDescent="0.35">
      <c r="A631" t="s">
        <v>436</v>
      </c>
      <c r="B631" t="s">
        <v>43</v>
      </c>
      <c r="C631" t="s">
        <v>1497</v>
      </c>
      <c r="D631">
        <v>1987</v>
      </c>
      <c r="E631">
        <v>30</v>
      </c>
      <c r="F631" t="s">
        <v>64</v>
      </c>
      <c r="G631" t="s">
        <v>108</v>
      </c>
      <c r="H631">
        <v>5400000</v>
      </c>
      <c r="I631">
        <v>6300000</v>
      </c>
      <c r="J631" t="s">
        <v>55</v>
      </c>
      <c r="K631">
        <v>33</v>
      </c>
      <c r="L631">
        <v>2433</v>
      </c>
      <c r="M631">
        <v>5</v>
      </c>
      <c r="N631">
        <v>1070</v>
      </c>
      <c r="O631">
        <v>1</v>
      </c>
      <c r="P631">
        <v>5</v>
      </c>
      <c r="Q631">
        <v>0</v>
      </c>
      <c r="R631">
        <v>6</v>
      </c>
      <c r="S631">
        <v>9</v>
      </c>
      <c r="T631">
        <v>30</v>
      </c>
      <c r="U631">
        <v>11</v>
      </c>
      <c r="V631">
        <v>0</v>
      </c>
      <c r="W631">
        <v>12</v>
      </c>
      <c r="X631">
        <v>0</v>
      </c>
      <c r="Y631">
        <v>0</v>
      </c>
      <c r="Z631">
        <v>0</v>
      </c>
      <c r="AA631">
        <v>0</v>
      </c>
      <c r="AB631">
        <v>3</v>
      </c>
      <c r="AC631">
        <v>19</v>
      </c>
      <c r="AD631">
        <v>0</v>
      </c>
      <c r="AE631">
        <v>11</v>
      </c>
      <c r="AF631">
        <v>2</v>
      </c>
      <c r="AG631">
        <v>36</v>
      </c>
      <c r="AH631">
        <v>45</v>
      </c>
      <c r="AI631">
        <v>0</v>
      </c>
      <c r="AJ631">
        <v>58</v>
      </c>
      <c r="AK631">
        <v>0</v>
      </c>
      <c r="AL631">
        <v>0</v>
      </c>
      <c r="AM631">
        <v>37</v>
      </c>
      <c r="AN631">
        <v>39</v>
      </c>
      <c r="AO631">
        <v>52</v>
      </c>
      <c r="AQ631" t="str">
        <f t="shared" si="9"/>
        <v>Midfielder</v>
      </c>
    </row>
    <row r="632" spans="1:43" x14ac:dyDescent="0.35">
      <c r="A632" t="s">
        <v>436</v>
      </c>
      <c r="B632" t="s">
        <v>46</v>
      </c>
      <c r="C632" t="s">
        <v>1498</v>
      </c>
      <c r="D632">
        <v>1987</v>
      </c>
      <c r="E632">
        <v>30</v>
      </c>
      <c r="F632" t="s">
        <v>64</v>
      </c>
      <c r="G632" t="s">
        <v>108</v>
      </c>
      <c r="H632">
        <v>15300000</v>
      </c>
      <c r="I632">
        <v>15300000</v>
      </c>
      <c r="J632" t="s">
        <v>55</v>
      </c>
      <c r="K632">
        <v>38</v>
      </c>
      <c r="L632">
        <v>3072</v>
      </c>
      <c r="M632">
        <v>3</v>
      </c>
      <c r="N632">
        <v>1400</v>
      </c>
      <c r="O632">
        <v>6</v>
      </c>
      <c r="P632">
        <v>7</v>
      </c>
      <c r="Q632">
        <v>0</v>
      </c>
      <c r="R632">
        <v>2</v>
      </c>
      <c r="S632">
        <v>15</v>
      </c>
      <c r="T632">
        <v>34</v>
      </c>
      <c r="U632">
        <v>8</v>
      </c>
      <c r="V632">
        <v>2</v>
      </c>
      <c r="W632">
        <v>22</v>
      </c>
      <c r="X632">
        <v>1</v>
      </c>
      <c r="Y632">
        <v>0</v>
      </c>
      <c r="Z632">
        <v>0</v>
      </c>
      <c r="AA632">
        <v>2</v>
      </c>
      <c r="AB632">
        <v>4</v>
      </c>
      <c r="AC632">
        <v>26</v>
      </c>
      <c r="AD632">
        <v>1</v>
      </c>
      <c r="AE632">
        <v>15</v>
      </c>
      <c r="AF632">
        <v>22</v>
      </c>
      <c r="AG632">
        <v>39</v>
      </c>
      <c r="AH632">
        <v>61</v>
      </c>
      <c r="AI632">
        <v>0</v>
      </c>
      <c r="AJ632">
        <v>84</v>
      </c>
      <c r="AK632">
        <v>0</v>
      </c>
      <c r="AL632">
        <v>0</v>
      </c>
      <c r="AM632">
        <v>44</v>
      </c>
      <c r="AN632">
        <v>48</v>
      </c>
      <c r="AO632">
        <v>57</v>
      </c>
      <c r="AQ632" t="str">
        <f t="shared" si="9"/>
        <v>Midfielder</v>
      </c>
    </row>
    <row r="633" spans="1:43" x14ac:dyDescent="0.35">
      <c r="A633" t="s">
        <v>437</v>
      </c>
      <c r="B633" t="s">
        <v>39</v>
      </c>
      <c r="C633" t="s">
        <v>1499</v>
      </c>
      <c r="D633">
        <v>1990</v>
      </c>
      <c r="E633">
        <v>24</v>
      </c>
      <c r="F633" t="s">
        <v>54</v>
      </c>
      <c r="G633" t="s">
        <v>260</v>
      </c>
      <c r="H633">
        <v>15300000</v>
      </c>
      <c r="I633">
        <v>13500000</v>
      </c>
      <c r="J633" t="s">
        <v>55</v>
      </c>
      <c r="K633">
        <v>29</v>
      </c>
      <c r="L633">
        <v>2434</v>
      </c>
      <c r="M633">
        <v>2</v>
      </c>
      <c r="N633">
        <v>1357</v>
      </c>
      <c r="O633">
        <v>2</v>
      </c>
      <c r="P633">
        <v>5</v>
      </c>
      <c r="Q633">
        <v>1</v>
      </c>
      <c r="R633">
        <v>0</v>
      </c>
      <c r="S633">
        <v>6</v>
      </c>
      <c r="T633">
        <v>16</v>
      </c>
      <c r="U633">
        <v>7</v>
      </c>
      <c r="V633">
        <v>0</v>
      </c>
      <c r="W633">
        <v>23</v>
      </c>
      <c r="X633">
        <v>0</v>
      </c>
      <c r="Y633">
        <v>0</v>
      </c>
      <c r="Z633">
        <v>0</v>
      </c>
      <c r="AA633">
        <v>0</v>
      </c>
      <c r="AB633">
        <v>4</v>
      </c>
      <c r="AC633">
        <v>0</v>
      </c>
      <c r="AD633">
        <v>0</v>
      </c>
      <c r="AE633">
        <v>17</v>
      </c>
      <c r="AF633">
        <v>17</v>
      </c>
      <c r="AG633">
        <v>51</v>
      </c>
      <c r="AH633">
        <v>37</v>
      </c>
      <c r="AI633">
        <v>0</v>
      </c>
      <c r="AJ633">
        <v>79</v>
      </c>
      <c r="AK633">
        <v>0</v>
      </c>
      <c r="AL633">
        <v>0</v>
      </c>
      <c r="AM633">
        <v>48</v>
      </c>
      <c r="AN633">
        <v>11</v>
      </c>
      <c r="AO633">
        <v>20</v>
      </c>
      <c r="AQ633" t="str">
        <f t="shared" si="9"/>
        <v>Midfielder</v>
      </c>
    </row>
    <row r="634" spans="1:43" x14ac:dyDescent="0.35">
      <c r="A634" t="s">
        <v>437</v>
      </c>
      <c r="B634" t="s">
        <v>47</v>
      </c>
      <c r="C634" t="s">
        <v>1500</v>
      </c>
      <c r="D634">
        <v>1990</v>
      </c>
      <c r="E634">
        <v>25</v>
      </c>
      <c r="F634" t="s">
        <v>54</v>
      </c>
      <c r="G634" t="s">
        <v>260</v>
      </c>
      <c r="H634">
        <v>2700000</v>
      </c>
      <c r="I634">
        <v>2700000</v>
      </c>
      <c r="J634" t="s">
        <v>55</v>
      </c>
      <c r="K634">
        <v>12</v>
      </c>
      <c r="L634">
        <v>612</v>
      </c>
      <c r="M634">
        <v>0</v>
      </c>
      <c r="N634">
        <v>247</v>
      </c>
      <c r="O634">
        <v>1</v>
      </c>
      <c r="P634">
        <v>2</v>
      </c>
      <c r="Q634">
        <v>0</v>
      </c>
      <c r="R634">
        <v>5</v>
      </c>
      <c r="S634">
        <v>5</v>
      </c>
      <c r="T634">
        <v>6</v>
      </c>
      <c r="U634">
        <v>3</v>
      </c>
      <c r="V634">
        <v>0</v>
      </c>
      <c r="W634">
        <v>5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4</v>
      </c>
      <c r="AF634">
        <v>3</v>
      </c>
      <c r="AG634">
        <v>10</v>
      </c>
      <c r="AH634">
        <v>10</v>
      </c>
      <c r="AI634">
        <v>0</v>
      </c>
      <c r="AJ634">
        <v>19</v>
      </c>
      <c r="AK634">
        <v>0</v>
      </c>
      <c r="AL634">
        <v>0</v>
      </c>
      <c r="AM634">
        <v>8</v>
      </c>
      <c r="AN634">
        <v>11</v>
      </c>
      <c r="AO634">
        <v>5</v>
      </c>
      <c r="AQ634" t="str">
        <f t="shared" si="9"/>
        <v>Midfielder</v>
      </c>
    </row>
    <row r="635" spans="1:43" x14ac:dyDescent="0.35">
      <c r="A635" t="s">
        <v>438</v>
      </c>
      <c r="B635" t="s">
        <v>39</v>
      </c>
      <c r="C635" t="s">
        <v>1501</v>
      </c>
      <c r="D635">
        <v>1989</v>
      </c>
      <c r="E635">
        <v>26</v>
      </c>
      <c r="F635" t="s">
        <v>103</v>
      </c>
      <c r="G635" t="s">
        <v>260</v>
      </c>
      <c r="H635">
        <v>2700000</v>
      </c>
      <c r="I635">
        <v>2700000</v>
      </c>
      <c r="J635" t="s">
        <v>55</v>
      </c>
      <c r="K635">
        <v>35</v>
      </c>
      <c r="L635">
        <v>2412</v>
      </c>
      <c r="M635">
        <v>2</v>
      </c>
      <c r="N635">
        <v>598</v>
      </c>
      <c r="O635">
        <v>2</v>
      </c>
      <c r="P635">
        <v>7</v>
      </c>
      <c r="Q635">
        <v>1</v>
      </c>
      <c r="R635">
        <v>7</v>
      </c>
      <c r="S635">
        <v>8</v>
      </c>
      <c r="T635">
        <v>31</v>
      </c>
      <c r="U635">
        <v>9</v>
      </c>
      <c r="V635">
        <v>0</v>
      </c>
      <c r="W635">
        <v>26</v>
      </c>
      <c r="X635">
        <v>1</v>
      </c>
      <c r="Y635">
        <v>0</v>
      </c>
      <c r="Z635">
        <v>0</v>
      </c>
      <c r="AA635">
        <v>6</v>
      </c>
      <c r="AB635">
        <v>2</v>
      </c>
      <c r="AC635">
        <v>0</v>
      </c>
      <c r="AD635">
        <v>39</v>
      </c>
      <c r="AE635">
        <v>208</v>
      </c>
      <c r="AF635">
        <v>7</v>
      </c>
      <c r="AG635">
        <v>32</v>
      </c>
      <c r="AH635">
        <v>36</v>
      </c>
      <c r="AI635">
        <v>0</v>
      </c>
      <c r="AJ635">
        <v>70</v>
      </c>
      <c r="AK635">
        <v>0</v>
      </c>
      <c r="AL635">
        <v>0</v>
      </c>
      <c r="AM635">
        <v>53</v>
      </c>
      <c r="AN635">
        <v>58</v>
      </c>
      <c r="AO635">
        <v>60</v>
      </c>
      <c r="AQ635" t="str">
        <f t="shared" si="9"/>
        <v>Midfielder</v>
      </c>
    </row>
    <row r="636" spans="1:43" x14ac:dyDescent="0.35">
      <c r="A636" t="s">
        <v>438</v>
      </c>
      <c r="B636" t="s">
        <v>47</v>
      </c>
      <c r="C636" t="s">
        <v>1502</v>
      </c>
      <c r="D636">
        <v>1989</v>
      </c>
      <c r="E636">
        <v>27</v>
      </c>
      <c r="F636" t="s">
        <v>103</v>
      </c>
      <c r="G636" t="s">
        <v>260</v>
      </c>
      <c r="H636">
        <v>2700000</v>
      </c>
      <c r="I636">
        <v>2700000</v>
      </c>
      <c r="J636" t="s">
        <v>55</v>
      </c>
      <c r="K636">
        <v>34</v>
      </c>
      <c r="L636">
        <v>1464</v>
      </c>
      <c r="M636">
        <v>0</v>
      </c>
      <c r="N636">
        <v>350</v>
      </c>
      <c r="O636">
        <v>2</v>
      </c>
      <c r="P636">
        <v>9</v>
      </c>
      <c r="Q636">
        <v>0</v>
      </c>
      <c r="R636">
        <v>21</v>
      </c>
      <c r="S636">
        <v>8</v>
      </c>
      <c r="T636">
        <v>23</v>
      </c>
      <c r="U636">
        <v>13</v>
      </c>
      <c r="V636">
        <v>0</v>
      </c>
      <c r="W636">
        <v>12</v>
      </c>
      <c r="X636">
        <v>0</v>
      </c>
      <c r="Y636">
        <v>0</v>
      </c>
      <c r="Z636">
        <v>0</v>
      </c>
      <c r="AA636">
        <v>6</v>
      </c>
      <c r="AB636">
        <v>2</v>
      </c>
      <c r="AC636">
        <v>0</v>
      </c>
      <c r="AD636">
        <v>11</v>
      </c>
      <c r="AE636">
        <v>97</v>
      </c>
      <c r="AF636">
        <v>3</v>
      </c>
      <c r="AG636">
        <v>17</v>
      </c>
      <c r="AH636">
        <v>31</v>
      </c>
      <c r="AI636">
        <v>0</v>
      </c>
      <c r="AJ636">
        <v>55</v>
      </c>
      <c r="AK636">
        <v>0</v>
      </c>
      <c r="AL636">
        <v>0</v>
      </c>
      <c r="AM636">
        <v>19</v>
      </c>
      <c r="AN636">
        <v>31</v>
      </c>
      <c r="AO636">
        <v>43</v>
      </c>
      <c r="AQ636" t="str">
        <f t="shared" si="9"/>
        <v>Midfielder</v>
      </c>
    </row>
    <row r="637" spans="1:43" x14ac:dyDescent="0.35">
      <c r="A637" t="s">
        <v>438</v>
      </c>
      <c r="B637" t="s">
        <v>43</v>
      </c>
      <c r="C637" t="s">
        <v>1503</v>
      </c>
      <c r="D637">
        <v>1989</v>
      </c>
      <c r="E637">
        <v>28</v>
      </c>
      <c r="F637" t="s">
        <v>103</v>
      </c>
      <c r="G637" t="s">
        <v>260</v>
      </c>
      <c r="H637">
        <v>15400000</v>
      </c>
      <c r="I637">
        <v>16500000</v>
      </c>
      <c r="J637" t="s">
        <v>55</v>
      </c>
      <c r="K637">
        <v>30</v>
      </c>
      <c r="L637">
        <v>1395</v>
      </c>
      <c r="M637">
        <v>1</v>
      </c>
      <c r="N637">
        <v>359</v>
      </c>
      <c r="O637">
        <v>0</v>
      </c>
      <c r="P637">
        <v>7</v>
      </c>
      <c r="Q637">
        <v>0</v>
      </c>
      <c r="R637">
        <v>16</v>
      </c>
      <c r="S637">
        <v>6</v>
      </c>
      <c r="T637">
        <v>30</v>
      </c>
      <c r="U637">
        <v>6</v>
      </c>
      <c r="V637">
        <v>0</v>
      </c>
      <c r="W637">
        <v>6</v>
      </c>
      <c r="X637">
        <v>0</v>
      </c>
      <c r="Y637">
        <v>0</v>
      </c>
      <c r="Z637">
        <v>0</v>
      </c>
      <c r="AA637">
        <v>5</v>
      </c>
      <c r="AB637">
        <v>0</v>
      </c>
      <c r="AC637">
        <v>24</v>
      </c>
      <c r="AD637">
        <v>12</v>
      </c>
      <c r="AE637">
        <v>88</v>
      </c>
      <c r="AF637">
        <v>4</v>
      </c>
      <c r="AG637">
        <v>19</v>
      </c>
      <c r="AH637">
        <v>35</v>
      </c>
      <c r="AI637">
        <v>0</v>
      </c>
      <c r="AJ637">
        <v>40</v>
      </c>
      <c r="AK637">
        <v>0</v>
      </c>
      <c r="AL637">
        <v>1</v>
      </c>
      <c r="AM637">
        <v>15</v>
      </c>
      <c r="AN637">
        <v>16</v>
      </c>
      <c r="AO637">
        <v>22</v>
      </c>
      <c r="AQ637" t="str">
        <f t="shared" si="9"/>
        <v>Midfielder</v>
      </c>
    </row>
    <row r="638" spans="1:43" x14ac:dyDescent="0.35">
      <c r="A638" t="s">
        <v>439</v>
      </c>
      <c r="B638" t="s">
        <v>39</v>
      </c>
      <c r="C638" t="s">
        <v>1504</v>
      </c>
      <c r="D638">
        <v>1986</v>
      </c>
      <c r="E638">
        <v>29</v>
      </c>
      <c r="F638" t="s">
        <v>80</v>
      </c>
      <c r="G638" t="s">
        <v>51</v>
      </c>
      <c r="H638">
        <v>16500000</v>
      </c>
      <c r="I638">
        <v>13200000</v>
      </c>
      <c r="J638" t="s">
        <v>55</v>
      </c>
      <c r="K638">
        <v>28</v>
      </c>
      <c r="L638">
        <v>2414</v>
      </c>
      <c r="M638">
        <v>5</v>
      </c>
      <c r="N638">
        <v>1377</v>
      </c>
      <c r="O638">
        <v>11</v>
      </c>
      <c r="P638">
        <v>9</v>
      </c>
      <c r="Q638">
        <v>0</v>
      </c>
      <c r="R638">
        <v>0</v>
      </c>
      <c r="S638">
        <v>7</v>
      </c>
      <c r="T638">
        <v>39</v>
      </c>
      <c r="U638">
        <v>11</v>
      </c>
      <c r="V638">
        <v>0</v>
      </c>
      <c r="W638">
        <v>8</v>
      </c>
      <c r="X638">
        <v>0</v>
      </c>
      <c r="Y638">
        <v>1</v>
      </c>
      <c r="Z638">
        <v>1</v>
      </c>
      <c r="AA638">
        <v>2</v>
      </c>
      <c r="AB638">
        <v>12</v>
      </c>
      <c r="AC638">
        <v>1</v>
      </c>
      <c r="AD638">
        <v>116</v>
      </c>
      <c r="AE638">
        <v>185</v>
      </c>
      <c r="AF638">
        <v>3</v>
      </c>
      <c r="AG638">
        <v>37</v>
      </c>
      <c r="AH638">
        <v>47</v>
      </c>
      <c r="AI638">
        <v>0</v>
      </c>
      <c r="AJ638">
        <v>68</v>
      </c>
      <c r="AK638">
        <v>0</v>
      </c>
      <c r="AL638">
        <v>0</v>
      </c>
      <c r="AM638">
        <v>23</v>
      </c>
      <c r="AN638">
        <v>32</v>
      </c>
      <c r="AO638">
        <v>42</v>
      </c>
      <c r="AQ638" t="str">
        <f t="shared" si="9"/>
        <v>Midfielder</v>
      </c>
    </row>
    <row r="639" spans="1:43" x14ac:dyDescent="0.35">
      <c r="A639" t="s">
        <v>439</v>
      </c>
      <c r="B639" t="s">
        <v>47</v>
      </c>
      <c r="C639" t="s">
        <v>1505</v>
      </c>
      <c r="D639">
        <v>1986</v>
      </c>
      <c r="E639">
        <v>30</v>
      </c>
      <c r="F639" t="s">
        <v>80</v>
      </c>
      <c r="G639" t="s">
        <v>51</v>
      </c>
      <c r="H639">
        <v>16500000</v>
      </c>
      <c r="I639">
        <v>16500000</v>
      </c>
      <c r="J639" t="s">
        <v>55</v>
      </c>
      <c r="K639">
        <v>36</v>
      </c>
      <c r="L639">
        <v>3159</v>
      </c>
      <c r="M639">
        <v>7</v>
      </c>
      <c r="N639">
        <v>2168</v>
      </c>
      <c r="O639">
        <v>3</v>
      </c>
      <c r="P639">
        <v>5</v>
      </c>
      <c r="Q639">
        <v>0</v>
      </c>
      <c r="R639">
        <v>0</v>
      </c>
      <c r="S639">
        <v>6</v>
      </c>
      <c r="T639">
        <v>36</v>
      </c>
      <c r="U639">
        <v>17</v>
      </c>
      <c r="V639">
        <v>0</v>
      </c>
      <c r="W639">
        <v>50</v>
      </c>
      <c r="X639">
        <v>0</v>
      </c>
      <c r="Y639">
        <v>7</v>
      </c>
      <c r="Z639">
        <v>0</v>
      </c>
      <c r="AA639">
        <v>2</v>
      </c>
      <c r="AB639">
        <v>2</v>
      </c>
      <c r="AC639">
        <v>2</v>
      </c>
      <c r="AD639">
        <v>91</v>
      </c>
      <c r="AE639">
        <v>259</v>
      </c>
      <c r="AF639">
        <v>5</v>
      </c>
      <c r="AG639">
        <v>44</v>
      </c>
      <c r="AH639">
        <v>38</v>
      </c>
      <c r="AI639">
        <v>0</v>
      </c>
      <c r="AJ639">
        <v>94</v>
      </c>
      <c r="AK639">
        <v>0</v>
      </c>
      <c r="AL639">
        <v>0</v>
      </c>
      <c r="AM639">
        <v>100</v>
      </c>
      <c r="AN639">
        <v>56</v>
      </c>
      <c r="AO639">
        <v>65</v>
      </c>
      <c r="AQ639" t="str">
        <f t="shared" si="9"/>
        <v>Midfielder</v>
      </c>
    </row>
    <row r="640" spans="1:43" x14ac:dyDescent="0.35">
      <c r="A640" t="s">
        <v>439</v>
      </c>
      <c r="B640" t="s">
        <v>46</v>
      </c>
      <c r="C640" t="s">
        <v>1506</v>
      </c>
      <c r="D640">
        <v>1986</v>
      </c>
      <c r="E640">
        <v>32</v>
      </c>
      <c r="F640" t="s">
        <v>80</v>
      </c>
      <c r="G640" t="s">
        <v>51</v>
      </c>
      <c r="H640">
        <v>13200000</v>
      </c>
      <c r="I640">
        <v>16500000</v>
      </c>
      <c r="J640" t="s">
        <v>55</v>
      </c>
      <c r="K640">
        <v>31</v>
      </c>
      <c r="L640">
        <v>1786</v>
      </c>
      <c r="M640">
        <v>5</v>
      </c>
      <c r="N640">
        <v>1401</v>
      </c>
      <c r="O640">
        <v>4</v>
      </c>
      <c r="P640">
        <v>5</v>
      </c>
      <c r="Q640">
        <v>1</v>
      </c>
      <c r="R640">
        <v>12</v>
      </c>
      <c r="S640">
        <v>7</v>
      </c>
      <c r="T640">
        <v>24</v>
      </c>
      <c r="U640">
        <v>8</v>
      </c>
      <c r="V640">
        <v>0</v>
      </c>
      <c r="W640">
        <v>14</v>
      </c>
      <c r="X640">
        <v>0</v>
      </c>
      <c r="Y640">
        <v>3</v>
      </c>
      <c r="Z640">
        <v>0</v>
      </c>
      <c r="AA640">
        <v>0</v>
      </c>
      <c r="AB640">
        <v>6</v>
      </c>
      <c r="AC640">
        <v>16</v>
      </c>
      <c r="AD640">
        <v>92</v>
      </c>
      <c r="AE640">
        <v>134</v>
      </c>
      <c r="AF640">
        <v>5</v>
      </c>
      <c r="AG640">
        <v>18</v>
      </c>
      <c r="AH640">
        <v>28</v>
      </c>
      <c r="AI640">
        <v>0</v>
      </c>
      <c r="AJ640">
        <v>43</v>
      </c>
      <c r="AK640">
        <v>0</v>
      </c>
      <c r="AL640">
        <v>0</v>
      </c>
      <c r="AM640">
        <v>22</v>
      </c>
      <c r="AN640">
        <v>20</v>
      </c>
      <c r="AO640">
        <v>28</v>
      </c>
      <c r="AQ640" t="str">
        <f t="shared" si="9"/>
        <v>Midfielder</v>
      </c>
    </row>
    <row r="641" spans="1:43" x14ac:dyDescent="0.35">
      <c r="A641" t="s">
        <v>439</v>
      </c>
      <c r="B641" t="s">
        <v>43</v>
      </c>
      <c r="C641" t="s">
        <v>1507</v>
      </c>
      <c r="D641">
        <v>1986</v>
      </c>
      <c r="E641">
        <v>31</v>
      </c>
      <c r="F641" t="s">
        <v>80</v>
      </c>
      <c r="G641" t="s">
        <v>51</v>
      </c>
      <c r="H641">
        <v>4500000</v>
      </c>
      <c r="I641">
        <v>4500000</v>
      </c>
      <c r="J641" t="s">
        <v>55</v>
      </c>
      <c r="K641">
        <v>32</v>
      </c>
      <c r="L641">
        <v>1762</v>
      </c>
      <c r="M641">
        <v>0</v>
      </c>
      <c r="N641">
        <v>1480</v>
      </c>
      <c r="O641">
        <v>3</v>
      </c>
      <c r="P641">
        <v>3</v>
      </c>
      <c r="Q641">
        <v>0</v>
      </c>
      <c r="R641">
        <v>16</v>
      </c>
      <c r="S641">
        <v>3</v>
      </c>
      <c r="T641">
        <v>21</v>
      </c>
      <c r="U641">
        <v>5</v>
      </c>
      <c r="V641">
        <v>0</v>
      </c>
      <c r="W641">
        <v>8</v>
      </c>
      <c r="X641">
        <v>0</v>
      </c>
      <c r="Y641">
        <v>0</v>
      </c>
      <c r="Z641">
        <v>0</v>
      </c>
      <c r="AA641">
        <v>0</v>
      </c>
      <c r="AB641">
        <v>7</v>
      </c>
      <c r="AC641">
        <v>16</v>
      </c>
      <c r="AD641">
        <v>60</v>
      </c>
      <c r="AE641">
        <v>123</v>
      </c>
      <c r="AF641">
        <v>5</v>
      </c>
      <c r="AG641">
        <v>21</v>
      </c>
      <c r="AH641">
        <v>29</v>
      </c>
      <c r="AI641">
        <v>0</v>
      </c>
      <c r="AJ641">
        <v>58</v>
      </c>
      <c r="AK641">
        <v>0</v>
      </c>
      <c r="AL641">
        <v>0</v>
      </c>
      <c r="AM641">
        <v>22</v>
      </c>
      <c r="AN641">
        <v>23</v>
      </c>
      <c r="AO641">
        <v>18</v>
      </c>
      <c r="AQ641" t="str">
        <f t="shared" si="9"/>
        <v>Midfielder</v>
      </c>
    </row>
    <row r="642" spans="1:43" x14ac:dyDescent="0.35">
      <c r="A642" t="s">
        <v>440</v>
      </c>
      <c r="B642" t="s">
        <v>39</v>
      </c>
      <c r="C642" t="s">
        <v>1508</v>
      </c>
      <c r="D642">
        <v>1986</v>
      </c>
      <c r="E642">
        <v>29</v>
      </c>
      <c r="F642" t="s">
        <v>103</v>
      </c>
      <c r="G642" t="s">
        <v>108</v>
      </c>
      <c r="H642">
        <v>4500000</v>
      </c>
      <c r="I642">
        <v>4500000</v>
      </c>
      <c r="J642" t="s">
        <v>55</v>
      </c>
      <c r="K642">
        <v>18</v>
      </c>
      <c r="L642">
        <v>1343</v>
      </c>
      <c r="M642">
        <v>3</v>
      </c>
      <c r="N642">
        <v>593</v>
      </c>
      <c r="O642">
        <v>3</v>
      </c>
      <c r="P642">
        <v>3</v>
      </c>
      <c r="Q642">
        <v>0</v>
      </c>
      <c r="R642">
        <v>1</v>
      </c>
      <c r="S642">
        <v>7</v>
      </c>
      <c r="T642">
        <v>24</v>
      </c>
      <c r="U642">
        <v>12</v>
      </c>
      <c r="V642">
        <v>0</v>
      </c>
      <c r="W642">
        <v>5</v>
      </c>
      <c r="X642">
        <v>1</v>
      </c>
      <c r="Y642">
        <v>0</v>
      </c>
      <c r="Z642">
        <v>0</v>
      </c>
      <c r="AA642">
        <v>0</v>
      </c>
      <c r="AB642">
        <v>3</v>
      </c>
      <c r="AC642">
        <v>1</v>
      </c>
      <c r="AD642">
        <v>2</v>
      </c>
      <c r="AE642">
        <v>15</v>
      </c>
      <c r="AF642">
        <v>5</v>
      </c>
      <c r="AG642">
        <v>43</v>
      </c>
      <c r="AH642">
        <v>7</v>
      </c>
      <c r="AI642">
        <v>0</v>
      </c>
      <c r="AJ642">
        <v>26</v>
      </c>
      <c r="AK642">
        <v>0</v>
      </c>
      <c r="AL642">
        <v>0</v>
      </c>
      <c r="AM642">
        <v>11</v>
      </c>
      <c r="AN642">
        <v>6</v>
      </c>
      <c r="AO642">
        <v>12</v>
      </c>
      <c r="AQ642" t="str">
        <f t="shared" ref="AQ642:AQ705" si="10">IF(J642 = "FW", REPLACE(J642,1,2,"Forward"),IF(J642 = "DF", "Defensive Forward", "Midfielder"))</f>
        <v>Midfielder</v>
      </c>
    </row>
    <row r="643" spans="1:43" x14ac:dyDescent="0.35">
      <c r="A643" t="s">
        <v>440</v>
      </c>
      <c r="B643" t="s">
        <v>47</v>
      </c>
      <c r="C643" t="s">
        <v>1509</v>
      </c>
      <c r="D643">
        <v>1986</v>
      </c>
      <c r="E643">
        <v>30</v>
      </c>
      <c r="F643" t="s">
        <v>103</v>
      </c>
      <c r="G643" t="s">
        <v>108</v>
      </c>
      <c r="H643">
        <v>9900000</v>
      </c>
      <c r="I643">
        <v>12100000</v>
      </c>
      <c r="J643" t="s">
        <v>55</v>
      </c>
      <c r="K643">
        <v>31</v>
      </c>
      <c r="L643">
        <v>1738</v>
      </c>
      <c r="M643">
        <v>5</v>
      </c>
      <c r="N643">
        <v>764</v>
      </c>
      <c r="O643">
        <v>2</v>
      </c>
      <c r="P643">
        <v>3</v>
      </c>
      <c r="Q643">
        <v>0</v>
      </c>
      <c r="R643">
        <v>14</v>
      </c>
      <c r="S643">
        <v>12</v>
      </c>
      <c r="T643">
        <v>23</v>
      </c>
      <c r="U643">
        <v>8</v>
      </c>
      <c r="V643">
        <v>0</v>
      </c>
      <c r="W643">
        <v>3</v>
      </c>
      <c r="X643">
        <v>1</v>
      </c>
      <c r="Y643">
        <v>0</v>
      </c>
      <c r="Z643">
        <v>0</v>
      </c>
      <c r="AA643">
        <v>2</v>
      </c>
      <c r="AB643">
        <v>4</v>
      </c>
      <c r="AC643">
        <v>2</v>
      </c>
      <c r="AD643">
        <v>3</v>
      </c>
      <c r="AE643">
        <v>22</v>
      </c>
      <c r="AF643">
        <v>4</v>
      </c>
      <c r="AG643">
        <v>23</v>
      </c>
      <c r="AH643">
        <v>19</v>
      </c>
      <c r="AI643">
        <v>0</v>
      </c>
      <c r="AJ643">
        <v>26</v>
      </c>
      <c r="AK643">
        <v>0</v>
      </c>
      <c r="AL643">
        <v>0</v>
      </c>
      <c r="AM643">
        <v>11</v>
      </c>
      <c r="AN643">
        <v>9</v>
      </c>
      <c r="AO643">
        <v>25</v>
      </c>
      <c r="AQ643" t="str">
        <f t="shared" si="10"/>
        <v>Midfielder</v>
      </c>
    </row>
    <row r="644" spans="1:43" x14ac:dyDescent="0.35">
      <c r="A644" t="s">
        <v>441</v>
      </c>
      <c r="B644" t="s">
        <v>43</v>
      </c>
      <c r="C644" t="s">
        <v>1510</v>
      </c>
      <c r="D644">
        <v>1992</v>
      </c>
      <c r="E644">
        <v>25</v>
      </c>
      <c r="F644" t="s">
        <v>56</v>
      </c>
      <c r="G644" t="s">
        <v>51</v>
      </c>
      <c r="H644">
        <v>1800000</v>
      </c>
      <c r="I644">
        <v>13500000</v>
      </c>
      <c r="J644" t="s">
        <v>52</v>
      </c>
      <c r="K644">
        <v>31</v>
      </c>
      <c r="L644">
        <v>2790</v>
      </c>
      <c r="M644">
        <v>0</v>
      </c>
      <c r="N644">
        <v>1091</v>
      </c>
      <c r="O644">
        <v>0</v>
      </c>
      <c r="P644">
        <v>5</v>
      </c>
      <c r="Q644">
        <v>0</v>
      </c>
      <c r="R644">
        <v>0</v>
      </c>
      <c r="S644">
        <v>0</v>
      </c>
      <c r="T644">
        <v>18</v>
      </c>
      <c r="U644">
        <v>5</v>
      </c>
      <c r="V644">
        <v>0</v>
      </c>
      <c r="W644">
        <v>143</v>
      </c>
      <c r="X644">
        <v>0</v>
      </c>
      <c r="Y644">
        <v>0</v>
      </c>
      <c r="Z644">
        <v>0</v>
      </c>
      <c r="AA644">
        <v>3</v>
      </c>
      <c r="AB644">
        <v>0</v>
      </c>
      <c r="AC644">
        <v>13</v>
      </c>
      <c r="AD644">
        <v>0</v>
      </c>
      <c r="AE644">
        <v>4</v>
      </c>
      <c r="AF644">
        <v>43</v>
      </c>
      <c r="AG644">
        <v>50</v>
      </c>
      <c r="AH644">
        <v>25</v>
      </c>
      <c r="AI644">
        <v>0</v>
      </c>
      <c r="AJ644">
        <v>46</v>
      </c>
      <c r="AK644">
        <v>0</v>
      </c>
      <c r="AL644">
        <v>0</v>
      </c>
      <c r="AM644">
        <v>219</v>
      </c>
      <c r="AN644">
        <v>147</v>
      </c>
      <c r="AO644">
        <v>62</v>
      </c>
      <c r="AQ644" t="str">
        <f t="shared" si="10"/>
        <v>Defensive Forward</v>
      </c>
    </row>
    <row r="645" spans="1:43" x14ac:dyDescent="0.35">
      <c r="A645" t="s">
        <v>441</v>
      </c>
      <c r="B645" t="s">
        <v>46</v>
      </c>
      <c r="C645" t="s">
        <v>1511</v>
      </c>
      <c r="D645">
        <v>1992</v>
      </c>
      <c r="E645">
        <v>25</v>
      </c>
      <c r="F645" t="s">
        <v>56</v>
      </c>
      <c r="G645" t="s">
        <v>51</v>
      </c>
      <c r="H645">
        <v>13500000</v>
      </c>
      <c r="I645">
        <v>16200000</v>
      </c>
      <c r="J645" t="s">
        <v>52</v>
      </c>
      <c r="K645">
        <v>35</v>
      </c>
      <c r="L645">
        <v>3087</v>
      </c>
      <c r="M645">
        <v>3</v>
      </c>
      <c r="N645">
        <v>1135</v>
      </c>
      <c r="O645">
        <v>0</v>
      </c>
      <c r="P645">
        <v>8</v>
      </c>
      <c r="Q645">
        <v>0</v>
      </c>
      <c r="R645">
        <v>0</v>
      </c>
      <c r="S645">
        <v>1</v>
      </c>
      <c r="T645">
        <v>22</v>
      </c>
      <c r="U645">
        <v>10</v>
      </c>
      <c r="V645">
        <v>0</v>
      </c>
      <c r="W645">
        <v>138</v>
      </c>
      <c r="X645">
        <v>0</v>
      </c>
      <c r="Y645">
        <v>0</v>
      </c>
      <c r="Z645">
        <v>0</v>
      </c>
      <c r="AA645">
        <v>4</v>
      </c>
      <c r="AB645">
        <v>0</v>
      </c>
      <c r="AC645">
        <v>12</v>
      </c>
      <c r="AD645">
        <v>0</v>
      </c>
      <c r="AE645">
        <v>5</v>
      </c>
      <c r="AF645">
        <v>56</v>
      </c>
      <c r="AG645">
        <v>42</v>
      </c>
      <c r="AH645">
        <v>35</v>
      </c>
      <c r="AI645">
        <v>0</v>
      </c>
      <c r="AJ645">
        <v>71</v>
      </c>
      <c r="AK645">
        <v>0</v>
      </c>
      <c r="AL645">
        <v>0</v>
      </c>
      <c r="AM645">
        <v>235</v>
      </c>
      <c r="AN645">
        <v>169</v>
      </c>
      <c r="AO645">
        <v>78</v>
      </c>
      <c r="AQ645" t="str">
        <f t="shared" si="10"/>
        <v>Defensive Forward</v>
      </c>
    </row>
    <row r="646" spans="1:43" x14ac:dyDescent="0.35">
      <c r="A646" t="s">
        <v>441</v>
      </c>
      <c r="B646" t="s">
        <v>47</v>
      </c>
      <c r="C646" t="s">
        <v>1512</v>
      </c>
      <c r="D646">
        <v>1992</v>
      </c>
      <c r="E646">
        <v>23</v>
      </c>
      <c r="F646" t="s">
        <v>56</v>
      </c>
      <c r="G646" t="s">
        <v>51</v>
      </c>
      <c r="H646">
        <v>1800000</v>
      </c>
      <c r="I646">
        <v>1800000</v>
      </c>
      <c r="J646" t="s">
        <v>52</v>
      </c>
      <c r="K646">
        <v>19</v>
      </c>
      <c r="L646">
        <v>556</v>
      </c>
      <c r="M646">
        <v>0</v>
      </c>
      <c r="N646">
        <v>263</v>
      </c>
      <c r="O646">
        <v>0</v>
      </c>
      <c r="P646">
        <v>1</v>
      </c>
      <c r="Q646">
        <v>0</v>
      </c>
      <c r="R646">
        <v>15</v>
      </c>
      <c r="S646">
        <v>0</v>
      </c>
      <c r="T646">
        <v>5</v>
      </c>
      <c r="U646">
        <v>0</v>
      </c>
      <c r="V646">
        <v>0</v>
      </c>
      <c r="W646">
        <v>20</v>
      </c>
      <c r="X646">
        <v>0</v>
      </c>
      <c r="Y646">
        <v>0</v>
      </c>
      <c r="Z646">
        <v>0</v>
      </c>
      <c r="AA646">
        <v>2</v>
      </c>
      <c r="AB646">
        <v>0</v>
      </c>
      <c r="AC646">
        <v>1</v>
      </c>
      <c r="AD646">
        <v>0</v>
      </c>
      <c r="AE646">
        <v>2</v>
      </c>
      <c r="AF646">
        <v>7</v>
      </c>
      <c r="AG646">
        <v>11</v>
      </c>
      <c r="AH646">
        <v>10</v>
      </c>
      <c r="AI646">
        <v>0</v>
      </c>
      <c r="AJ646">
        <v>19</v>
      </c>
      <c r="AK646">
        <v>0</v>
      </c>
      <c r="AL646">
        <v>0</v>
      </c>
      <c r="AM646">
        <v>37</v>
      </c>
      <c r="AN646">
        <v>26</v>
      </c>
      <c r="AO646">
        <v>19</v>
      </c>
      <c r="AQ646" t="str">
        <f t="shared" si="10"/>
        <v>Defensive Forward</v>
      </c>
    </row>
    <row r="647" spans="1:43" x14ac:dyDescent="0.35">
      <c r="A647" t="s">
        <v>442</v>
      </c>
      <c r="B647" t="s">
        <v>43</v>
      </c>
      <c r="C647" t="s">
        <v>1513</v>
      </c>
      <c r="D647">
        <v>1989</v>
      </c>
      <c r="E647">
        <v>28</v>
      </c>
      <c r="F647" t="s">
        <v>64</v>
      </c>
      <c r="G647" t="s">
        <v>51</v>
      </c>
      <c r="H647">
        <v>6300000</v>
      </c>
      <c r="I647">
        <v>7200000</v>
      </c>
      <c r="J647" t="s">
        <v>52</v>
      </c>
      <c r="K647">
        <v>28</v>
      </c>
      <c r="L647">
        <v>2388</v>
      </c>
      <c r="M647">
        <v>3</v>
      </c>
      <c r="N647">
        <v>888</v>
      </c>
      <c r="O647">
        <v>0</v>
      </c>
      <c r="P647">
        <v>8</v>
      </c>
      <c r="Q647">
        <v>0</v>
      </c>
      <c r="R647">
        <v>1</v>
      </c>
      <c r="S647">
        <v>2</v>
      </c>
      <c r="T647">
        <v>23</v>
      </c>
      <c r="U647">
        <v>10</v>
      </c>
      <c r="V647">
        <v>2</v>
      </c>
      <c r="W647">
        <v>108</v>
      </c>
      <c r="X647">
        <v>1</v>
      </c>
      <c r="Y647">
        <v>0</v>
      </c>
      <c r="Z647">
        <v>0</v>
      </c>
      <c r="AA647">
        <v>0</v>
      </c>
      <c r="AB647">
        <v>0</v>
      </c>
      <c r="AC647">
        <v>13</v>
      </c>
      <c r="AD647">
        <v>0</v>
      </c>
      <c r="AE647">
        <v>1</v>
      </c>
      <c r="AF647">
        <v>12</v>
      </c>
      <c r="AG647">
        <v>63</v>
      </c>
      <c r="AH647">
        <v>20</v>
      </c>
      <c r="AI647">
        <v>1</v>
      </c>
      <c r="AJ647">
        <v>47</v>
      </c>
      <c r="AK647">
        <v>1</v>
      </c>
      <c r="AL647">
        <v>0</v>
      </c>
      <c r="AM647">
        <v>213</v>
      </c>
      <c r="AN647">
        <v>116</v>
      </c>
      <c r="AO647">
        <v>66</v>
      </c>
      <c r="AQ647" t="str">
        <f t="shared" si="10"/>
        <v>Defensive Forward</v>
      </c>
    </row>
    <row r="648" spans="1:43" x14ac:dyDescent="0.35">
      <c r="A648" t="s">
        <v>442</v>
      </c>
      <c r="B648" t="s">
        <v>39</v>
      </c>
      <c r="C648" t="s">
        <v>1514</v>
      </c>
      <c r="D648">
        <v>1989</v>
      </c>
      <c r="E648">
        <v>26</v>
      </c>
      <c r="F648" t="s">
        <v>50</v>
      </c>
      <c r="G648" t="s">
        <v>51</v>
      </c>
      <c r="H648">
        <v>5400000</v>
      </c>
      <c r="I648">
        <v>6300000</v>
      </c>
      <c r="J648" t="s">
        <v>52</v>
      </c>
      <c r="K648">
        <v>25</v>
      </c>
      <c r="L648">
        <v>1963</v>
      </c>
      <c r="M648">
        <v>0</v>
      </c>
      <c r="N648">
        <v>835</v>
      </c>
      <c r="O648">
        <v>0</v>
      </c>
      <c r="P648">
        <v>4</v>
      </c>
      <c r="Q648">
        <v>0</v>
      </c>
      <c r="R648">
        <v>2</v>
      </c>
      <c r="S648">
        <v>6</v>
      </c>
      <c r="T648">
        <v>9</v>
      </c>
      <c r="U648">
        <v>1</v>
      </c>
      <c r="V648">
        <v>0</v>
      </c>
      <c r="W648">
        <v>51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15</v>
      </c>
      <c r="AF648">
        <v>10</v>
      </c>
      <c r="AG648">
        <v>54</v>
      </c>
      <c r="AH648">
        <v>17</v>
      </c>
      <c r="AI648">
        <v>0</v>
      </c>
      <c r="AJ648">
        <v>62</v>
      </c>
      <c r="AK648">
        <v>2</v>
      </c>
      <c r="AL648">
        <v>0</v>
      </c>
      <c r="AM648">
        <v>101</v>
      </c>
      <c r="AN648">
        <v>34</v>
      </c>
      <c r="AO648">
        <v>20</v>
      </c>
      <c r="AQ648" t="str">
        <f t="shared" si="10"/>
        <v>Defensive Forward</v>
      </c>
    </row>
    <row r="649" spans="1:43" x14ac:dyDescent="0.35">
      <c r="A649" t="s">
        <v>442</v>
      </c>
      <c r="B649" t="s">
        <v>47</v>
      </c>
      <c r="C649" t="s">
        <v>1515</v>
      </c>
      <c r="D649">
        <v>1989</v>
      </c>
      <c r="E649">
        <v>27</v>
      </c>
      <c r="F649" t="s">
        <v>64</v>
      </c>
      <c r="G649" t="s">
        <v>51</v>
      </c>
      <c r="H649">
        <v>6300000</v>
      </c>
      <c r="I649">
        <v>6300000</v>
      </c>
      <c r="J649" t="s">
        <v>52</v>
      </c>
      <c r="K649">
        <v>24</v>
      </c>
      <c r="L649">
        <v>1976</v>
      </c>
      <c r="M649">
        <v>3</v>
      </c>
      <c r="N649">
        <v>728</v>
      </c>
      <c r="O649">
        <v>0</v>
      </c>
      <c r="P649">
        <v>4</v>
      </c>
      <c r="Q649">
        <v>0</v>
      </c>
      <c r="R649">
        <v>0</v>
      </c>
      <c r="S649">
        <v>5</v>
      </c>
      <c r="T649">
        <v>14</v>
      </c>
      <c r="U649">
        <v>4</v>
      </c>
      <c r="V649">
        <v>0</v>
      </c>
      <c r="W649">
        <v>69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3</v>
      </c>
      <c r="AD649">
        <v>0</v>
      </c>
      <c r="AE649">
        <v>3</v>
      </c>
      <c r="AF649">
        <v>13</v>
      </c>
      <c r="AG649">
        <v>37</v>
      </c>
      <c r="AH649">
        <v>10</v>
      </c>
      <c r="AI649">
        <v>0</v>
      </c>
      <c r="AJ649">
        <v>28</v>
      </c>
      <c r="AK649">
        <v>0</v>
      </c>
      <c r="AL649">
        <v>0</v>
      </c>
      <c r="AM649">
        <v>124</v>
      </c>
      <c r="AN649">
        <v>58</v>
      </c>
      <c r="AO649">
        <v>40</v>
      </c>
      <c r="AQ649" t="str">
        <f t="shared" si="10"/>
        <v>Defensive Forward</v>
      </c>
    </row>
    <row r="650" spans="1:43" x14ac:dyDescent="0.35">
      <c r="A650" t="s">
        <v>442</v>
      </c>
      <c r="B650" t="s">
        <v>46</v>
      </c>
      <c r="C650" t="s">
        <v>1516</v>
      </c>
      <c r="D650">
        <v>1989</v>
      </c>
      <c r="E650">
        <v>29</v>
      </c>
      <c r="F650" t="s">
        <v>64</v>
      </c>
      <c r="G650" t="s">
        <v>51</v>
      </c>
      <c r="H650">
        <v>7200000</v>
      </c>
      <c r="I650">
        <v>7200000</v>
      </c>
      <c r="J650" t="s">
        <v>52</v>
      </c>
      <c r="K650">
        <v>29</v>
      </c>
      <c r="L650">
        <v>2562</v>
      </c>
      <c r="M650">
        <v>0</v>
      </c>
      <c r="N650">
        <v>1111</v>
      </c>
      <c r="O650">
        <v>0</v>
      </c>
      <c r="P650">
        <v>6</v>
      </c>
      <c r="Q650">
        <v>0</v>
      </c>
      <c r="R650">
        <v>0</v>
      </c>
      <c r="S650">
        <v>3</v>
      </c>
      <c r="T650">
        <v>22</v>
      </c>
      <c r="U650">
        <v>7</v>
      </c>
      <c r="V650">
        <v>0</v>
      </c>
      <c r="W650">
        <v>98</v>
      </c>
      <c r="X650">
        <v>0</v>
      </c>
      <c r="Y650">
        <v>0</v>
      </c>
      <c r="Z650">
        <v>0</v>
      </c>
      <c r="AA650">
        <v>1</v>
      </c>
      <c r="AB650">
        <v>0</v>
      </c>
      <c r="AC650">
        <v>15</v>
      </c>
      <c r="AD650">
        <v>0</v>
      </c>
      <c r="AE650">
        <v>0</v>
      </c>
      <c r="AF650">
        <v>10</v>
      </c>
      <c r="AG650">
        <v>34</v>
      </c>
      <c r="AH650">
        <v>16</v>
      </c>
      <c r="AI650">
        <v>0</v>
      </c>
      <c r="AJ650">
        <v>33</v>
      </c>
      <c r="AK650">
        <v>2</v>
      </c>
      <c r="AL650">
        <v>0</v>
      </c>
      <c r="AM650">
        <v>182</v>
      </c>
      <c r="AN650">
        <v>91</v>
      </c>
      <c r="AO650">
        <v>91</v>
      </c>
      <c r="AQ650" t="str">
        <f t="shared" si="10"/>
        <v>Defensive Forward</v>
      </c>
    </row>
    <row r="651" spans="1:43" x14ac:dyDescent="0.35">
      <c r="A651" t="s">
        <v>443</v>
      </c>
      <c r="B651" t="s">
        <v>39</v>
      </c>
      <c r="C651" t="s">
        <v>1517</v>
      </c>
      <c r="D651">
        <v>1994</v>
      </c>
      <c r="E651">
        <v>20</v>
      </c>
      <c r="F651" t="s">
        <v>220</v>
      </c>
      <c r="G651" t="s">
        <v>51</v>
      </c>
      <c r="H651">
        <v>12100000</v>
      </c>
      <c r="I651">
        <v>16500000</v>
      </c>
      <c r="J651" t="s">
        <v>55</v>
      </c>
      <c r="K651">
        <v>33</v>
      </c>
      <c r="L651">
        <v>1533</v>
      </c>
      <c r="M651">
        <v>2</v>
      </c>
      <c r="N651">
        <v>699</v>
      </c>
      <c r="O651">
        <v>4</v>
      </c>
      <c r="P651">
        <v>5</v>
      </c>
      <c r="Q651">
        <v>0</v>
      </c>
      <c r="R651">
        <v>19</v>
      </c>
      <c r="S651">
        <v>5</v>
      </c>
      <c r="T651">
        <v>28</v>
      </c>
      <c r="U651">
        <v>7</v>
      </c>
      <c r="V651">
        <v>0</v>
      </c>
      <c r="W651">
        <v>22</v>
      </c>
      <c r="X651">
        <v>0</v>
      </c>
      <c r="Y651">
        <v>1</v>
      </c>
      <c r="Z651">
        <v>1</v>
      </c>
      <c r="AA651">
        <v>1</v>
      </c>
      <c r="AB651">
        <v>3</v>
      </c>
      <c r="AC651">
        <v>0</v>
      </c>
      <c r="AD651">
        <v>53</v>
      </c>
      <c r="AE651">
        <v>93</v>
      </c>
      <c r="AF651">
        <v>6</v>
      </c>
      <c r="AG651">
        <v>22</v>
      </c>
      <c r="AH651">
        <v>21</v>
      </c>
      <c r="AI651">
        <v>0</v>
      </c>
      <c r="AJ651">
        <v>14</v>
      </c>
      <c r="AK651">
        <v>0</v>
      </c>
      <c r="AL651">
        <v>0</v>
      </c>
      <c r="AM651">
        <v>37</v>
      </c>
      <c r="AN651">
        <v>10</v>
      </c>
      <c r="AO651">
        <v>18</v>
      </c>
      <c r="AQ651" t="str">
        <f t="shared" si="10"/>
        <v>Midfielder</v>
      </c>
    </row>
    <row r="652" spans="1:43" x14ac:dyDescent="0.35">
      <c r="A652" t="s">
        <v>443</v>
      </c>
      <c r="B652" t="s">
        <v>47</v>
      </c>
      <c r="C652" t="s">
        <v>1518</v>
      </c>
      <c r="D652">
        <v>1994</v>
      </c>
      <c r="E652">
        <v>21</v>
      </c>
      <c r="F652" t="s">
        <v>220</v>
      </c>
      <c r="G652" t="s">
        <v>51</v>
      </c>
      <c r="H652">
        <v>19800000</v>
      </c>
      <c r="I652">
        <v>19800000</v>
      </c>
      <c r="J652" t="s">
        <v>55</v>
      </c>
      <c r="K652">
        <v>30</v>
      </c>
      <c r="L652">
        <v>1884</v>
      </c>
      <c r="M652">
        <v>4</v>
      </c>
      <c r="N652">
        <v>966</v>
      </c>
      <c r="O652">
        <v>4</v>
      </c>
      <c r="P652">
        <v>4</v>
      </c>
      <c r="Q652">
        <v>0</v>
      </c>
      <c r="R652">
        <v>8</v>
      </c>
      <c r="S652">
        <v>9</v>
      </c>
      <c r="T652">
        <v>42</v>
      </c>
      <c r="U652">
        <v>17</v>
      </c>
      <c r="V652">
        <v>0</v>
      </c>
      <c r="W652">
        <v>16</v>
      </c>
      <c r="X652">
        <v>0</v>
      </c>
      <c r="Y652">
        <v>0</v>
      </c>
      <c r="Z652">
        <v>0</v>
      </c>
      <c r="AA652">
        <v>1</v>
      </c>
      <c r="AB652">
        <v>3</v>
      </c>
      <c r="AC652">
        <v>5</v>
      </c>
      <c r="AD652">
        <v>77</v>
      </c>
      <c r="AE652">
        <v>143</v>
      </c>
      <c r="AF652">
        <v>2</v>
      </c>
      <c r="AG652">
        <v>19</v>
      </c>
      <c r="AH652">
        <v>27</v>
      </c>
      <c r="AI652">
        <v>0</v>
      </c>
      <c r="AJ652">
        <v>29</v>
      </c>
      <c r="AK652">
        <v>0</v>
      </c>
      <c r="AL652">
        <v>0</v>
      </c>
      <c r="AM652">
        <v>32</v>
      </c>
      <c r="AN652">
        <v>21</v>
      </c>
      <c r="AO652">
        <v>52</v>
      </c>
      <c r="AQ652" t="str">
        <f t="shared" si="10"/>
        <v>Midfielder</v>
      </c>
    </row>
    <row r="653" spans="1:43" x14ac:dyDescent="0.35">
      <c r="A653" t="s">
        <v>443</v>
      </c>
      <c r="B653" t="s">
        <v>46</v>
      </c>
      <c r="C653" t="s">
        <v>1519</v>
      </c>
      <c r="D653">
        <v>1994</v>
      </c>
      <c r="E653">
        <v>23</v>
      </c>
      <c r="F653" t="s">
        <v>220</v>
      </c>
      <c r="G653" t="s">
        <v>51</v>
      </c>
      <c r="H653">
        <v>16800000</v>
      </c>
      <c r="I653">
        <v>19800000</v>
      </c>
      <c r="J653" t="s">
        <v>55</v>
      </c>
      <c r="K653">
        <v>26</v>
      </c>
      <c r="L653">
        <v>1942</v>
      </c>
      <c r="M653">
        <v>7</v>
      </c>
      <c r="N653">
        <v>720</v>
      </c>
      <c r="O653">
        <v>0</v>
      </c>
      <c r="P653">
        <v>4</v>
      </c>
      <c r="Q653">
        <v>0</v>
      </c>
      <c r="R653">
        <v>5</v>
      </c>
      <c r="S653">
        <v>2</v>
      </c>
      <c r="T653">
        <v>31</v>
      </c>
      <c r="U653">
        <v>16</v>
      </c>
      <c r="V653">
        <v>0</v>
      </c>
      <c r="W653">
        <v>30</v>
      </c>
      <c r="X653">
        <v>0</v>
      </c>
      <c r="Y653">
        <v>0</v>
      </c>
      <c r="Z653">
        <v>2</v>
      </c>
      <c r="AA653">
        <v>3</v>
      </c>
      <c r="AB653">
        <v>0</v>
      </c>
      <c r="AC653">
        <v>15</v>
      </c>
      <c r="AD653">
        <v>92</v>
      </c>
      <c r="AE653">
        <v>145</v>
      </c>
      <c r="AF653">
        <v>6</v>
      </c>
      <c r="AG653">
        <v>27</v>
      </c>
      <c r="AH653">
        <v>22</v>
      </c>
      <c r="AI653">
        <v>0</v>
      </c>
      <c r="AJ653">
        <v>36</v>
      </c>
      <c r="AK653">
        <v>0</v>
      </c>
      <c r="AL653">
        <v>1</v>
      </c>
      <c r="AM653">
        <v>53</v>
      </c>
      <c r="AN653">
        <v>21</v>
      </c>
      <c r="AO653">
        <v>47</v>
      </c>
      <c r="AQ653" t="str">
        <f t="shared" si="10"/>
        <v>Midfielder</v>
      </c>
    </row>
    <row r="654" spans="1:43" x14ac:dyDescent="0.35">
      <c r="A654" t="s">
        <v>443</v>
      </c>
      <c r="B654" t="s">
        <v>43</v>
      </c>
      <c r="C654" t="s">
        <v>1520</v>
      </c>
      <c r="D654">
        <v>1994</v>
      </c>
      <c r="E654">
        <v>23</v>
      </c>
      <c r="F654" t="s">
        <v>220</v>
      </c>
      <c r="G654" t="s">
        <v>51</v>
      </c>
      <c r="H654">
        <v>5500000</v>
      </c>
      <c r="I654">
        <v>5500000</v>
      </c>
      <c r="J654" t="s">
        <v>55</v>
      </c>
      <c r="K654">
        <v>30</v>
      </c>
      <c r="L654">
        <v>1714</v>
      </c>
      <c r="M654">
        <v>3</v>
      </c>
      <c r="N654">
        <v>747</v>
      </c>
      <c r="O654">
        <v>3</v>
      </c>
      <c r="P654">
        <v>3</v>
      </c>
      <c r="Q654">
        <v>0</v>
      </c>
      <c r="R654">
        <v>10</v>
      </c>
      <c r="S654">
        <v>10</v>
      </c>
      <c r="T654">
        <v>28</v>
      </c>
      <c r="U654">
        <v>14</v>
      </c>
      <c r="V654">
        <v>1</v>
      </c>
      <c r="W654">
        <v>14</v>
      </c>
      <c r="X654">
        <v>0</v>
      </c>
      <c r="Y654">
        <v>0</v>
      </c>
      <c r="Z654">
        <v>1</v>
      </c>
      <c r="AA654">
        <v>0</v>
      </c>
      <c r="AB654">
        <v>0</v>
      </c>
      <c r="AC654">
        <v>14</v>
      </c>
      <c r="AD654">
        <v>93</v>
      </c>
      <c r="AE654">
        <v>159</v>
      </c>
      <c r="AF654">
        <v>1</v>
      </c>
      <c r="AG654">
        <v>8</v>
      </c>
      <c r="AH654">
        <v>18</v>
      </c>
      <c r="AI654">
        <v>0</v>
      </c>
      <c r="AJ654">
        <v>23</v>
      </c>
      <c r="AK654">
        <v>0</v>
      </c>
      <c r="AL654">
        <v>0</v>
      </c>
      <c r="AM654">
        <v>18</v>
      </c>
      <c r="AN654">
        <v>21</v>
      </c>
      <c r="AO654">
        <v>50</v>
      </c>
      <c r="AQ654" t="str">
        <f t="shared" si="10"/>
        <v>Midfielder</v>
      </c>
    </row>
    <row r="655" spans="1:43" x14ac:dyDescent="0.35">
      <c r="A655" t="s">
        <v>444</v>
      </c>
      <c r="B655" t="s">
        <v>39</v>
      </c>
      <c r="C655" t="s">
        <v>1521</v>
      </c>
      <c r="D655">
        <v>1987</v>
      </c>
      <c r="E655">
        <v>28</v>
      </c>
      <c r="F655" t="s">
        <v>99</v>
      </c>
      <c r="G655" t="s">
        <v>51</v>
      </c>
      <c r="H655">
        <v>5000000</v>
      </c>
      <c r="I655">
        <v>16200000</v>
      </c>
      <c r="J655" t="s">
        <v>42</v>
      </c>
      <c r="K655">
        <v>36</v>
      </c>
      <c r="L655">
        <v>3139</v>
      </c>
      <c r="M655">
        <v>24</v>
      </c>
      <c r="N655">
        <v>625</v>
      </c>
      <c r="O655">
        <v>6</v>
      </c>
      <c r="P655">
        <v>5</v>
      </c>
      <c r="Q655">
        <v>0</v>
      </c>
      <c r="R655">
        <v>0</v>
      </c>
      <c r="S655">
        <v>7</v>
      </c>
      <c r="T655">
        <v>115</v>
      </c>
      <c r="U655">
        <v>53</v>
      </c>
      <c r="V655">
        <v>6</v>
      </c>
      <c r="W655">
        <v>6</v>
      </c>
      <c r="X655">
        <v>2</v>
      </c>
      <c r="Y655">
        <v>5</v>
      </c>
      <c r="Z655">
        <v>0</v>
      </c>
      <c r="AA655">
        <v>26</v>
      </c>
      <c r="AB655">
        <v>3</v>
      </c>
      <c r="AC655">
        <v>22</v>
      </c>
      <c r="AD655">
        <v>2</v>
      </c>
      <c r="AE655">
        <v>49</v>
      </c>
      <c r="AF655">
        <v>3</v>
      </c>
      <c r="AG655">
        <v>18</v>
      </c>
      <c r="AH655">
        <v>42</v>
      </c>
      <c r="AI655">
        <v>0</v>
      </c>
      <c r="AJ655">
        <v>35</v>
      </c>
      <c r="AK655">
        <v>0</v>
      </c>
      <c r="AL655">
        <v>0</v>
      </c>
      <c r="AM655">
        <v>7</v>
      </c>
      <c r="AN655">
        <v>92</v>
      </c>
      <c r="AO655">
        <v>198</v>
      </c>
      <c r="AQ655" t="str">
        <f t="shared" si="10"/>
        <v>Forward</v>
      </c>
    </row>
    <row r="656" spans="1:43" x14ac:dyDescent="0.35">
      <c r="A656" t="s">
        <v>444</v>
      </c>
      <c r="B656" t="s">
        <v>47</v>
      </c>
      <c r="C656" t="s">
        <v>1522</v>
      </c>
      <c r="D656">
        <v>1987</v>
      </c>
      <c r="E656">
        <v>29</v>
      </c>
      <c r="F656" t="s">
        <v>99</v>
      </c>
      <c r="G656" t="s">
        <v>51</v>
      </c>
      <c r="H656">
        <v>16200000</v>
      </c>
      <c r="I656">
        <v>13500000</v>
      </c>
      <c r="J656" t="s">
        <v>42</v>
      </c>
      <c r="K656">
        <v>35</v>
      </c>
      <c r="L656">
        <v>2808</v>
      </c>
      <c r="M656">
        <v>13</v>
      </c>
      <c r="N656">
        <v>529</v>
      </c>
      <c r="O656">
        <v>5</v>
      </c>
      <c r="P656">
        <v>2</v>
      </c>
      <c r="Q656">
        <v>0</v>
      </c>
      <c r="R656">
        <v>2</v>
      </c>
      <c r="S656">
        <v>8</v>
      </c>
      <c r="T656">
        <v>53</v>
      </c>
      <c r="U656">
        <v>26</v>
      </c>
      <c r="V656">
        <v>0</v>
      </c>
      <c r="W656">
        <v>4</v>
      </c>
      <c r="X656">
        <v>0</v>
      </c>
      <c r="Y656">
        <v>0</v>
      </c>
      <c r="Z656">
        <v>0</v>
      </c>
      <c r="AA656">
        <v>25</v>
      </c>
      <c r="AB656">
        <v>0</v>
      </c>
      <c r="AC656">
        <v>6</v>
      </c>
      <c r="AD656">
        <v>1</v>
      </c>
      <c r="AE656">
        <v>47</v>
      </c>
      <c r="AF656">
        <v>0</v>
      </c>
      <c r="AG656">
        <v>8</v>
      </c>
      <c r="AH656">
        <v>26</v>
      </c>
      <c r="AI656">
        <v>0</v>
      </c>
      <c r="AJ656">
        <v>15</v>
      </c>
      <c r="AK656">
        <v>0</v>
      </c>
      <c r="AL656">
        <v>0</v>
      </c>
      <c r="AM656">
        <v>9</v>
      </c>
      <c r="AN656">
        <v>90</v>
      </c>
      <c r="AO656">
        <v>121</v>
      </c>
      <c r="AQ656" t="str">
        <f t="shared" si="10"/>
        <v>Forward</v>
      </c>
    </row>
    <row r="657" spans="1:43" x14ac:dyDescent="0.35">
      <c r="A657" t="s">
        <v>444</v>
      </c>
      <c r="B657" t="s">
        <v>43</v>
      </c>
      <c r="C657" t="s">
        <v>1523</v>
      </c>
      <c r="D657">
        <v>1987</v>
      </c>
      <c r="E657">
        <v>30</v>
      </c>
      <c r="F657" t="s">
        <v>99</v>
      </c>
      <c r="G657" t="s">
        <v>51</v>
      </c>
      <c r="H657">
        <v>13500000</v>
      </c>
      <c r="I657">
        <v>18000000</v>
      </c>
      <c r="J657" t="s">
        <v>42</v>
      </c>
      <c r="K657">
        <v>37</v>
      </c>
      <c r="L657">
        <v>3255</v>
      </c>
      <c r="M657">
        <v>20</v>
      </c>
      <c r="N657">
        <v>463</v>
      </c>
      <c r="O657">
        <v>1</v>
      </c>
      <c r="P657">
        <v>3</v>
      </c>
      <c r="Q657">
        <v>0</v>
      </c>
      <c r="R657">
        <v>0</v>
      </c>
      <c r="S657">
        <v>11</v>
      </c>
      <c r="T657">
        <v>71</v>
      </c>
      <c r="U657">
        <v>35</v>
      </c>
      <c r="V657">
        <v>0</v>
      </c>
      <c r="W657">
        <v>12</v>
      </c>
      <c r="X657">
        <v>3</v>
      </c>
      <c r="Y657">
        <v>5</v>
      </c>
      <c r="Z657">
        <v>0</v>
      </c>
      <c r="AA657">
        <v>44</v>
      </c>
      <c r="AB657">
        <v>1</v>
      </c>
      <c r="AC657">
        <v>36</v>
      </c>
      <c r="AD657">
        <v>1</v>
      </c>
      <c r="AE657">
        <v>39</v>
      </c>
      <c r="AF657">
        <v>1</v>
      </c>
      <c r="AG657">
        <v>2</v>
      </c>
      <c r="AH657">
        <v>29</v>
      </c>
      <c r="AI657">
        <v>0</v>
      </c>
      <c r="AJ657">
        <v>15</v>
      </c>
      <c r="AK657">
        <v>0</v>
      </c>
      <c r="AL657">
        <v>0</v>
      </c>
      <c r="AM657">
        <v>17</v>
      </c>
      <c r="AN657">
        <v>76</v>
      </c>
      <c r="AO657">
        <v>124</v>
      </c>
      <c r="AQ657" t="str">
        <f t="shared" si="10"/>
        <v>Forward</v>
      </c>
    </row>
    <row r="658" spans="1:43" x14ac:dyDescent="0.35">
      <c r="A658" t="s">
        <v>444</v>
      </c>
      <c r="B658" t="s">
        <v>46</v>
      </c>
      <c r="C658" t="s">
        <v>1524</v>
      </c>
      <c r="D658">
        <v>1987</v>
      </c>
      <c r="E658">
        <v>31</v>
      </c>
      <c r="F658" t="s">
        <v>99</v>
      </c>
      <c r="G658" t="s">
        <v>51</v>
      </c>
      <c r="H658">
        <v>18000000</v>
      </c>
      <c r="I658">
        <v>18000000</v>
      </c>
      <c r="J658" t="s">
        <v>42</v>
      </c>
      <c r="K658">
        <v>34</v>
      </c>
      <c r="L658">
        <v>2728</v>
      </c>
      <c r="M658">
        <v>18</v>
      </c>
      <c r="N658">
        <v>416</v>
      </c>
      <c r="O658">
        <v>4</v>
      </c>
      <c r="P658">
        <v>3</v>
      </c>
      <c r="Q658">
        <v>1</v>
      </c>
      <c r="R658">
        <v>4</v>
      </c>
      <c r="S658">
        <v>12</v>
      </c>
      <c r="T658">
        <v>79</v>
      </c>
      <c r="U658">
        <v>40</v>
      </c>
      <c r="V658">
        <v>3</v>
      </c>
      <c r="W658">
        <v>21</v>
      </c>
      <c r="X658">
        <v>3</v>
      </c>
      <c r="Y658">
        <v>4</v>
      </c>
      <c r="Z658">
        <v>0</v>
      </c>
      <c r="AA658">
        <v>37</v>
      </c>
      <c r="AB658">
        <v>3</v>
      </c>
      <c r="AC658">
        <v>39</v>
      </c>
      <c r="AD658">
        <v>0</v>
      </c>
      <c r="AE658">
        <v>28</v>
      </c>
      <c r="AF658">
        <v>1</v>
      </c>
      <c r="AG658">
        <v>6</v>
      </c>
      <c r="AH658">
        <v>19</v>
      </c>
      <c r="AI658">
        <v>0</v>
      </c>
      <c r="AJ658">
        <v>14</v>
      </c>
      <c r="AK658">
        <v>0</v>
      </c>
      <c r="AL658">
        <v>0</v>
      </c>
      <c r="AM658">
        <v>27</v>
      </c>
      <c r="AN658">
        <v>67</v>
      </c>
      <c r="AO658">
        <v>109</v>
      </c>
      <c r="AQ658" t="str">
        <f t="shared" si="10"/>
        <v>Forward</v>
      </c>
    </row>
    <row r="659" spans="1:43" x14ac:dyDescent="0.35">
      <c r="A659" t="s">
        <v>445</v>
      </c>
      <c r="B659" t="s">
        <v>46</v>
      </c>
      <c r="C659" t="s">
        <v>1525</v>
      </c>
      <c r="D659">
        <v>1996</v>
      </c>
      <c r="E659">
        <v>22</v>
      </c>
      <c r="F659" t="s">
        <v>220</v>
      </c>
      <c r="G659" t="s">
        <v>397</v>
      </c>
      <c r="H659">
        <v>4500000</v>
      </c>
      <c r="I659">
        <v>13500000</v>
      </c>
      <c r="J659" t="s">
        <v>52</v>
      </c>
      <c r="K659">
        <v>25</v>
      </c>
      <c r="L659">
        <v>2150</v>
      </c>
      <c r="M659">
        <v>0</v>
      </c>
      <c r="N659">
        <v>822</v>
      </c>
      <c r="O659">
        <v>1</v>
      </c>
      <c r="P659">
        <v>7</v>
      </c>
      <c r="Q659">
        <v>0</v>
      </c>
      <c r="R659">
        <v>1</v>
      </c>
      <c r="S659">
        <v>1</v>
      </c>
      <c r="T659">
        <v>5</v>
      </c>
      <c r="U659">
        <v>1</v>
      </c>
      <c r="V659">
        <v>0</v>
      </c>
      <c r="W659">
        <v>76</v>
      </c>
      <c r="X659">
        <v>0</v>
      </c>
      <c r="Y659">
        <v>0</v>
      </c>
      <c r="Z659">
        <v>0</v>
      </c>
      <c r="AA659">
        <v>0</v>
      </c>
      <c r="AB659">
        <v>3</v>
      </c>
      <c r="AC659">
        <v>4</v>
      </c>
      <c r="AD659">
        <v>0</v>
      </c>
      <c r="AE659">
        <v>1</v>
      </c>
      <c r="AF659">
        <v>27</v>
      </c>
      <c r="AG659">
        <v>71</v>
      </c>
      <c r="AH659">
        <v>22</v>
      </c>
      <c r="AI659">
        <v>1</v>
      </c>
      <c r="AJ659">
        <v>41</v>
      </c>
      <c r="AK659">
        <v>0</v>
      </c>
      <c r="AL659">
        <v>0</v>
      </c>
      <c r="AM659">
        <v>168</v>
      </c>
      <c r="AN659">
        <v>80</v>
      </c>
      <c r="AO659">
        <v>61</v>
      </c>
      <c r="AQ659" t="str">
        <f t="shared" si="10"/>
        <v>Defensive Forward</v>
      </c>
    </row>
    <row r="660" spans="1:43" x14ac:dyDescent="0.35">
      <c r="A660" t="s">
        <v>446</v>
      </c>
      <c r="B660" t="s">
        <v>39</v>
      </c>
      <c r="C660" t="s">
        <v>1526</v>
      </c>
      <c r="D660">
        <v>1990</v>
      </c>
      <c r="E660">
        <v>24</v>
      </c>
      <c r="F660" t="s">
        <v>78</v>
      </c>
      <c r="G660" t="s">
        <v>146</v>
      </c>
      <c r="H660">
        <v>1800000</v>
      </c>
      <c r="I660">
        <v>2700000</v>
      </c>
      <c r="J660" t="s">
        <v>52</v>
      </c>
      <c r="K660">
        <v>15</v>
      </c>
      <c r="L660">
        <v>1083</v>
      </c>
      <c r="M660">
        <v>0</v>
      </c>
      <c r="N660">
        <v>553</v>
      </c>
      <c r="O660">
        <v>0</v>
      </c>
      <c r="P660">
        <v>0</v>
      </c>
      <c r="Q660">
        <v>0</v>
      </c>
      <c r="R660">
        <v>1</v>
      </c>
      <c r="S660">
        <v>10</v>
      </c>
      <c r="T660">
        <v>8</v>
      </c>
      <c r="U660">
        <v>0</v>
      </c>
      <c r="V660">
        <v>0</v>
      </c>
      <c r="W660">
        <v>27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5</v>
      </c>
      <c r="AF660">
        <v>3</v>
      </c>
      <c r="AG660">
        <v>35</v>
      </c>
      <c r="AH660">
        <v>20</v>
      </c>
      <c r="AI660">
        <v>0</v>
      </c>
      <c r="AJ660">
        <v>51</v>
      </c>
      <c r="AK660">
        <v>0</v>
      </c>
      <c r="AL660">
        <v>0</v>
      </c>
      <c r="AM660">
        <v>49</v>
      </c>
      <c r="AN660">
        <v>35</v>
      </c>
      <c r="AO660">
        <v>42</v>
      </c>
      <c r="AQ660" t="str">
        <f t="shared" si="10"/>
        <v>Defensive Forward</v>
      </c>
    </row>
    <row r="661" spans="1:43" x14ac:dyDescent="0.35">
      <c r="A661" t="s">
        <v>447</v>
      </c>
      <c r="B661" t="s">
        <v>47</v>
      </c>
      <c r="C661" t="s">
        <v>1527</v>
      </c>
      <c r="D661">
        <v>1987</v>
      </c>
      <c r="E661">
        <v>29</v>
      </c>
      <c r="F661" t="s">
        <v>191</v>
      </c>
      <c r="G661" t="s">
        <v>95</v>
      </c>
      <c r="H661">
        <v>20100000</v>
      </c>
      <c r="I661">
        <v>25200000</v>
      </c>
      <c r="J661" t="s">
        <v>52</v>
      </c>
      <c r="K661">
        <v>33</v>
      </c>
      <c r="L661">
        <v>2897</v>
      </c>
      <c r="M661">
        <v>0</v>
      </c>
      <c r="N661">
        <v>2051</v>
      </c>
      <c r="O661">
        <v>0</v>
      </c>
      <c r="P661">
        <v>5</v>
      </c>
      <c r="Q661">
        <v>0</v>
      </c>
      <c r="R661">
        <v>0</v>
      </c>
      <c r="S661">
        <v>3</v>
      </c>
      <c r="T661">
        <v>14</v>
      </c>
      <c r="U661">
        <v>4</v>
      </c>
      <c r="V661">
        <v>2</v>
      </c>
      <c r="W661">
        <v>128</v>
      </c>
      <c r="X661">
        <v>0</v>
      </c>
      <c r="Y661">
        <v>0</v>
      </c>
      <c r="Z661">
        <v>0</v>
      </c>
      <c r="AA661">
        <v>0</v>
      </c>
      <c r="AB661">
        <v>1</v>
      </c>
      <c r="AC661">
        <v>0</v>
      </c>
      <c r="AD661">
        <v>0</v>
      </c>
      <c r="AE661">
        <v>9</v>
      </c>
      <c r="AF661">
        <v>21</v>
      </c>
      <c r="AG661">
        <v>42</v>
      </c>
      <c r="AH661">
        <v>21</v>
      </c>
      <c r="AI661">
        <v>0</v>
      </c>
      <c r="AJ661">
        <v>43</v>
      </c>
      <c r="AK661">
        <v>2</v>
      </c>
      <c r="AL661">
        <v>0</v>
      </c>
      <c r="AM661">
        <v>230</v>
      </c>
      <c r="AN661">
        <v>106</v>
      </c>
      <c r="AO661">
        <v>34</v>
      </c>
      <c r="AQ661" t="str">
        <f t="shared" si="10"/>
        <v>Defensive Forward</v>
      </c>
    </row>
    <row r="662" spans="1:43" x14ac:dyDescent="0.35">
      <c r="A662" t="s">
        <v>447</v>
      </c>
      <c r="B662" t="s">
        <v>46</v>
      </c>
      <c r="C662" t="s">
        <v>1528</v>
      </c>
      <c r="D662">
        <v>1987</v>
      </c>
      <c r="E662">
        <v>31</v>
      </c>
      <c r="F662" t="s">
        <v>191</v>
      </c>
      <c r="G662" t="s">
        <v>95</v>
      </c>
      <c r="H662">
        <v>28800000</v>
      </c>
      <c r="I662">
        <v>25200000</v>
      </c>
      <c r="J662" t="s">
        <v>52</v>
      </c>
      <c r="K662">
        <v>22</v>
      </c>
      <c r="L662">
        <v>1914</v>
      </c>
      <c r="M662">
        <v>0</v>
      </c>
      <c r="N662">
        <v>1531</v>
      </c>
      <c r="O662">
        <v>0</v>
      </c>
      <c r="P662">
        <v>3</v>
      </c>
      <c r="Q662">
        <v>1</v>
      </c>
      <c r="R662">
        <v>0</v>
      </c>
      <c r="S662">
        <v>3</v>
      </c>
      <c r="T662">
        <v>15</v>
      </c>
      <c r="U662">
        <v>2</v>
      </c>
      <c r="V662">
        <v>0</v>
      </c>
      <c r="W662">
        <v>36</v>
      </c>
      <c r="X662">
        <v>1</v>
      </c>
      <c r="Y662">
        <v>0</v>
      </c>
      <c r="Z662">
        <v>0</v>
      </c>
      <c r="AA662">
        <v>1</v>
      </c>
      <c r="AB662">
        <v>0</v>
      </c>
      <c r="AC662">
        <v>13</v>
      </c>
      <c r="AD662">
        <v>0</v>
      </c>
      <c r="AE662">
        <v>28</v>
      </c>
      <c r="AF662">
        <v>11</v>
      </c>
      <c r="AG662">
        <v>32</v>
      </c>
      <c r="AH662">
        <v>10</v>
      </c>
      <c r="AI662">
        <v>0</v>
      </c>
      <c r="AJ662">
        <v>38</v>
      </c>
      <c r="AK662">
        <v>0</v>
      </c>
      <c r="AL662">
        <v>0</v>
      </c>
      <c r="AM662">
        <v>72</v>
      </c>
      <c r="AN662">
        <v>51</v>
      </c>
      <c r="AO662">
        <v>27</v>
      </c>
      <c r="AQ662" t="str">
        <f t="shared" si="10"/>
        <v>Defensive Forward</v>
      </c>
    </row>
    <row r="663" spans="1:43" x14ac:dyDescent="0.35">
      <c r="A663" t="s">
        <v>447</v>
      </c>
      <c r="B663" t="s">
        <v>43</v>
      </c>
      <c r="C663" t="s">
        <v>1529</v>
      </c>
      <c r="D663">
        <v>1987</v>
      </c>
      <c r="E663">
        <v>30</v>
      </c>
      <c r="F663" t="s">
        <v>191</v>
      </c>
      <c r="G663" t="s">
        <v>95</v>
      </c>
      <c r="H663">
        <v>25200000</v>
      </c>
      <c r="I663">
        <v>28800000</v>
      </c>
      <c r="J663" t="s">
        <v>52</v>
      </c>
      <c r="K663">
        <v>36</v>
      </c>
      <c r="L663">
        <v>3205</v>
      </c>
      <c r="M663">
        <v>0</v>
      </c>
      <c r="N663">
        <v>2488</v>
      </c>
      <c r="O663">
        <v>0</v>
      </c>
      <c r="P663">
        <v>4</v>
      </c>
      <c r="Q663">
        <v>0</v>
      </c>
      <c r="R663">
        <v>0</v>
      </c>
      <c r="S663">
        <v>2</v>
      </c>
      <c r="T663">
        <v>24</v>
      </c>
      <c r="U663">
        <v>4</v>
      </c>
      <c r="V663">
        <v>1</v>
      </c>
      <c r="W663">
        <v>85</v>
      </c>
      <c r="X663">
        <v>0</v>
      </c>
      <c r="Y663">
        <v>0</v>
      </c>
      <c r="Z663">
        <v>0</v>
      </c>
      <c r="AA663">
        <v>0</v>
      </c>
      <c r="AB663">
        <v>2</v>
      </c>
      <c r="AC663">
        <v>20</v>
      </c>
      <c r="AD663">
        <v>0</v>
      </c>
      <c r="AE663">
        <v>15</v>
      </c>
      <c r="AF663">
        <v>11</v>
      </c>
      <c r="AG663">
        <v>60</v>
      </c>
      <c r="AH663">
        <v>20</v>
      </c>
      <c r="AI663">
        <v>0</v>
      </c>
      <c r="AJ663">
        <v>64</v>
      </c>
      <c r="AK663">
        <v>0</v>
      </c>
      <c r="AL663">
        <v>0</v>
      </c>
      <c r="AM663">
        <v>170</v>
      </c>
      <c r="AN663">
        <v>118</v>
      </c>
      <c r="AO663">
        <v>66</v>
      </c>
      <c r="AQ663" t="str">
        <f t="shared" si="10"/>
        <v>Defensive Forward</v>
      </c>
    </row>
    <row r="664" spans="1:43" x14ac:dyDescent="0.35">
      <c r="A664" t="s">
        <v>447</v>
      </c>
      <c r="B664" t="s">
        <v>39</v>
      </c>
      <c r="C664" t="s">
        <v>1530</v>
      </c>
      <c r="D664">
        <v>1987</v>
      </c>
      <c r="E664">
        <v>28</v>
      </c>
      <c r="F664" t="s">
        <v>191</v>
      </c>
      <c r="G664" t="s">
        <v>95</v>
      </c>
      <c r="H664">
        <v>17100000</v>
      </c>
      <c r="I664">
        <v>20100000</v>
      </c>
      <c r="J664" t="s">
        <v>52</v>
      </c>
      <c r="K664">
        <v>29</v>
      </c>
      <c r="L664">
        <v>2595</v>
      </c>
      <c r="M664">
        <v>0</v>
      </c>
      <c r="N664">
        <v>1474</v>
      </c>
      <c r="O664">
        <v>0</v>
      </c>
      <c r="P664">
        <v>5</v>
      </c>
      <c r="Q664">
        <v>0</v>
      </c>
      <c r="R664">
        <v>0</v>
      </c>
      <c r="S664">
        <v>1</v>
      </c>
      <c r="T664">
        <v>11</v>
      </c>
      <c r="U664">
        <v>2</v>
      </c>
      <c r="V664">
        <v>0</v>
      </c>
      <c r="W664">
        <v>107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2</v>
      </c>
      <c r="AF664">
        <v>18</v>
      </c>
      <c r="AG664">
        <v>63</v>
      </c>
      <c r="AH664">
        <v>17</v>
      </c>
      <c r="AI664">
        <v>0</v>
      </c>
      <c r="AJ664">
        <v>48</v>
      </c>
      <c r="AK664">
        <v>0</v>
      </c>
      <c r="AL664">
        <v>0</v>
      </c>
      <c r="AM664">
        <v>174</v>
      </c>
      <c r="AN664">
        <v>54</v>
      </c>
      <c r="AO664">
        <v>36</v>
      </c>
      <c r="AQ664" t="str">
        <f t="shared" si="10"/>
        <v>Defensive Forward</v>
      </c>
    </row>
    <row r="665" spans="1:43" x14ac:dyDescent="0.35">
      <c r="A665" t="s">
        <v>448</v>
      </c>
      <c r="B665" t="s">
        <v>46</v>
      </c>
      <c r="C665" t="s">
        <v>1531</v>
      </c>
      <c r="D665">
        <v>1992</v>
      </c>
      <c r="E665">
        <v>25</v>
      </c>
      <c r="F665" t="s">
        <v>220</v>
      </c>
      <c r="G665" t="s">
        <v>152</v>
      </c>
      <c r="H665">
        <v>12600000</v>
      </c>
      <c r="I665">
        <v>18000000</v>
      </c>
      <c r="J665" t="s">
        <v>52</v>
      </c>
      <c r="K665">
        <v>23</v>
      </c>
      <c r="L665">
        <v>2030</v>
      </c>
      <c r="M665">
        <v>0</v>
      </c>
      <c r="N665">
        <v>845</v>
      </c>
      <c r="O665">
        <v>0</v>
      </c>
      <c r="P665">
        <v>2</v>
      </c>
      <c r="Q665">
        <v>0</v>
      </c>
      <c r="R665">
        <v>0</v>
      </c>
      <c r="S665">
        <v>3</v>
      </c>
      <c r="T665">
        <v>14</v>
      </c>
      <c r="U665">
        <v>0</v>
      </c>
      <c r="V665">
        <v>0</v>
      </c>
      <c r="W665">
        <v>103</v>
      </c>
      <c r="X665">
        <v>0</v>
      </c>
      <c r="Y665">
        <v>0</v>
      </c>
      <c r="Z665">
        <v>0</v>
      </c>
      <c r="AA665">
        <v>1</v>
      </c>
      <c r="AB665">
        <v>3</v>
      </c>
      <c r="AC665">
        <v>14</v>
      </c>
      <c r="AD665">
        <v>0</v>
      </c>
      <c r="AE665">
        <v>0</v>
      </c>
      <c r="AF665">
        <v>20</v>
      </c>
      <c r="AG665">
        <v>35</v>
      </c>
      <c r="AH665">
        <v>17</v>
      </c>
      <c r="AI665">
        <v>0</v>
      </c>
      <c r="AJ665">
        <v>53</v>
      </c>
      <c r="AK665">
        <v>0</v>
      </c>
      <c r="AL665">
        <v>0</v>
      </c>
      <c r="AM665">
        <v>171</v>
      </c>
      <c r="AN665">
        <v>84</v>
      </c>
      <c r="AO665">
        <v>53</v>
      </c>
      <c r="AQ665" t="str">
        <f t="shared" si="10"/>
        <v>Defensive Forward</v>
      </c>
    </row>
    <row r="666" spans="1:43" x14ac:dyDescent="0.35">
      <c r="A666" t="s">
        <v>449</v>
      </c>
      <c r="B666" t="s">
        <v>47</v>
      </c>
      <c r="C666" t="s">
        <v>1532</v>
      </c>
      <c r="D666">
        <v>1995</v>
      </c>
      <c r="E666">
        <v>21</v>
      </c>
      <c r="F666" t="s">
        <v>78</v>
      </c>
      <c r="G666" t="s">
        <v>95</v>
      </c>
      <c r="H666">
        <v>3300000</v>
      </c>
      <c r="I666">
        <v>6600000</v>
      </c>
      <c r="J666" t="s">
        <v>52</v>
      </c>
      <c r="K666">
        <v>24</v>
      </c>
      <c r="L666">
        <v>1878</v>
      </c>
      <c r="M666">
        <v>0</v>
      </c>
      <c r="N666">
        <v>586</v>
      </c>
      <c r="O666">
        <v>0</v>
      </c>
      <c r="P666">
        <v>2</v>
      </c>
      <c r="Q666">
        <v>0</v>
      </c>
      <c r="R666">
        <v>2</v>
      </c>
      <c r="S666">
        <v>5</v>
      </c>
      <c r="T666">
        <v>6</v>
      </c>
      <c r="U666">
        <v>2</v>
      </c>
      <c r="V666">
        <v>0</v>
      </c>
      <c r="W666">
        <v>44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10</v>
      </c>
      <c r="AF666">
        <v>19</v>
      </c>
      <c r="AG666">
        <v>34</v>
      </c>
      <c r="AH666">
        <v>17</v>
      </c>
      <c r="AI666">
        <v>0</v>
      </c>
      <c r="AJ666">
        <v>35</v>
      </c>
      <c r="AK666">
        <v>0</v>
      </c>
      <c r="AL666">
        <v>1</v>
      </c>
      <c r="AM666">
        <v>80</v>
      </c>
      <c r="AN666">
        <v>27</v>
      </c>
      <c r="AO666">
        <v>35</v>
      </c>
      <c r="AQ666" t="str">
        <f t="shared" si="10"/>
        <v>Defensive Forward</v>
      </c>
    </row>
    <row r="667" spans="1:43" x14ac:dyDescent="0.35">
      <c r="A667" t="s">
        <v>450</v>
      </c>
      <c r="B667" t="s">
        <v>39</v>
      </c>
      <c r="C667" t="s">
        <v>1533</v>
      </c>
      <c r="D667">
        <v>1986</v>
      </c>
      <c r="E667">
        <v>29</v>
      </c>
      <c r="F667" t="s">
        <v>64</v>
      </c>
      <c r="G667" t="s">
        <v>51</v>
      </c>
      <c r="H667">
        <v>5500000</v>
      </c>
      <c r="I667">
        <v>6050000</v>
      </c>
      <c r="J667" t="s">
        <v>55</v>
      </c>
      <c r="K667">
        <v>31</v>
      </c>
      <c r="L667">
        <v>2624</v>
      </c>
      <c r="M667">
        <v>2</v>
      </c>
      <c r="N667">
        <v>1240</v>
      </c>
      <c r="O667">
        <v>3</v>
      </c>
      <c r="P667">
        <v>3</v>
      </c>
      <c r="Q667">
        <v>0</v>
      </c>
      <c r="R667">
        <v>0</v>
      </c>
      <c r="S667">
        <v>10</v>
      </c>
      <c r="T667">
        <v>54</v>
      </c>
      <c r="U667">
        <v>14</v>
      </c>
      <c r="V667">
        <v>0</v>
      </c>
      <c r="W667">
        <v>5</v>
      </c>
      <c r="X667">
        <v>0</v>
      </c>
      <c r="Y667">
        <v>0</v>
      </c>
      <c r="Z667">
        <v>0</v>
      </c>
      <c r="AA667">
        <v>5</v>
      </c>
      <c r="AB667">
        <v>5</v>
      </c>
      <c r="AC667">
        <v>4</v>
      </c>
      <c r="AD667">
        <v>74</v>
      </c>
      <c r="AE667">
        <v>151</v>
      </c>
      <c r="AF667">
        <v>3</v>
      </c>
      <c r="AG667">
        <v>28</v>
      </c>
      <c r="AH667">
        <v>34</v>
      </c>
      <c r="AI667">
        <v>0</v>
      </c>
      <c r="AJ667">
        <v>54</v>
      </c>
      <c r="AK667">
        <v>0</v>
      </c>
      <c r="AL667">
        <v>0</v>
      </c>
      <c r="AM667">
        <v>14</v>
      </c>
      <c r="AN667">
        <v>13</v>
      </c>
      <c r="AO667">
        <v>16</v>
      </c>
      <c r="AQ667" t="str">
        <f t="shared" si="10"/>
        <v>Midfielder</v>
      </c>
    </row>
    <row r="668" spans="1:43" x14ac:dyDescent="0.35">
      <c r="A668" t="s">
        <v>450</v>
      </c>
      <c r="B668" t="s">
        <v>47</v>
      </c>
      <c r="C668" t="s">
        <v>1534</v>
      </c>
      <c r="D668">
        <v>1986</v>
      </c>
      <c r="E668">
        <v>30</v>
      </c>
      <c r="F668" t="s">
        <v>64</v>
      </c>
      <c r="G668" t="s">
        <v>51</v>
      </c>
      <c r="H668">
        <v>5500000</v>
      </c>
      <c r="I668">
        <v>3300000</v>
      </c>
      <c r="J668" t="s">
        <v>55</v>
      </c>
      <c r="K668">
        <v>36</v>
      </c>
      <c r="L668">
        <v>3094</v>
      </c>
      <c r="M668">
        <v>0</v>
      </c>
      <c r="N668">
        <v>1468</v>
      </c>
      <c r="O668">
        <v>5</v>
      </c>
      <c r="P668">
        <v>9</v>
      </c>
      <c r="Q668">
        <v>0</v>
      </c>
      <c r="R668">
        <v>0</v>
      </c>
      <c r="S668">
        <v>6</v>
      </c>
      <c r="T668">
        <v>45</v>
      </c>
      <c r="U668">
        <v>11</v>
      </c>
      <c r="V668">
        <v>0</v>
      </c>
      <c r="W668">
        <v>17</v>
      </c>
      <c r="X668">
        <v>0</v>
      </c>
      <c r="Y668">
        <v>0</v>
      </c>
      <c r="Z668">
        <v>0</v>
      </c>
      <c r="AA668">
        <v>1</v>
      </c>
      <c r="AB668">
        <v>2</v>
      </c>
      <c r="AC668">
        <v>0</v>
      </c>
      <c r="AD668">
        <v>94</v>
      </c>
      <c r="AE668">
        <v>147</v>
      </c>
      <c r="AF668">
        <v>6</v>
      </c>
      <c r="AG668">
        <v>37</v>
      </c>
      <c r="AH668">
        <v>62</v>
      </c>
      <c r="AI668">
        <v>0</v>
      </c>
      <c r="AJ668">
        <v>74</v>
      </c>
      <c r="AK668">
        <v>2</v>
      </c>
      <c r="AL668">
        <v>0</v>
      </c>
      <c r="AM668">
        <v>36</v>
      </c>
      <c r="AN668">
        <v>26</v>
      </c>
      <c r="AO668">
        <v>14</v>
      </c>
      <c r="AQ668" t="str">
        <f t="shared" si="10"/>
        <v>Midfielder</v>
      </c>
    </row>
    <row r="669" spans="1:43" x14ac:dyDescent="0.35">
      <c r="A669" t="s">
        <v>450</v>
      </c>
      <c r="B669" t="s">
        <v>46</v>
      </c>
      <c r="C669" t="s">
        <v>1535</v>
      </c>
      <c r="D669">
        <v>1986</v>
      </c>
      <c r="E669">
        <v>32</v>
      </c>
      <c r="F669" t="s">
        <v>58</v>
      </c>
      <c r="G669" t="s">
        <v>51</v>
      </c>
      <c r="H669">
        <v>6050000</v>
      </c>
      <c r="I669">
        <v>5500000</v>
      </c>
      <c r="J669" t="s">
        <v>55</v>
      </c>
      <c r="K669">
        <v>11</v>
      </c>
      <c r="L669">
        <v>394</v>
      </c>
      <c r="M669">
        <v>0</v>
      </c>
      <c r="N669">
        <v>212</v>
      </c>
      <c r="O669">
        <v>0</v>
      </c>
      <c r="P669">
        <v>1</v>
      </c>
      <c r="Q669">
        <v>0</v>
      </c>
      <c r="R669">
        <v>6</v>
      </c>
      <c r="S669">
        <v>2</v>
      </c>
      <c r="T669">
        <v>6</v>
      </c>
      <c r="U669">
        <v>0</v>
      </c>
      <c r="V669">
        <v>0</v>
      </c>
      <c r="W669">
        <v>2</v>
      </c>
      <c r="X669">
        <v>0</v>
      </c>
      <c r="Y669">
        <v>0</v>
      </c>
      <c r="Z669">
        <v>0</v>
      </c>
      <c r="AA669">
        <v>1</v>
      </c>
      <c r="AB669">
        <v>1</v>
      </c>
      <c r="AC669">
        <v>6</v>
      </c>
      <c r="AD669">
        <v>5</v>
      </c>
      <c r="AE669">
        <v>9</v>
      </c>
      <c r="AF669">
        <v>1</v>
      </c>
      <c r="AG669">
        <v>4</v>
      </c>
      <c r="AH669">
        <v>12</v>
      </c>
      <c r="AI669">
        <v>0</v>
      </c>
      <c r="AJ669">
        <v>8</v>
      </c>
      <c r="AK669">
        <v>0</v>
      </c>
      <c r="AL669">
        <v>0</v>
      </c>
      <c r="AM669">
        <v>8</v>
      </c>
      <c r="AN669">
        <v>6</v>
      </c>
      <c r="AO669">
        <v>6</v>
      </c>
      <c r="AQ669" t="str">
        <f t="shared" si="10"/>
        <v>Midfielder</v>
      </c>
    </row>
    <row r="670" spans="1:43" x14ac:dyDescent="0.35">
      <c r="A670" t="s">
        <v>450</v>
      </c>
      <c r="B670" t="s">
        <v>43</v>
      </c>
      <c r="C670" t="s">
        <v>1536</v>
      </c>
      <c r="D670">
        <v>1986</v>
      </c>
      <c r="E670">
        <v>31</v>
      </c>
      <c r="F670" t="s">
        <v>64</v>
      </c>
      <c r="G670" t="s">
        <v>51</v>
      </c>
      <c r="H670">
        <v>225000</v>
      </c>
      <c r="I670">
        <v>450000</v>
      </c>
      <c r="J670" t="s">
        <v>55</v>
      </c>
      <c r="K670">
        <v>10</v>
      </c>
      <c r="L670">
        <v>569</v>
      </c>
      <c r="M670">
        <v>0</v>
      </c>
      <c r="N670">
        <v>238</v>
      </c>
      <c r="O670">
        <v>0</v>
      </c>
      <c r="P670">
        <v>5</v>
      </c>
      <c r="Q670">
        <v>0</v>
      </c>
      <c r="R670">
        <v>4</v>
      </c>
      <c r="S670">
        <v>3</v>
      </c>
      <c r="T670">
        <v>10</v>
      </c>
      <c r="U670">
        <v>2</v>
      </c>
      <c r="V670">
        <v>0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8</v>
      </c>
      <c r="AD670">
        <v>15</v>
      </c>
      <c r="AE670">
        <v>20</v>
      </c>
      <c r="AF670">
        <v>0</v>
      </c>
      <c r="AG670">
        <v>5</v>
      </c>
      <c r="AH670">
        <v>14</v>
      </c>
      <c r="AI670">
        <v>0</v>
      </c>
      <c r="AJ670">
        <v>13</v>
      </c>
      <c r="AK670">
        <v>0</v>
      </c>
      <c r="AL670">
        <v>0</v>
      </c>
      <c r="AM670">
        <v>4</v>
      </c>
      <c r="AN670">
        <v>4</v>
      </c>
      <c r="AO670">
        <v>8</v>
      </c>
      <c r="AQ670" t="str">
        <f t="shared" si="10"/>
        <v>Midfielder</v>
      </c>
    </row>
    <row r="671" spans="1:43" x14ac:dyDescent="0.35">
      <c r="A671" t="s">
        <v>451</v>
      </c>
      <c r="B671" t="s">
        <v>47</v>
      </c>
      <c r="C671" t="s">
        <v>1537</v>
      </c>
      <c r="D671">
        <v>1994</v>
      </c>
      <c r="E671">
        <v>22</v>
      </c>
      <c r="F671" t="s">
        <v>78</v>
      </c>
      <c r="G671" t="s">
        <v>45</v>
      </c>
      <c r="H671">
        <v>5000000</v>
      </c>
      <c r="I671">
        <v>4000000</v>
      </c>
      <c r="J671" t="s">
        <v>52</v>
      </c>
      <c r="K671">
        <v>20</v>
      </c>
      <c r="L671">
        <v>1428</v>
      </c>
      <c r="M671">
        <v>0</v>
      </c>
      <c r="N671">
        <v>425</v>
      </c>
      <c r="O671">
        <v>0</v>
      </c>
      <c r="P671">
        <v>2</v>
      </c>
      <c r="Q671">
        <v>0</v>
      </c>
      <c r="R671">
        <v>5</v>
      </c>
      <c r="S671">
        <v>2</v>
      </c>
      <c r="T671">
        <v>3</v>
      </c>
      <c r="U671">
        <v>1</v>
      </c>
      <c r="V671">
        <v>0</v>
      </c>
      <c r="W671">
        <v>21</v>
      </c>
      <c r="X671">
        <v>0</v>
      </c>
      <c r="Y671">
        <v>0</v>
      </c>
      <c r="Z671">
        <v>0</v>
      </c>
      <c r="AA671">
        <v>5</v>
      </c>
      <c r="AB671">
        <v>0</v>
      </c>
      <c r="AC671">
        <v>0</v>
      </c>
      <c r="AD671">
        <v>0</v>
      </c>
      <c r="AE671">
        <v>34</v>
      </c>
      <c r="AF671">
        <v>5</v>
      </c>
      <c r="AG671">
        <v>24</v>
      </c>
      <c r="AH671">
        <v>14</v>
      </c>
      <c r="AI671">
        <v>0</v>
      </c>
      <c r="AJ671">
        <v>30</v>
      </c>
      <c r="AK671">
        <v>0</v>
      </c>
      <c r="AL671">
        <v>0</v>
      </c>
      <c r="AM671">
        <v>49</v>
      </c>
      <c r="AN671">
        <v>17</v>
      </c>
      <c r="AO671">
        <v>14</v>
      </c>
      <c r="AQ671" t="str">
        <f t="shared" si="10"/>
        <v>Defensive Forward</v>
      </c>
    </row>
    <row r="672" spans="1:43" x14ac:dyDescent="0.35">
      <c r="A672" t="s">
        <v>451</v>
      </c>
      <c r="B672" t="s">
        <v>43</v>
      </c>
      <c r="C672" t="s">
        <v>1538</v>
      </c>
      <c r="D672">
        <v>1994</v>
      </c>
      <c r="E672">
        <v>23</v>
      </c>
      <c r="F672" t="s">
        <v>117</v>
      </c>
      <c r="G672" t="s">
        <v>45</v>
      </c>
      <c r="H672">
        <v>4000000</v>
      </c>
      <c r="I672">
        <v>5000000</v>
      </c>
      <c r="J672" t="s">
        <v>52</v>
      </c>
      <c r="K672">
        <v>21</v>
      </c>
      <c r="L672">
        <v>1759</v>
      </c>
      <c r="M672">
        <v>0</v>
      </c>
      <c r="N672">
        <v>540</v>
      </c>
      <c r="O672">
        <v>1</v>
      </c>
      <c r="P672">
        <v>2</v>
      </c>
      <c r="Q672">
        <v>0</v>
      </c>
      <c r="R672">
        <v>1</v>
      </c>
      <c r="S672">
        <v>2</v>
      </c>
      <c r="T672">
        <v>0</v>
      </c>
      <c r="U672">
        <v>0</v>
      </c>
      <c r="V672">
        <v>0</v>
      </c>
      <c r="W672">
        <v>23</v>
      </c>
      <c r="X672">
        <v>0</v>
      </c>
      <c r="Y672">
        <v>0</v>
      </c>
      <c r="Z672">
        <v>0</v>
      </c>
      <c r="AA672">
        <v>2</v>
      </c>
      <c r="AB672">
        <v>0</v>
      </c>
      <c r="AC672">
        <v>0</v>
      </c>
      <c r="AD672">
        <v>0</v>
      </c>
      <c r="AE672">
        <v>30</v>
      </c>
      <c r="AF672">
        <v>6</v>
      </c>
      <c r="AG672">
        <v>18</v>
      </c>
      <c r="AH672">
        <v>24</v>
      </c>
      <c r="AI672">
        <v>0</v>
      </c>
      <c r="AJ672">
        <v>36</v>
      </c>
      <c r="AK672">
        <v>0</v>
      </c>
      <c r="AL672">
        <v>0</v>
      </c>
      <c r="AM672">
        <v>49</v>
      </c>
      <c r="AN672">
        <v>22</v>
      </c>
      <c r="AO672">
        <v>19</v>
      </c>
      <c r="AQ672" t="str">
        <f t="shared" si="10"/>
        <v>Defensive Forward</v>
      </c>
    </row>
    <row r="673" spans="1:43" x14ac:dyDescent="0.35">
      <c r="A673" t="s">
        <v>451</v>
      </c>
      <c r="B673" t="s">
        <v>46</v>
      </c>
      <c r="C673" t="s">
        <v>1539</v>
      </c>
      <c r="D673">
        <v>1994</v>
      </c>
      <c r="E673">
        <v>24</v>
      </c>
      <c r="F673" t="s">
        <v>117</v>
      </c>
      <c r="G673" t="s">
        <v>45</v>
      </c>
      <c r="H673">
        <v>5000000</v>
      </c>
      <c r="I673">
        <v>5000000</v>
      </c>
      <c r="J673" t="s">
        <v>52</v>
      </c>
      <c r="K673">
        <v>18</v>
      </c>
      <c r="L673">
        <v>1099</v>
      </c>
      <c r="M673">
        <v>0</v>
      </c>
      <c r="N673">
        <v>352</v>
      </c>
      <c r="O673">
        <v>3</v>
      </c>
      <c r="P673">
        <v>2</v>
      </c>
      <c r="Q673">
        <v>0</v>
      </c>
      <c r="R673">
        <v>6</v>
      </c>
      <c r="S673">
        <v>2</v>
      </c>
      <c r="T673">
        <v>2</v>
      </c>
      <c r="U673">
        <v>1</v>
      </c>
      <c r="V673">
        <v>0</v>
      </c>
      <c r="W673">
        <v>18</v>
      </c>
      <c r="X673">
        <v>0</v>
      </c>
      <c r="Y673">
        <v>0</v>
      </c>
      <c r="Z673">
        <v>0</v>
      </c>
      <c r="AA673">
        <v>1</v>
      </c>
      <c r="AB673">
        <v>1</v>
      </c>
      <c r="AC673">
        <v>1</v>
      </c>
      <c r="AD673">
        <v>0</v>
      </c>
      <c r="AE673">
        <v>28</v>
      </c>
      <c r="AF673">
        <v>1</v>
      </c>
      <c r="AG673">
        <v>17</v>
      </c>
      <c r="AH673">
        <v>13</v>
      </c>
      <c r="AI673">
        <v>0</v>
      </c>
      <c r="AJ673">
        <v>27</v>
      </c>
      <c r="AK673">
        <v>0</v>
      </c>
      <c r="AL673">
        <v>0</v>
      </c>
      <c r="AM673">
        <v>48</v>
      </c>
      <c r="AN673">
        <v>19</v>
      </c>
      <c r="AO673">
        <v>20</v>
      </c>
      <c r="AQ673" t="str">
        <f t="shared" si="10"/>
        <v>Defensive Forward</v>
      </c>
    </row>
    <row r="674" spans="1:43" x14ac:dyDescent="0.35">
      <c r="A674" t="s">
        <v>452</v>
      </c>
      <c r="B674" t="s">
        <v>47</v>
      </c>
      <c r="C674" t="s">
        <v>1540</v>
      </c>
      <c r="D674">
        <v>1994</v>
      </c>
      <c r="E674">
        <v>22</v>
      </c>
      <c r="F674" t="s">
        <v>40</v>
      </c>
      <c r="G674" t="s">
        <v>108</v>
      </c>
      <c r="H674">
        <v>33000000</v>
      </c>
      <c r="I674">
        <v>27500000</v>
      </c>
      <c r="J674" t="s">
        <v>55</v>
      </c>
      <c r="K674">
        <v>11</v>
      </c>
      <c r="L674">
        <v>692</v>
      </c>
      <c r="M674">
        <v>0</v>
      </c>
      <c r="N674">
        <v>323</v>
      </c>
      <c r="O674">
        <v>0</v>
      </c>
      <c r="P674">
        <v>2</v>
      </c>
      <c r="Q674">
        <v>0</v>
      </c>
      <c r="R674">
        <v>2</v>
      </c>
      <c r="S674">
        <v>5</v>
      </c>
      <c r="T674">
        <v>3</v>
      </c>
      <c r="U674">
        <v>0</v>
      </c>
      <c r="V674">
        <v>0</v>
      </c>
      <c r="W674">
        <v>6</v>
      </c>
      <c r="X674">
        <v>0</v>
      </c>
      <c r="Y674">
        <v>0</v>
      </c>
      <c r="Z674">
        <v>0</v>
      </c>
      <c r="AA674">
        <v>0</v>
      </c>
      <c r="AB674">
        <v>1</v>
      </c>
      <c r="AC674">
        <v>0</v>
      </c>
      <c r="AD674">
        <v>0</v>
      </c>
      <c r="AE674">
        <v>5</v>
      </c>
      <c r="AF674">
        <v>4</v>
      </c>
      <c r="AG674">
        <v>7</v>
      </c>
      <c r="AH674">
        <v>11</v>
      </c>
      <c r="AI674">
        <v>0</v>
      </c>
      <c r="AJ674">
        <v>31</v>
      </c>
      <c r="AK674">
        <v>0</v>
      </c>
      <c r="AL674">
        <v>0</v>
      </c>
      <c r="AM674">
        <v>15</v>
      </c>
      <c r="AN674">
        <v>16</v>
      </c>
      <c r="AO674">
        <v>22</v>
      </c>
      <c r="AQ674" t="str">
        <f t="shared" si="10"/>
        <v>Midfielder</v>
      </c>
    </row>
    <row r="675" spans="1:43" x14ac:dyDescent="0.35">
      <c r="A675" t="s">
        <v>453</v>
      </c>
      <c r="B675" t="s">
        <v>39</v>
      </c>
      <c r="C675" t="s">
        <v>1541</v>
      </c>
      <c r="D675">
        <v>1989</v>
      </c>
      <c r="E675">
        <v>26</v>
      </c>
      <c r="F675" t="s">
        <v>220</v>
      </c>
      <c r="G675" t="s">
        <v>51</v>
      </c>
      <c r="H675">
        <v>10000000</v>
      </c>
      <c r="I675">
        <v>11600000</v>
      </c>
      <c r="J675" t="s">
        <v>42</v>
      </c>
      <c r="K675">
        <v>12</v>
      </c>
      <c r="L675">
        <v>346</v>
      </c>
      <c r="M675">
        <v>0</v>
      </c>
      <c r="N675">
        <v>94</v>
      </c>
      <c r="O675">
        <v>0</v>
      </c>
      <c r="P675">
        <v>1</v>
      </c>
      <c r="Q675">
        <v>0</v>
      </c>
      <c r="R675">
        <v>9</v>
      </c>
      <c r="S675">
        <v>3</v>
      </c>
      <c r="T675">
        <v>17</v>
      </c>
      <c r="U675">
        <v>6</v>
      </c>
      <c r="V675">
        <v>0</v>
      </c>
      <c r="W675">
        <v>2</v>
      </c>
      <c r="X675">
        <v>0</v>
      </c>
      <c r="Y675">
        <v>0</v>
      </c>
      <c r="Z675">
        <v>0</v>
      </c>
      <c r="AA675">
        <v>3</v>
      </c>
      <c r="AB675">
        <v>2</v>
      </c>
      <c r="AC675">
        <v>2</v>
      </c>
      <c r="AD675">
        <v>0</v>
      </c>
      <c r="AE675">
        <v>4</v>
      </c>
      <c r="AF675">
        <v>1</v>
      </c>
      <c r="AG675">
        <v>2</v>
      </c>
      <c r="AH675">
        <v>4</v>
      </c>
      <c r="AI675">
        <v>0</v>
      </c>
      <c r="AJ675">
        <v>5</v>
      </c>
      <c r="AK675">
        <v>0</v>
      </c>
      <c r="AL675">
        <v>0</v>
      </c>
      <c r="AM675">
        <v>2</v>
      </c>
      <c r="AN675">
        <v>7</v>
      </c>
      <c r="AO675">
        <v>8</v>
      </c>
      <c r="AQ675" t="str">
        <f t="shared" si="10"/>
        <v>Forward</v>
      </c>
    </row>
    <row r="676" spans="1:43" x14ac:dyDescent="0.35">
      <c r="A676" t="s">
        <v>453</v>
      </c>
      <c r="B676" t="s">
        <v>47</v>
      </c>
      <c r="C676" t="s">
        <v>1542</v>
      </c>
      <c r="D676">
        <v>1989</v>
      </c>
      <c r="E676">
        <v>27</v>
      </c>
      <c r="F676" t="s">
        <v>220</v>
      </c>
      <c r="G676" t="s">
        <v>51</v>
      </c>
      <c r="H676">
        <v>11600000</v>
      </c>
      <c r="I676">
        <v>9000000</v>
      </c>
      <c r="J676" t="s">
        <v>42</v>
      </c>
      <c r="K676">
        <v>24</v>
      </c>
      <c r="L676">
        <v>881</v>
      </c>
      <c r="M676">
        <v>5</v>
      </c>
      <c r="N676">
        <v>234</v>
      </c>
      <c r="O676">
        <v>2</v>
      </c>
      <c r="P676">
        <v>0</v>
      </c>
      <c r="Q676">
        <v>0</v>
      </c>
      <c r="R676">
        <v>15</v>
      </c>
      <c r="S676">
        <v>6</v>
      </c>
      <c r="T676">
        <v>33</v>
      </c>
      <c r="U676">
        <v>15</v>
      </c>
      <c r="V676">
        <v>0</v>
      </c>
      <c r="W676">
        <v>13</v>
      </c>
      <c r="X676">
        <v>0</v>
      </c>
      <c r="Y676">
        <v>0</v>
      </c>
      <c r="Z676">
        <v>0</v>
      </c>
      <c r="AA676">
        <v>9</v>
      </c>
      <c r="AB676">
        <v>3</v>
      </c>
      <c r="AC676">
        <v>4</v>
      </c>
      <c r="AD676">
        <v>0</v>
      </c>
      <c r="AE676">
        <v>8</v>
      </c>
      <c r="AF676">
        <v>1</v>
      </c>
      <c r="AG676">
        <v>2</v>
      </c>
      <c r="AH676">
        <v>15</v>
      </c>
      <c r="AI676">
        <v>0</v>
      </c>
      <c r="AJ676">
        <v>6</v>
      </c>
      <c r="AK676">
        <v>0</v>
      </c>
      <c r="AL676">
        <v>0</v>
      </c>
      <c r="AM676">
        <v>15</v>
      </c>
      <c r="AN676">
        <v>40</v>
      </c>
      <c r="AO676">
        <v>43</v>
      </c>
      <c r="AQ676" t="str">
        <f t="shared" si="10"/>
        <v>Forward</v>
      </c>
    </row>
    <row r="677" spans="1:43" x14ac:dyDescent="0.35">
      <c r="A677" t="s">
        <v>453</v>
      </c>
      <c r="B677" t="s">
        <v>43</v>
      </c>
      <c r="C677" t="s">
        <v>1543</v>
      </c>
      <c r="D677">
        <v>1989</v>
      </c>
      <c r="E677">
        <v>28</v>
      </c>
      <c r="F677" t="s">
        <v>103</v>
      </c>
      <c r="G677" t="s">
        <v>51</v>
      </c>
      <c r="H677">
        <v>9000000</v>
      </c>
      <c r="I677">
        <v>10800000</v>
      </c>
      <c r="J677" t="s">
        <v>42</v>
      </c>
      <c r="K677">
        <v>37</v>
      </c>
      <c r="L677">
        <v>2823</v>
      </c>
      <c r="M677">
        <v>7</v>
      </c>
      <c r="N677">
        <v>704</v>
      </c>
      <c r="O677">
        <v>1</v>
      </c>
      <c r="P677">
        <v>2</v>
      </c>
      <c r="Q677">
        <v>0</v>
      </c>
      <c r="R677">
        <v>6</v>
      </c>
      <c r="S677">
        <v>18</v>
      </c>
      <c r="T677">
        <v>69</v>
      </c>
      <c r="U677">
        <v>25</v>
      </c>
      <c r="V677">
        <v>2</v>
      </c>
      <c r="W677">
        <v>30</v>
      </c>
      <c r="X677">
        <v>2</v>
      </c>
      <c r="Y677">
        <v>1</v>
      </c>
      <c r="Z677">
        <v>0</v>
      </c>
      <c r="AA677">
        <v>18</v>
      </c>
      <c r="AB677">
        <v>4</v>
      </c>
      <c r="AC677">
        <v>44</v>
      </c>
      <c r="AD677">
        <v>3</v>
      </c>
      <c r="AE677">
        <v>30</v>
      </c>
      <c r="AF677">
        <v>2</v>
      </c>
      <c r="AG677">
        <v>19</v>
      </c>
      <c r="AH677">
        <v>43</v>
      </c>
      <c r="AI677">
        <v>0</v>
      </c>
      <c r="AJ677">
        <v>31</v>
      </c>
      <c r="AK677">
        <v>0</v>
      </c>
      <c r="AL677">
        <v>0</v>
      </c>
      <c r="AM677">
        <v>37</v>
      </c>
      <c r="AN677">
        <v>76</v>
      </c>
      <c r="AO677">
        <v>84</v>
      </c>
      <c r="AQ677" t="str">
        <f t="shared" si="10"/>
        <v>Forward</v>
      </c>
    </row>
    <row r="678" spans="1:43" x14ac:dyDescent="0.35">
      <c r="A678" t="s">
        <v>454</v>
      </c>
      <c r="B678" t="s">
        <v>46</v>
      </c>
      <c r="C678" t="s">
        <v>1544</v>
      </c>
      <c r="D678">
        <v>1991</v>
      </c>
      <c r="E678">
        <v>27</v>
      </c>
      <c r="F678" t="s">
        <v>74</v>
      </c>
      <c r="G678" t="s">
        <v>172</v>
      </c>
      <c r="H678">
        <v>1350000</v>
      </c>
      <c r="I678">
        <v>5400000</v>
      </c>
      <c r="J678" t="s">
        <v>55</v>
      </c>
      <c r="K678">
        <v>32</v>
      </c>
      <c r="L678">
        <v>2250</v>
      </c>
      <c r="M678">
        <v>0</v>
      </c>
      <c r="N678">
        <v>1592</v>
      </c>
      <c r="O678">
        <v>2</v>
      </c>
      <c r="P678">
        <v>6</v>
      </c>
      <c r="Q678">
        <v>0</v>
      </c>
      <c r="R678">
        <v>5</v>
      </c>
      <c r="S678">
        <v>13</v>
      </c>
      <c r="T678">
        <v>19</v>
      </c>
      <c r="U678">
        <v>6</v>
      </c>
      <c r="V678">
        <v>1</v>
      </c>
      <c r="W678">
        <v>6</v>
      </c>
      <c r="X678">
        <v>0</v>
      </c>
      <c r="Y678">
        <v>0</v>
      </c>
      <c r="Z678">
        <v>0</v>
      </c>
      <c r="AA678">
        <v>1</v>
      </c>
      <c r="AB678">
        <v>2</v>
      </c>
      <c r="AC678">
        <v>13</v>
      </c>
      <c r="AD678">
        <v>93</v>
      </c>
      <c r="AE678">
        <v>108</v>
      </c>
      <c r="AF678">
        <v>9</v>
      </c>
      <c r="AG678">
        <v>32</v>
      </c>
      <c r="AH678">
        <v>32</v>
      </c>
      <c r="AI678">
        <v>0</v>
      </c>
      <c r="AJ678">
        <v>41</v>
      </c>
      <c r="AK678">
        <v>2</v>
      </c>
      <c r="AL678">
        <v>0</v>
      </c>
      <c r="AM678">
        <v>14</v>
      </c>
      <c r="AN678">
        <v>14</v>
      </c>
      <c r="AO678">
        <v>20</v>
      </c>
      <c r="AQ678" t="str">
        <f t="shared" si="10"/>
        <v>Midfielder</v>
      </c>
    </row>
    <row r="679" spans="1:43" x14ac:dyDescent="0.35">
      <c r="A679" t="s">
        <v>455</v>
      </c>
      <c r="B679" t="s">
        <v>47</v>
      </c>
      <c r="C679" t="s">
        <v>1545</v>
      </c>
      <c r="D679">
        <v>1992</v>
      </c>
      <c r="E679">
        <v>24</v>
      </c>
      <c r="F679" t="s">
        <v>56</v>
      </c>
      <c r="G679" t="s">
        <v>260</v>
      </c>
      <c r="H679">
        <v>5400000</v>
      </c>
      <c r="I679">
        <v>9000000</v>
      </c>
      <c r="J679" t="s">
        <v>55</v>
      </c>
      <c r="K679">
        <v>32</v>
      </c>
      <c r="L679">
        <v>2695</v>
      </c>
      <c r="M679">
        <v>2</v>
      </c>
      <c r="N679">
        <v>1006</v>
      </c>
      <c r="O679">
        <v>1</v>
      </c>
      <c r="P679">
        <v>6</v>
      </c>
      <c r="Q679">
        <v>1</v>
      </c>
      <c r="R679">
        <v>1</v>
      </c>
      <c r="S679">
        <v>4</v>
      </c>
      <c r="T679">
        <v>31</v>
      </c>
      <c r="U679">
        <v>6</v>
      </c>
      <c r="V679">
        <v>0</v>
      </c>
      <c r="W679">
        <v>17</v>
      </c>
      <c r="X679">
        <v>1</v>
      </c>
      <c r="Y679">
        <v>0</v>
      </c>
      <c r="Z679">
        <v>0</v>
      </c>
      <c r="AA679">
        <v>4</v>
      </c>
      <c r="AB679">
        <v>0</v>
      </c>
      <c r="AC679">
        <v>1</v>
      </c>
      <c r="AD679">
        <v>0</v>
      </c>
      <c r="AE679">
        <v>17</v>
      </c>
      <c r="AF679">
        <v>11</v>
      </c>
      <c r="AG679">
        <v>39</v>
      </c>
      <c r="AH679">
        <v>43</v>
      </c>
      <c r="AI679">
        <v>0</v>
      </c>
      <c r="AJ679">
        <v>33</v>
      </c>
      <c r="AK679">
        <v>0</v>
      </c>
      <c r="AL679">
        <v>0</v>
      </c>
      <c r="AM679">
        <v>33</v>
      </c>
      <c r="AN679">
        <v>35</v>
      </c>
      <c r="AO679">
        <v>42</v>
      </c>
      <c r="AQ679" t="str">
        <f t="shared" si="10"/>
        <v>Midfielder</v>
      </c>
    </row>
    <row r="680" spans="1:43" x14ac:dyDescent="0.35">
      <c r="A680" t="s">
        <v>455</v>
      </c>
      <c r="B680" t="s">
        <v>43</v>
      </c>
      <c r="C680" t="s">
        <v>1546</v>
      </c>
      <c r="D680">
        <v>1992</v>
      </c>
      <c r="E680">
        <v>25</v>
      </c>
      <c r="F680" t="s">
        <v>56</v>
      </c>
      <c r="G680" t="s">
        <v>260</v>
      </c>
      <c r="H680">
        <v>9000000</v>
      </c>
      <c r="I680">
        <v>9000000</v>
      </c>
      <c r="J680" t="s">
        <v>55</v>
      </c>
      <c r="K680">
        <v>34</v>
      </c>
      <c r="L680">
        <v>2340</v>
      </c>
      <c r="M680">
        <v>2</v>
      </c>
      <c r="N680">
        <v>802</v>
      </c>
      <c r="O680">
        <v>2</v>
      </c>
      <c r="P680">
        <v>1</v>
      </c>
      <c r="Q680">
        <v>0</v>
      </c>
      <c r="R680">
        <v>5</v>
      </c>
      <c r="S680">
        <v>16</v>
      </c>
      <c r="T680">
        <v>25</v>
      </c>
      <c r="U680">
        <v>6</v>
      </c>
      <c r="V680">
        <v>0</v>
      </c>
      <c r="W680">
        <v>8</v>
      </c>
      <c r="X680">
        <v>0</v>
      </c>
      <c r="Y680">
        <v>0</v>
      </c>
      <c r="Z680">
        <v>0</v>
      </c>
      <c r="AA680">
        <v>16</v>
      </c>
      <c r="AB680">
        <v>5</v>
      </c>
      <c r="AC680">
        <v>19</v>
      </c>
      <c r="AD680">
        <v>0</v>
      </c>
      <c r="AE680">
        <v>23</v>
      </c>
      <c r="AF680">
        <v>2</v>
      </c>
      <c r="AG680">
        <v>8</v>
      </c>
      <c r="AH680">
        <v>19</v>
      </c>
      <c r="AI680">
        <v>0</v>
      </c>
      <c r="AJ680">
        <v>16</v>
      </c>
      <c r="AK680">
        <v>0</v>
      </c>
      <c r="AL680">
        <v>0</v>
      </c>
      <c r="AM680">
        <v>20</v>
      </c>
      <c r="AN680">
        <v>15</v>
      </c>
      <c r="AO680">
        <v>58</v>
      </c>
      <c r="AQ680" t="str">
        <f t="shared" si="10"/>
        <v>Midfielder</v>
      </c>
    </row>
    <row r="681" spans="1:43" x14ac:dyDescent="0.35">
      <c r="A681" t="s">
        <v>455</v>
      </c>
      <c r="B681" t="s">
        <v>46</v>
      </c>
      <c r="C681" t="s">
        <v>1547</v>
      </c>
      <c r="D681">
        <v>1992</v>
      </c>
      <c r="E681">
        <v>26</v>
      </c>
      <c r="F681" t="s">
        <v>56</v>
      </c>
      <c r="G681" t="s">
        <v>260</v>
      </c>
      <c r="H681">
        <v>2200000</v>
      </c>
      <c r="I681">
        <v>27500000</v>
      </c>
      <c r="J681" t="s">
        <v>55</v>
      </c>
      <c r="K681">
        <v>32</v>
      </c>
      <c r="L681">
        <v>2070</v>
      </c>
      <c r="M681">
        <v>3</v>
      </c>
      <c r="N681">
        <v>659</v>
      </c>
      <c r="O681">
        <v>0</v>
      </c>
      <c r="P681">
        <v>4</v>
      </c>
      <c r="Q681">
        <v>0</v>
      </c>
      <c r="R681">
        <v>7</v>
      </c>
      <c r="S681">
        <v>13</v>
      </c>
      <c r="T681">
        <v>19</v>
      </c>
      <c r="U681">
        <v>6</v>
      </c>
      <c r="V681">
        <v>0</v>
      </c>
      <c r="W681">
        <v>13</v>
      </c>
      <c r="X681">
        <v>0</v>
      </c>
      <c r="Y681">
        <v>0</v>
      </c>
      <c r="Z681">
        <v>0</v>
      </c>
      <c r="AA681">
        <v>9</v>
      </c>
      <c r="AB681">
        <v>4</v>
      </c>
      <c r="AC681">
        <v>13</v>
      </c>
      <c r="AD681">
        <v>2</v>
      </c>
      <c r="AE681">
        <v>24</v>
      </c>
      <c r="AF681">
        <v>5</v>
      </c>
      <c r="AG681">
        <v>12</v>
      </c>
      <c r="AH681">
        <v>17</v>
      </c>
      <c r="AI681">
        <v>0</v>
      </c>
      <c r="AJ681">
        <v>24</v>
      </c>
      <c r="AK681">
        <v>0</v>
      </c>
      <c r="AL681">
        <v>0</v>
      </c>
      <c r="AM681">
        <v>25</v>
      </c>
      <c r="AN681">
        <v>17</v>
      </c>
      <c r="AO681">
        <v>28</v>
      </c>
      <c r="AQ681" t="str">
        <f t="shared" si="10"/>
        <v>Midfielder</v>
      </c>
    </row>
    <row r="682" spans="1:43" x14ac:dyDescent="0.35">
      <c r="A682" t="s">
        <v>456</v>
      </c>
      <c r="B682" t="s">
        <v>46</v>
      </c>
      <c r="C682" t="s">
        <v>1548</v>
      </c>
      <c r="D682">
        <v>1994</v>
      </c>
      <c r="E682">
        <v>23</v>
      </c>
      <c r="F682" t="s">
        <v>84</v>
      </c>
      <c r="G682" t="s">
        <v>202</v>
      </c>
      <c r="H682">
        <v>1100000</v>
      </c>
      <c r="I682">
        <v>6600000</v>
      </c>
      <c r="J682" t="s">
        <v>55</v>
      </c>
      <c r="K682">
        <v>30</v>
      </c>
      <c r="L682">
        <v>2510</v>
      </c>
      <c r="M682">
        <v>2</v>
      </c>
      <c r="N682">
        <v>1561</v>
      </c>
      <c r="O682">
        <v>0</v>
      </c>
      <c r="P682">
        <v>12</v>
      </c>
      <c r="Q682">
        <v>0</v>
      </c>
      <c r="R682">
        <v>1</v>
      </c>
      <c r="S682">
        <v>6</v>
      </c>
      <c r="T682">
        <v>31</v>
      </c>
      <c r="U682">
        <v>8</v>
      </c>
      <c r="V682">
        <v>1</v>
      </c>
      <c r="W682">
        <v>57</v>
      </c>
      <c r="X682">
        <v>1</v>
      </c>
      <c r="Y682">
        <v>0</v>
      </c>
      <c r="Z682">
        <v>0</v>
      </c>
      <c r="AA682">
        <v>3</v>
      </c>
      <c r="AB682">
        <v>3</v>
      </c>
      <c r="AC682">
        <v>23</v>
      </c>
      <c r="AD682">
        <v>0</v>
      </c>
      <c r="AE682">
        <v>4</v>
      </c>
      <c r="AF682">
        <v>19</v>
      </c>
      <c r="AG682">
        <v>54</v>
      </c>
      <c r="AH682">
        <v>43</v>
      </c>
      <c r="AI682">
        <v>0</v>
      </c>
      <c r="AJ682">
        <v>45</v>
      </c>
      <c r="AK682">
        <v>0</v>
      </c>
      <c r="AL682">
        <v>1</v>
      </c>
      <c r="AM682">
        <v>84</v>
      </c>
      <c r="AN682">
        <v>76</v>
      </c>
      <c r="AO682">
        <v>72</v>
      </c>
      <c r="AQ682" t="str">
        <f t="shared" si="10"/>
        <v>Midfielder</v>
      </c>
    </row>
    <row r="683" spans="1:43" x14ac:dyDescent="0.35">
      <c r="A683" t="s">
        <v>457</v>
      </c>
      <c r="B683" t="s">
        <v>39</v>
      </c>
      <c r="C683" t="s">
        <v>1549</v>
      </c>
      <c r="D683">
        <v>1989</v>
      </c>
      <c r="E683">
        <v>25</v>
      </c>
      <c r="F683" t="s">
        <v>40</v>
      </c>
      <c r="G683" t="s">
        <v>167</v>
      </c>
      <c r="H683">
        <v>6050000</v>
      </c>
      <c r="I683">
        <v>5000000</v>
      </c>
      <c r="J683" t="s">
        <v>42</v>
      </c>
      <c r="K683">
        <v>15</v>
      </c>
      <c r="L683">
        <v>1357</v>
      </c>
      <c r="M683">
        <v>0</v>
      </c>
      <c r="N683">
        <v>365</v>
      </c>
      <c r="O683">
        <v>2</v>
      </c>
      <c r="P683">
        <v>0</v>
      </c>
      <c r="Q683">
        <v>0</v>
      </c>
      <c r="R683">
        <v>9</v>
      </c>
      <c r="S683">
        <v>9</v>
      </c>
      <c r="T683">
        <v>20</v>
      </c>
      <c r="U683">
        <v>6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4</v>
      </c>
      <c r="AB683">
        <v>0</v>
      </c>
      <c r="AC683">
        <v>2</v>
      </c>
      <c r="AD683">
        <v>2</v>
      </c>
      <c r="AE683">
        <v>111</v>
      </c>
      <c r="AF683">
        <v>0</v>
      </c>
      <c r="AG683">
        <v>9</v>
      </c>
      <c r="AH683">
        <v>11</v>
      </c>
      <c r="AI683">
        <v>0</v>
      </c>
      <c r="AJ683">
        <v>21</v>
      </c>
      <c r="AK683">
        <v>0</v>
      </c>
      <c r="AL683">
        <v>0</v>
      </c>
      <c r="AM683">
        <v>2</v>
      </c>
      <c r="AN683">
        <v>11</v>
      </c>
      <c r="AO683">
        <v>13</v>
      </c>
      <c r="AQ683" t="str">
        <f t="shared" si="10"/>
        <v>Forward</v>
      </c>
    </row>
    <row r="684" spans="1:43" x14ac:dyDescent="0.35">
      <c r="A684" t="s">
        <v>457</v>
      </c>
      <c r="B684" t="s">
        <v>47</v>
      </c>
      <c r="C684" t="s">
        <v>1550</v>
      </c>
      <c r="D684">
        <v>1989</v>
      </c>
      <c r="E684">
        <v>26</v>
      </c>
      <c r="F684" t="s">
        <v>40</v>
      </c>
      <c r="G684" t="s">
        <v>167</v>
      </c>
      <c r="H684">
        <v>5000000</v>
      </c>
      <c r="I684">
        <v>4000000</v>
      </c>
      <c r="J684" t="s">
        <v>42</v>
      </c>
      <c r="K684">
        <v>13</v>
      </c>
      <c r="L684">
        <v>375</v>
      </c>
      <c r="M684">
        <v>0</v>
      </c>
      <c r="N684">
        <v>94</v>
      </c>
      <c r="O684">
        <v>1</v>
      </c>
      <c r="P684">
        <v>0</v>
      </c>
      <c r="Q684">
        <v>0</v>
      </c>
      <c r="R684">
        <v>11</v>
      </c>
      <c r="S684">
        <v>4</v>
      </c>
      <c r="T684">
        <v>4</v>
      </c>
      <c r="U684">
        <v>1</v>
      </c>
      <c r="V684">
        <v>0</v>
      </c>
      <c r="W684">
        <v>2</v>
      </c>
      <c r="X684">
        <v>0</v>
      </c>
      <c r="Y684">
        <v>0</v>
      </c>
      <c r="Z684">
        <v>0</v>
      </c>
      <c r="AA684">
        <v>2</v>
      </c>
      <c r="AB684">
        <v>0</v>
      </c>
      <c r="AC684">
        <v>0</v>
      </c>
      <c r="AD684">
        <v>6</v>
      </c>
      <c r="AE684">
        <v>38</v>
      </c>
      <c r="AF684">
        <v>0</v>
      </c>
      <c r="AG684">
        <v>0</v>
      </c>
      <c r="AH684">
        <v>1</v>
      </c>
      <c r="AI684">
        <v>0</v>
      </c>
      <c r="AJ684">
        <v>7</v>
      </c>
      <c r="AK684">
        <v>0</v>
      </c>
      <c r="AL684">
        <v>0</v>
      </c>
      <c r="AM684">
        <v>2</v>
      </c>
      <c r="AN684">
        <v>0</v>
      </c>
      <c r="AO684">
        <v>3</v>
      </c>
      <c r="AQ684" t="str">
        <f t="shared" si="10"/>
        <v>Forward</v>
      </c>
    </row>
    <row r="685" spans="1:43" x14ac:dyDescent="0.35">
      <c r="A685" t="s">
        <v>458</v>
      </c>
      <c r="B685" t="s">
        <v>47</v>
      </c>
      <c r="C685" t="s">
        <v>1551</v>
      </c>
      <c r="D685">
        <v>1992</v>
      </c>
      <c r="E685">
        <v>23</v>
      </c>
      <c r="F685" t="s">
        <v>64</v>
      </c>
      <c r="G685" t="s">
        <v>69</v>
      </c>
      <c r="H685">
        <v>7200000</v>
      </c>
      <c r="I685">
        <v>7200000</v>
      </c>
      <c r="J685" t="s">
        <v>52</v>
      </c>
      <c r="K685">
        <v>19</v>
      </c>
      <c r="L685">
        <v>1136</v>
      </c>
      <c r="M685">
        <v>0</v>
      </c>
      <c r="N685">
        <v>349</v>
      </c>
      <c r="O685">
        <v>0</v>
      </c>
      <c r="P685">
        <v>0</v>
      </c>
      <c r="Q685">
        <v>0</v>
      </c>
      <c r="R685">
        <v>7</v>
      </c>
      <c r="S685">
        <v>4</v>
      </c>
      <c r="T685">
        <v>3</v>
      </c>
      <c r="U685">
        <v>0</v>
      </c>
      <c r="V685">
        <v>0</v>
      </c>
      <c r="W685">
        <v>26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1</v>
      </c>
      <c r="AE685">
        <v>15</v>
      </c>
      <c r="AF685">
        <v>4</v>
      </c>
      <c r="AG685">
        <v>26</v>
      </c>
      <c r="AH685">
        <v>4</v>
      </c>
      <c r="AI685">
        <v>0</v>
      </c>
      <c r="AJ685">
        <v>35</v>
      </c>
      <c r="AK685">
        <v>0</v>
      </c>
      <c r="AL685">
        <v>0</v>
      </c>
      <c r="AM685">
        <v>49</v>
      </c>
      <c r="AN685">
        <v>23</v>
      </c>
      <c r="AO685">
        <v>18</v>
      </c>
      <c r="AQ685" t="str">
        <f t="shared" si="10"/>
        <v>Defensive Forward</v>
      </c>
    </row>
    <row r="686" spans="1:43" x14ac:dyDescent="0.35">
      <c r="A686" t="s">
        <v>458</v>
      </c>
      <c r="B686" t="s">
        <v>39</v>
      </c>
      <c r="C686" t="s">
        <v>1552</v>
      </c>
      <c r="D686">
        <v>1992</v>
      </c>
      <c r="E686">
        <v>22</v>
      </c>
      <c r="F686" t="s">
        <v>99</v>
      </c>
      <c r="G686" t="s">
        <v>69</v>
      </c>
      <c r="H686">
        <v>5400000</v>
      </c>
      <c r="I686">
        <v>7200000</v>
      </c>
      <c r="J686" t="s">
        <v>52</v>
      </c>
      <c r="K686">
        <v>15</v>
      </c>
      <c r="L686">
        <v>1383</v>
      </c>
      <c r="M686">
        <v>1</v>
      </c>
      <c r="N686">
        <v>461</v>
      </c>
      <c r="O686">
        <v>2</v>
      </c>
      <c r="P686">
        <v>4</v>
      </c>
      <c r="Q686">
        <v>0</v>
      </c>
      <c r="R686">
        <v>10</v>
      </c>
      <c r="S686">
        <v>5</v>
      </c>
      <c r="T686">
        <v>26</v>
      </c>
      <c r="U686">
        <v>6</v>
      </c>
      <c r="V686">
        <v>0</v>
      </c>
      <c r="W686">
        <v>13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45</v>
      </c>
      <c r="AF686">
        <v>1</v>
      </c>
      <c r="AG686">
        <v>31</v>
      </c>
      <c r="AH686">
        <v>15</v>
      </c>
      <c r="AI686">
        <v>0</v>
      </c>
      <c r="AJ686">
        <v>46</v>
      </c>
      <c r="AK686">
        <v>0</v>
      </c>
      <c r="AL686">
        <v>0</v>
      </c>
      <c r="AM686">
        <v>21</v>
      </c>
      <c r="AN686">
        <v>26</v>
      </c>
      <c r="AO686">
        <v>28</v>
      </c>
      <c r="AQ686" t="str">
        <f t="shared" si="10"/>
        <v>Defensive Forward</v>
      </c>
    </row>
    <row r="687" spans="1:43" x14ac:dyDescent="0.35">
      <c r="A687" t="s">
        <v>458</v>
      </c>
      <c r="B687" t="s">
        <v>46</v>
      </c>
      <c r="C687" t="s">
        <v>1553</v>
      </c>
      <c r="D687">
        <v>1992</v>
      </c>
      <c r="E687">
        <v>25</v>
      </c>
      <c r="F687" t="s">
        <v>64</v>
      </c>
      <c r="G687" t="s">
        <v>69</v>
      </c>
      <c r="H687">
        <v>8100000</v>
      </c>
      <c r="I687">
        <v>9000000</v>
      </c>
      <c r="J687" t="s">
        <v>52</v>
      </c>
      <c r="K687">
        <v>30</v>
      </c>
      <c r="L687">
        <v>1665</v>
      </c>
      <c r="M687">
        <v>4</v>
      </c>
      <c r="N687">
        <v>630</v>
      </c>
      <c r="O687">
        <v>1</v>
      </c>
      <c r="P687">
        <v>0</v>
      </c>
      <c r="Q687">
        <v>0</v>
      </c>
      <c r="R687">
        <v>12</v>
      </c>
      <c r="S687">
        <v>7</v>
      </c>
      <c r="T687">
        <v>28</v>
      </c>
      <c r="U687">
        <v>8</v>
      </c>
      <c r="V687">
        <v>0</v>
      </c>
      <c r="W687">
        <v>13</v>
      </c>
      <c r="X687">
        <v>0</v>
      </c>
      <c r="Y687">
        <v>0</v>
      </c>
      <c r="Z687">
        <v>0</v>
      </c>
      <c r="AA687">
        <v>1</v>
      </c>
      <c r="AB687">
        <v>3</v>
      </c>
      <c r="AC687">
        <v>20</v>
      </c>
      <c r="AD687">
        <v>0</v>
      </c>
      <c r="AE687">
        <v>17</v>
      </c>
      <c r="AF687">
        <v>8</v>
      </c>
      <c r="AG687">
        <v>19</v>
      </c>
      <c r="AH687">
        <v>25</v>
      </c>
      <c r="AI687">
        <v>0</v>
      </c>
      <c r="AJ687">
        <v>41</v>
      </c>
      <c r="AK687">
        <v>0</v>
      </c>
      <c r="AL687">
        <v>0</v>
      </c>
      <c r="AM687">
        <v>21</v>
      </c>
      <c r="AN687">
        <v>54</v>
      </c>
      <c r="AO687">
        <v>61</v>
      </c>
      <c r="AQ687" t="str">
        <f t="shared" si="10"/>
        <v>Defensive Forward</v>
      </c>
    </row>
    <row r="688" spans="1:43" x14ac:dyDescent="0.35">
      <c r="A688" t="s">
        <v>458</v>
      </c>
      <c r="B688" t="s">
        <v>43</v>
      </c>
      <c r="C688" t="s">
        <v>1554</v>
      </c>
      <c r="D688">
        <v>1992</v>
      </c>
      <c r="E688">
        <v>25</v>
      </c>
      <c r="F688" t="s">
        <v>64</v>
      </c>
      <c r="G688" t="s">
        <v>69</v>
      </c>
      <c r="H688">
        <v>7200000</v>
      </c>
      <c r="I688">
        <v>8100000</v>
      </c>
      <c r="J688" t="s">
        <v>52</v>
      </c>
      <c r="K688">
        <v>24</v>
      </c>
      <c r="L688">
        <v>1748</v>
      </c>
      <c r="M688">
        <v>0</v>
      </c>
      <c r="N688">
        <v>654</v>
      </c>
      <c r="O688">
        <v>1</v>
      </c>
      <c r="P688">
        <v>3</v>
      </c>
      <c r="Q688">
        <v>0</v>
      </c>
      <c r="R688">
        <v>3</v>
      </c>
      <c r="S688">
        <v>6</v>
      </c>
      <c r="T688">
        <v>15</v>
      </c>
      <c r="U688">
        <v>2</v>
      </c>
      <c r="V688">
        <v>0</v>
      </c>
      <c r="W688">
        <v>29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13</v>
      </c>
      <c r="AD688">
        <v>0</v>
      </c>
      <c r="AE688">
        <v>31</v>
      </c>
      <c r="AF688">
        <v>8</v>
      </c>
      <c r="AG688">
        <v>24</v>
      </c>
      <c r="AH688">
        <v>18</v>
      </c>
      <c r="AI688">
        <v>0</v>
      </c>
      <c r="AJ688">
        <v>57</v>
      </c>
      <c r="AK688">
        <v>0</v>
      </c>
      <c r="AL688">
        <v>0</v>
      </c>
      <c r="AM688">
        <v>54</v>
      </c>
      <c r="AN688">
        <v>39</v>
      </c>
      <c r="AO688">
        <v>51</v>
      </c>
      <c r="AQ688" t="str">
        <f t="shared" si="10"/>
        <v>Defensive Forward</v>
      </c>
    </row>
    <row r="689" spans="1:43" x14ac:dyDescent="0.35">
      <c r="A689" t="s">
        <v>459</v>
      </c>
      <c r="B689" t="s">
        <v>39</v>
      </c>
      <c r="C689" t="s">
        <v>1555</v>
      </c>
      <c r="D689">
        <v>1987</v>
      </c>
      <c r="E689">
        <v>27</v>
      </c>
      <c r="F689" t="s">
        <v>78</v>
      </c>
      <c r="G689" t="s">
        <v>216</v>
      </c>
      <c r="H689">
        <v>12000000</v>
      </c>
      <c r="I689">
        <v>9900000</v>
      </c>
      <c r="J689" t="s">
        <v>42</v>
      </c>
      <c r="K689">
        <v>20</v>
      </c>
      <c r="L689">
        <v>1293</v>
      </c>
      <c r="M689">
        <v>3</v>
      </c>
      <c r="N689">
        <v>385</v>
      </c>
      <c r="O689">
        <v>3</v>
      </c>
      <c r="P689">
        <v>3</v>
      </c>
      <c r="Q689">
        <v>1</v>
      </c>
      <c r="R689">
        <v>6</v>
      </c>
      <c r="S689">
        <v>7</v>
      </c>
      <c r="T689">
        <v>26</v>
      </c>
      <c r="U689">
        <v>7</v>
      </c>
      <c r="V689">
        <v>1</v>
      </c>
      <c r="W689">
        <v>2</v>
      </c>
      <c r="X689">
        <v>0</v>
      </c>
      <c r="Y689">
        <v>0</v>
      </c>
      <c r="Z689">
        <v>0</v>
      </c>
      <c r="AA689">
        <v>4</v>
      </c>
      <c r="AB689">
        <v>6</v>
      </c>
      <c r="AC689">
        <v>0</v>
      </c>
      <c r="AD689">
        <v>18</v>
      </c>
      <c r="AE689">
        <v>80</v>
      </c>
      <c r="AF689">
        <v>0</v>
      </c>
      <c r="AG689">
        <v>3</v>
      </c>
      <c r="AH689">
        <v>27</v>
      </c>
      <c r="AI689">
        <v>0</v>
      </c>
      <c r="AJ689">
        <v>36</v>
      </c>
      <c r="AK689">
        <v>0</v>
      </c>
      <c r="AL689">
        <v>0</v>
      </c>
      <c r="AM689">
        <v>10</v>
      </c>
      <c r="AN689">
        <v>21</v>
      </c>
      <c r="AO689">
        <v>19</v>
      </c>
      <c r="AQ689" t="str">
        <f t="shared" si="10"/>
        <v>Forward</v>
      </c>
    </row>
    <row r="690" spans="1:43" x14ac:dyDescent="0.35">
      <c r="A690" t="s">
        <v>460</v>
      </c>
      <c r="B690" t="s">
        <v>43</v>
      </c>
      <c r="C690" t="s">
        <v>1556</v>
      </c>
      <c r="D690">
        <v>1982</v>
      </c>
      <c r="E690">
        <v>34</v>
      </c>
      <c r="F690" t="s">
        <v>84</v>
      </c>
      <c r="G690" t="s">
        <v>51</v>
      </c>
      <c r="H690">
        <v>4500000</v>
      </c>
      <c r="I690">
        <v>2250000</v>
      </c>
      <c r="J690" t="s">
        <v>42</v>
      </c>
      <c r="K690">
        <v>24</v>
      </c>
      <c r="L690">
        <v>1083</v>
      </c>
      <c r="M690">
        <v>4</v>
      </c>
      <c r="N690">
        <v>131</v>
      </c>
      <c r="O690">
        <v>1</v>
      </c>
      <c r="P690">
        <v>1</v>
      </c>
      <c r="Q690">
        <v>0</v>
      </c>
      <c r="R690">
        <v>13</v>
      </c>
      <c r="S690">
        <v>9</v>
      </c>
      <c r="T690">
        <v>27</v>
      </c>
      <c r="U690">
        <v>15</v>
      </c>
      <c r="V690">
        <v>3</v>
      </c>
      <c r="W690">
        <v>0</v>
      </c>
      <c r="X690">
        <v>0</v>
      </c>
      <c r="Y690">
        <v>0</v>
      </c>
      <c r="Z690">
        <v>0</v>
      </c>
      <c r="AA690">
        <v>9</v>
      </c>
      <c r="AB690">
        <v>1</v>
      </c>
      <c r="AC690">
        <v>12</v>
      </c>
      <c r="AD690">
        <v>0</v>
      </c>
      <c r="AE690">
        <v>5</v>
      </c>
      <c r="AF690">
        <v>0</v>
      </c>
      <c r="AG690">
        <v>4</v>
      </c>
      <c r="AH690">
        <v>12</v>
      </c>
      <c r="AI690">
        <v>0</v>
      </c>
      <c r="AJ690">
        <v>12</v>
      </c>
      <c r="AK690">
        <v>0</v>
      </c>
      <c r="AL690">
        <v>0</v>
      </c>
      <c r="AM690">
        <v>0</v>
      </c>
      <c r="AN690">
        <v>2</v>
      </c>
      <c r="AO690">
        <v>18</v>
      </c>
      <c r="AQ690" t="str">
        <f t="shared" si="10"/>
        <v>Forward</v>
      </c>
    </row>
    <row r="691" spans="1:43" x14ac:dyDescent="0.35">
      <c r="A691" t="s">
        <v>460</v>
      </c>
      <c r="B691" t="s">
        <v>39</v>
      </c>
      <c r="C691" t="s">
        <v>1557</v>
      </c>
      <c r="D691">
        <v>1982</v>
      </c>
      <c r="E691">
        <v>32</v>
      </c>
      <c r="F691" t="s">
        <v>78</v>
      </c>
      <c r="G691" t="s">
        <v>51</v>
      </c>
      <c r="H691">
        <v>5850000</v>
      </c>
      <c r="I691">
        <v>5850000</v>
      </c>
      <c r="J691" t="s">
        <v>42</v>
      </c>
      <c r="K691">
        <v>33</v>
      </c>
      <c r="L691">
        <v>2550</v>
      </c>
      <c r="M691">
        <v>15</v>
      </c>
      <c r="N691">
        <v>425</v>
      </c>
      <c r="O691">
        <v>0</v>
      </c>
      <c r="P691">
        <v>3</v>
      </c>
      <c r="Q691">
        <v>0</v>
      </c>
      <c r="R691">
        <v>5</v>
      </c>
      <c r="S691">
        <v>5</v>
      </c>
      <c r="T691">
        <v>85</v>
      </c>
      <c r="U691">
        <v>39</v>
      </c>
      <c r="V691">
        <v>1</v>
      </c>
      <c r="W691">
        <v>0</v>
      </c>
      <c r="X691">
        <v>0</v>
      </c>
      <c r="Y691">
        <v>1</v>
      </c>
      <c r="Z691">
        <v>0</v>
      </c>
      <c r="AA691">
        <v>43</v>
      </c>
      <c r="AB691">
        <v>4</v>
      </c>
      <c r="AC691">
        <v>7</v>
      </c>
      <c r="AD691">
        <v>0</v>
      </c>
      <c r="AE691">
        <v>13</v>
      </c>
      <c r="AF691">
        <v>0</v>
      </c>
      <c r="AG691">
        <v>2</v>
      </c>
      <c r="AH691">
        <v>17</v>
      </c>
      <c r="AI691">
        <v>0</v>
      </c>
      <c r="AJ691">
        <v>17</v>
      </c>
      <c r="AK691">
        <v>0</v>
      </c>
      <c r="AL691">
        <v>0</v>
      </c>
      <c r="AM691">
        <v>2</v>
      </c>
      <c r="AN691">
        <v>8</v>
      </c>
      <c r="AO691">
        <v>34</v>
      </c>
      <c r="AQ691" t="str">
        <f t="shared" si="10"/>
        <v>Forward</v>
      </c>
    </row>
    <row r="692" spans="1:43" x14ac:dyDescent="0.35">
      <c r="A692" t="s">
        <v>460</v>
      </c>
      <c r="B692" t="s">
        <v>47</v>
      </c>
      <c r="C692" t="s">
        <v>1558</v>
      </c>
      <c r="D692">
        <v>1982</v>
      </c>
      <c r="E692">
        <v>33</v>
      </c>
      <c r="F692" t="s">
        <v>78</v>
      </c>
      <c r="G692" t="s">
        <v>51</v>
      </c>
      <c r="H692">
        <v>5850000</v>
      </c>
      <c r="I692">
        <v>4500000</v>
      </c>
      <c r="J692" t="s">
        <v>42</v>
      </c>
      <c r="K692">
        <v>37</v>
      </c>
      <c r="L692">
        <v>3322</v>
      </c>
      <c r="M692">
        <v>15</v>
      </c>
      <c r="N692">
        <v>456</v>
      </c>
      <c r="O692">
        <v>2</v>
      </c>
      <c r="P692">
        <v>1</v>
      </c>
      <c r="Q692">
        <v>0</v>
      </c>
      <c r="R692">
        <v>0</v>
      </c>
      <c r="S692">
        <v>2</v>
      </c>
      <c r="T692">
        <v>99</v>
      </c>
      <c r="U692">
        <v>31</v>
      </c>
      <c r="V692">
        <v>2</v>
      </c>
      <c r="W692">
        <v>0</v>
      </c>
      <c r="X692">
        <v>0</v>
      </c>
      <c r="Y692">
        <v>5</v>
      </c>
      <c r="Z692">
        <v>0</v>
      </c>
      <c r="AA692">
        <v>36</v>
      </c>
      <c r="AB692">
        <v>1</v>
      </c>
      <c r="AC692">
        <v>7</v>
      </c>
      <c r="AD692">
        <v>0</v>
      </c>
      <c r="AE692">
        <v>19</v>
      </c>
      <c r="AF692">
        <v>2</v>
      </c>
      <c r="AG692">
        <v>3</v>
      </c>
      <c r="AH692">
        <v>24</v>
      </c>
      <c r="AI692">
        <v>0</v>
      </c>
      <c r="AJ692">
        <v>20</v>
      </c>
      <c r="AK692">
        <v>0</v>
      </c>
      <c r="AL692">
        <v>0</v>
      </c>
      <c r="AM692">
        <v>2</v>
      </c>
      <c r="AN692">
        <v>2</v>
      </c>
      <c r="AO692">
        <v>21</v>
      </c>
      <c r="AQ692" t="str">
        <f t="shared" si="10"/>
        <v>Forward</v>
      </c>
    </row>
    <row r="693" spans="1:43" x14ac:dyDescent="0.35">
      <c r="A693" t="s">
        <v>461</v>
      </c>
      <c r="B693" t="s">
        <v>43</v>
      </c>
      <c r="C693" t="s">
        <v>1559</v>
      </c>
      <c r="D693">
        <v>1993</v>
      </c>
      <c r="E693">
        <v>24</v>
      </c>
      <c r="F693" t="s">
        <v>184</v>
      </c>
      <c r="G693" t="s">
        <v>45</v>
      </c>
      <c r="H693">
        <v>6750000</v>
      </c>
      <c r="I693">
        <v>6750000</v>
      </c>
      <c r="J693" t="s">
        <v>42</v>
      </c>
      <c r="K693">
        <v>13</v>
      </c>
      <c r="L693">
        <v>616</v>
      </c>
      <c r="M693">
        <v>1</v>
      </c>
      <c r="N693">
        <v>146</v>
      </c>
      <c r="O693">
        <v>1</v>
      </c>
      <c r="P693">
        <v>0</v>
      </c>
      <c r="Q693">
        <v>0</v>
      </c>
      <c r="R693">
        <v>5</v>
      </c>
      <c r="S693">
        <v>8</v>
      </c>
      <c r="T693">
        <v>13</v>
      </c>
      <c r="U693">
        <v>5</v>
      </c>
      <c r="V693">
        <v>0</v>
      </c>
      <c r="W693">
        <v>2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8</v>
      </c>
      <c r="AD693">
        <v>3</v>
      </c>
      <c r="AE693">
        <v>13</v>
      </c>
      <c r="AF693">
        <v>0</v>
      </c>
      <c r="AG693">
        <v>0</v>
      </c>
      <c r="AH693">
        <v>5</v>
      </c>
      <c r="AI693">
        <v>0</v>
      </c>
      <c r="AJ693">
        <v>10</v>
      </c>
      <c r="AK693">
        <v>0</v>
      </c>
      <c r="AL693">
        <v>0</v>
      </c>
      <c r="AM693">
        <v>3</v>
      </c>
      <c r="AN693">
        <v>0</v>
      </c>
      <c r="AO693">
        <v>9</v>
      </c>
      <c r="AQ693" t="str">
        <f t="shared" si="10"/>
        <v>Forward</v>
      </c>
    </row>
    <row r="694" spans="1:43" x14ac:dyDescent="0.35">
      <c r="A694" t="s">
        <v>462</v>
      </c>
      <c r="B694" t="s">
        <v>39</v>
      </c>
      <c r="C694" t="s">
        <v>1560</v>
      </c>
      <c r="D694">
        <v>1985</v>
      </c>
      <c r="E694">
        <v>30</v>
      </c>
      <c r="F694" t="s">
        <v>114</v>
      </c>
      <c r="G694" t="s">
        <v>45</v>
      </c>
      <c r="H694">
        <v>18000000</v>
      </c>
      <c r="I694">
        <v>18000000</v>
      </c>
      <c r="J694" t="s">
        <v>42</v>
      </c>
      <c r="K694">
        <v>34</v>
      </c>
      <c r="L694">
        <v>2279</v>
      </c>
      <c r="M694">
        <v>0</v>
      </c>
      <c r="N694">
        <v>1268</v>
      </c>
      <c r="O694">
        <v>7</v>
      </c>
      <c r="P694">
        <v>1</v>
      </c>
      <c r="Q694">
        <v>0</v>
      </c>
      <c r="R694">
        <v>10</v>
      </c>
      <c r="S694">
        <v>8</v>
      </c>
      <c r="T694">
        <v>31</v>
      </c>
      <c r="U694">
        <v>8</v>
      </c>
      <c r="V694">
        <v>0</v>
      </c>
      <c r="W694">
        <v>3</v>
      </c>
      <c r="X694">
        <v>0</v>
      </c>
      <c r="Y694">
        <v>0</v>
      </c>
      <c r="Z694">
        <v>0</v>
      </c>
      <c r="AA694">
        <v>4</v>
      </c>
      <c r="AB694">
        <v>7</v>
      </c>
      <c r="AC694">
        <v>4</v>
      </c>
      <c r="AD694">
        <v>53</v>
      </c>
      <c r="AE694">
        <v>176</v>
      </c>
      <c r="AF694">
        <v>0</v>
      </c>
      <c r="AG694">
        <v>21</v>
      </c>
      <c r="AH694">
        <v>18</v>
      </c>
      <c r="AI694">
        <v>0</v>
      </c>
      <c r="AJ694">
        <v>29</v>
      </c>
      <c r="AK694">
        <v>0</v>
      </c>
      <c r="AL694">
        <v>0</v>
      </c>
      <c r="AM694">
        <v>11</v>
      </c>
      <c r="AN694">
        <v>9</v>
      </c>
      <c r="AO694">
        <v>33</v>
      </c>
      <c r="AQ694" t="str">
        <f t="shared" si="10"/>
        <v>Forward</v>
      </c>
    </row>
    <row r="695" spans="1:43" x14ac:dyDescent="0.35">
      <c r="A695" t="s">
        <v>462</v>
      </c>
      <c r="B695" t="s">
        <v>47</v>
      </c>
      <c r="C695" t="s">
        <v>1561</v>
      </c>
      <c r="D695">
        <v>1985</v>
      </c>
      <c r="E695">
        <v>30</v>
      </c>
      <c r="F695" t="s">
        <v>114</v>
      </c>
      <c r="G695" t="s">
        <v>45</v>
      </c>
      <c r="H695">
        <v>27000000</v>
      </c>
      <c r="I695">
        <v>22500000</v>
      </c>
      <c r="J695" t="s">
        <v>55</v>
      </c>
      <c r="K695">
        <v>24</v>
      </c>
      <c r="L695">
        <v>1058</v>
      </c>
      <c r="M695">
        <v>0</v>
      </c>
      <c r="N695">
        <v>582</v>
      </c>
      <c r="O695">
        <v>0</v>
      </c>
      <c r="P695">
        <v>2</v>
      </c>
      <c r="Q695">
        <v>0</v>
      </c>
      <c r="R695">
        <v>12</v>
      </c>
      <c r="S695">
        <v>6</v>
      </c>
      <c r="T695">
        <v>8</v>
      </c>
      <c r="U695">
        <v>2</v>
      </c>
      <c r="V695">
        <v>1</v>
      </c>
      <c r="W695">
        <v>1</v>
      </c>
      <c r="X695">
        <v>0</v>
      </c>
      <c r="Y695">
        <v>0</v>
      </c>
      <c r="Z695">
        <v>0</v>
      </c>
      <c r="AA695">
        <v>3</v>
      </c>
      <c r="AB695">
        <v>2</v>
      </c>
      <c r="AC695">
        <v>0</v>
      </c>
      <c r="AD695">
        <v>8</v>
      </c>
      <c r="AE695">
        <v>92</v>
      </c>
      <c r="AF695">
        <v>1</v>
      </c>
      <c r="AG695">
        <v>22</v>
      </c>
      <c r="AH695">
        <v>6</v>
      </c>
      <c r="AI695">
        <v>0</v>
      </c>
      <c r="AJ695">
        <v>19</v>
      </c>
      <c r="AK695">
        <v>0</v>
      </c>
      <c r="AL695">
        <v>0</v>
      </c>
      <c r="AM695">
        <v>13</v>
      </c>
      <c r="AN695">
        <v>9</v>
      </c>
      <c r="AO695">
        <v>16</v>
      </c>
      <c r="AQ695" t="str">
        <f t="shared" si="10"/>
        <v>Midfielder</v>
      </c>
    </row>
    <row r="696" spans="1:43" x14ac:dyDescent="0.35">
      <c r="A696" t="s">
        <v>463</v>
      </c>
      <c r="B696" t="s">
        <v>39</v>
      </c>
      <c r="C696" t="s">
        <v>1562</v>
      </c>
      <c r="D696">
        <v>1992</v>
      </c>
      <c r="E696">
        <v>22</v>
      </c>
      <c r="F696" t="s">
        <v>129</v>
      </c>
      <c r="G696" t="s">
        <v>51</v>
      </c>
      <c r="H696">
        <v>6600000</v>
      </c>
      <c r="I696">
        <v>13200000</v>
      </c>
      <c r="J696" t="s">
        <v>55</v>
      </c>
      <c r="K696">
        <v>25</v>
      </c>
      <c r="L696">
        <v>1635</v>
      </c>
      <c r="M696">
        <v>4</v>
      </c>
      <c r="N696">
        <v>712</v>
      </c>
      <c r="O696">
        <v>1</v>
      </c>
      <c r="P696">
        <v>4</v>
      </c>
      <c r="Q696">
        <v>0</v>
      </c>
      <c r="R696">
        <v>6</v>
      </c>
      <c r="S696">
        <v>8</v>
      </c>
      <c r="T696">
        <v>31</v>
      </c>
      <c r="U696">
        <v>13</v>
      </c>
      <c r="V696">
        <v>1</v>
      </c>
      <c r="W696">
        <v>1</v>
      </c>
      <c r="X696">
        <v>1</v>
      </c>
      <c r="Y696">
        <v>0</v>
      </c>
      <c r="Z696">
        <v>0</v>
      </c>
      <c r="AA696">
        <v>5</v>
      </c>
      <c r="AB696">
        <v>4</v>
      </c>
      <c r="AC696">
        <v>3</v>
      </c>
      <c r="AD696">
        <v>3</v>
      </c>
      <c r="AE696">
        <v>22</v>
      </c>
      <c r="AF696">
        <v>1</v>
      </c>
      <c r="AG696">
        <v>15</v>
      </c>
      <c r="AH696">
        <v>24</v>
      </c>
      <c r="AI696">
        <v>0</v>
      </c>
      <c r="AJ696">
        <v>38</v>
      </c>
      <c r="AK696">
        <v>0</v>
      </c>
      <c r="AL696">
        <v>0</v>
      </c>
      <c r="AM696">
        <v>11</v>
      </c>
      <c r="AN696">
        <v>2</v>
      </c>
      <c r="AO696">
        <v>20</v>
      </c>
      <c r="AQ696" t="str">
        <f t="shared" si="10"/>
        <v>Midfielder</v>
      </c>
    </row>
    <row r="697" spans="1:43" x14ac:dyDescent="0.35">
      <c r="A697" t="s">
        <v>463</v>
      </c>
      <c r="B697" t="s">
        <v>47</v>
      </c>
      <c r="C697" t="s">
        <v>1563</v>
      </c>
      <c r="D697">
        <v>1992</v>
      </c>
      <c r="E697">
        <v>23</v>
      </c>
      <c r="F697" t="s">
        <v>129</v>
      </c>
      <c r="G697" t="s">
        <v>51</v>
      </c>
      <c r="H697">
        <v>38500000</v>
      </c>
      <c r="I697">
        <v>44000000</v>
      </c>
      <c r="J697" t="s">
        <v>55</v>
      </c>
      <c r="K697">
        <v>25</v>
      </c>
      <c r="L697">
        <v>1366</v>
      </c>
      <c r="M697">
        <v>0</v>
      </c>
      <c r="N697">
        <v>727</v>
      </c>
      <c r="O697">
        <v>2</v>
      </c>
      <c r="P697">
        <v>3</v>
      </c>
      <c r="Q697">
        <v>0</v>
      </c>
      <c r="R697">
        <v>7</v>
      </c>
      <c r="S697">
        <v>15</v>
      </c>
      <c r="T697">
        <v>37</v>
      </c>
      <c r="U697">
        <v>13</v>
      </c>
      <c r="V697">
        <v>2</v>
      </c>
      <c r="W697">
        <v>2</v>
      </c>
      <c r="X697">
        <v>0</v>
      </c>
      <c r="Y697">
        <v>0</v>
      </c>
      <c r="Z697">
        <v>0</v>
      </c>
      <c r="AA697">
        <v>4</v>
      </c>
      <c r="AB697">
        <v>11</v>
      </c>
      <c r="AC697">
        <v>4</v>
      </c>
      <c r="AD697">
        <v>1</v>
      </c>
      <c r="AE697">
        <v>25</v>
      </c>
      <c r="AF697">
        <v>1</v>
      </c>
      <c r="AG697">
        <v>14</v>
      </c>
      <c r="AH697">
        <v>26</v>
      </c>
      <c r="AI697">
        <v>0</v>
      </c>
      <c r="AJ697">
        <v>17</v>
      </c>
      <c r="AK697">
        <v>0</v>
      </c>
      <c r="AL697">
        <v>0</v>
      </c>
      <c r="AM697">
        <v>8</v>
      </c>
      <c r="AN697">
        <v>5</v>
      </c>
      <c r="AO697">
        <v>15</v>
      </c>
      <c r="AQ697" t="str">
        <f t="shared" si="10"/>
        <v>Midfielder</v>
      </c>
    </row>
    <row r="698" spans="1:43" x14ac:dyDescent="0.35">
      <c r="A698" t="s">
        <v>463</v>
      </c>
      <c r="B698" t="s">
        <v>46</v>
      </c>
      <c r="C698" t="s">
        <v>1564</v>
      </c>
      <c r="D698">
        <v>1992</v>
      </c>
      <c r="E698">
        <v>25</v>
      </c>
      <c r="F698" t="s">
        <v>129</v>
      </c>
      <c r="G698" t="s">
        <v>51</v>
      </c>
      <c r="H698">
        <v>13200000</v>
      </c>
      <c r="I698">
        <v>38500000</v>
      </c>
      <c r="J698" t="s">
        <v>55</v>
      </c>
      <c r="K698">
        <v>27</v>
      </c>
      <c r="L698">
        <v>1669</v>
      </c>
      <c r="M698">
        <v>4</v>
      </c>
      <c r="N698">
        <v>761</v>
      </c>
      <c r="O698">
        <v>2</v>
      </c>
      <c r="P698">
        <v>3</v>
      </c>
      <c r="Q698">
        <v>0</v>
      </c>
      <c r="R698">
        <v>8</v>
      </c>
      <c r="S698">
        <v>13</v>
      </c>
      <c r="T698">
        <v>32</v>
      </c>
      <c r="U698">
        <v>14</v>
      </c>
      <c r="V698">
        <v>0</v>
      </c>
      <c r="W698">
        <v>2</v>
      </c>
      <c r="X698">
        <v>0</v>
      </c>
      <c r="Y698">
        <v>0</v>
      </c>
      <c r="Z698">
        <v>0</v>
      </c>
      <c r="AA698">
        <v>7</v>
      </c>
      <c r="AB698">
        <v>3</v>
      </c>
      <c r="AC698">
        <v>18</v>
      </c>
      <c r="AD698">
        <v>2</v>
      </c>
      <c r="AE698">
        <v>18</v>
      </c>
      <c r="AF698">
        <v>2</v>
      </c>
      <c r="AG698">
        <v>10</v>
      </c>
      <c r="AH698">
        <v>27</v>
      </c>
      <c r="AI698">
        <v>0</v>
      </c>
      <c r="AJ698">
        <v>29</v>
      </c>
      <c r="AK698">
        <v>0</v>
      </c>
      <c r="AL698">
        <v>0</v>
      </c>
      <c r="AM698">
        <v>5</v>
      </c>
      <c r="AN698">
        <v>5</v>
      </c>
      <c r="AO698">
        <v>27</v>
      </c>
      <c r="AQ698" t="str">
        <f t="shared" si="10"/>
        <v>Midfielder</v>
      </c>
    </row>
    <row r="699" spans="1:43" x14ac:dyDescent="0.35">
      <c r="A699" t="s">
        <v>463</v>
      </c>
      <c r="B699" t="s">
        <v>43</v>
      </c>
      <c r="C699" t="s">
        <v>1565</v>
      </c>
      <c r="D699">
        <v>1992</v>
      </c>
      <c r="E699">
        <v>25</v>
      </c>
      <c r="F699" t="s">
        <v>129</v>
      </c>
      <c r="G699" t="s">
        <v>51</v>
      </c>
      <c r="H699">
        <v>22000000</v>
      </c>
      <c r="I699">
        <v>13200000</v>
      </c>
      <c r="J699" t="s">
        <v>55</v>
      </c>
      <c r="K699">
        <v>33</v>
      </c>
      <c r="L699">
        <v>1823</v>
      </c>
      <c r="M699">
        <v>8</v>
      </c>
      <c r="N699">
        <v>932</v>
      </c>
      <c r="O699">
        <v>5</v>
      </c>
      <c r="P699">
        <v>2</v>
      </c>
      <c r="Q699">
        <v>0</v>
      </c>
      <c r="R699">
        <v>13</v>
      </c>
      <c r="S699">
        <v>17</v>
      </c>
      <c r="T699">
        <v>56</v>
      </c>
      <c r="U699">
        <v>23</v>
      </c>
      <c r="V699">
        <v>3</v>
      </c>
      <c r="W699">
        <v>0</v>
      </c>
      <c r="X699">
        <v>1</v>
      </c>
      <c r="Y699">
        <v>0</v>
      </c>
      <c r="Z699">
        <v>0</v>
      </c>
      <c r="AA699">
        <v>4</v>
      </c>
      <c r="AB699">
        <v>8</v>
      </c>
      <c r="AC699">
        <v>33</v>
      </c>
      <c r="AD699">
        <v>24</v>
      </c>
      <c r="AE699">
        <v>46</v>
      </c>
      <c r="AF699">
        <v>3</v>
      </c>
      <c r="AG699">
        <v>9</v>
      </c>
      <c r="AH699">
        <v>34</v>
      </c>
      <c r="AI699">
        <v>0</v>
      </c>
      <c r="AJ699">
        <v>30</v>
      </c>
      <c r="AK699">
        <v>0</v>
      </c>
      <c r="AL699">
        <v>0</v>
      </c>
      <c r="AM699">
        <v>10</v>
      </c>
      <c r="AN699">
        <v>5</v>
      </c>
      <c r="AO699">
        <v>26</v>
      </c>
      <c r="AQ699" t="str">
        <f t="shared" si="10"/>
        <v>Midfielder</v>
      </c>
    </row>
    <row r="700" spans="1:43" x14ac:dyDescent="0.35">
      <c r="A700" t="s">
        <v>464</v>
      </c>
      <c r="B700" t="s">
        <v>43</v>
      </c>
      <c r="C700" t="s">
        <v>1566</v>
      </c>
      <c r="D700">
        <v>1993</v>
      </c>
      <c r="E700">
        <v>24</v>
      </c>
      <c r="F700" t="s">
        <v>50</v>
      </c>
      <c r="G700" t="s">
        <v>41</v>
      </c>
      <c r="H700">
        <v>9000000</v>
      </c>
      <c r="I700">
        <v>9000000</v>
      </c>
      <c r="J700" t="s">
        <v>55</v>
      </c>
      <c r="K700">
        <v>13</v>
      </c>
      <c r="L700">
        <v>1027</v>
      </c>
      <c r="M700">
        <v>2</v>
      </c>
      <c r="N700">
        <v>442</v>
      </c>
      <c r="O700">
        <v>1</v>
      </c>
      <c r="P700">
        <v>0</v>
      </c>
      <c r="Q700">
        <v>0</v>
      </c>
      <c r="R700">
        <v>1</v>
      </c>
      <c r="S700">
        <v>6</v>
      </c>
      <c r="T700">
        <v>16</v>
      </c>
      <c r="U700">
        <v>4</v>
      </c>
      <c r="V700">
        <v>0</v>
      </c>
      <c r="W700">
        <v>2</v>
      </c>
      <c r="X700">
        <v>0</v>
      </c>
      <c r="Y700">
        <v>0</v>
      </c>
      <c r="Z700">
        <v>0</v>
      </c>
      <c r="AA700">
        <v>0</v>
      </c>
      <c r="AB700">
        <v>5</v>
      </c>
      <c r="AC700">
        <v>12</v>
      </c>
      <c r="AD700">
        <v>30</v>
      </c>
      <c r="AE700">
        <v>50</v>
      </c>
      <c r="AF700">
        <v>0</v>
      </c>
      <c r="AG700">
        <v>8</v>
      </c>
      <c r="AH700">
        <v>14</v>
      </c>
      <c r="AI700">
        <v>0</v>
      </c>
      <c r="AJ700">
        <v>14</v>
      </c>
      <c r="AK700">
        <v>0</v>
      </c>
      <c r="AL700">
        <v>0</v>
      </c>
      <c r="AM700">
        <v>3</v>
      </c>
      <c r="AN700">
        <v>7</v>
      </c>
      <c r="AO700">
        <v>27</v>
      </c>
      <c r="AQ700" t="str">
        <f t="shared" si="10"/>
        <v>Midfielder</v>
      </c>
    </row>
    <row r="701" spans="1:43" x14ac:dyDescent="0.35">
      <c r="A701" t="s">
        <v>465</v>
      </c>
      <c r="B701" t="s">
        <v>46</v>
      </c>
      <c r="C701" t="s">
        <v>1567</v>
      </c>
      <c r="D701">
        <v>1986</v>
      </c>
      <c r="E701">
        <v>31</v>
      </c>
      <c r="F701" t="s">
        <v>90</v>
      </c>
      <c r="G701" t="s">
        <v>41</v>
      </c>
      <c r="H701">
        <v>11000000</v>
      </c>
      <c r="I701">
        <v>8800000</v>
      </c>
      <c r="J701" t="s">
        <v>55</v>
      </c>
      <c r="K701">
        <v>38</v>
      </c>
      <c r="L701">
        <v>3038</v>
      </c>
      <c r="M701">
        <v>1</v>
      </c>
      <c r="N701">
        <v>1863</v>
      </c>
      <c r="O701">
        <v>8</v>
      </c>
      <c r="P701">
        <v>0</v>
      </c>
      <c r="Q701">
        <v>0</v>
      </c>
      <c r="R701">
        <v>3</v>
      </c>
      <c r="S701">
        <v>11</v>
      </c>
      <c r="T701">
        <v>18</v>
      </c>
      <c r="U701">
        <v>3</v>
      </c>
      <c r="V701">
        <v>1</v>
      </c>
      <c r="W701">
        <v>12</v>
      </c>
      <c r="X701">
        <v>0</v>
      </c>
      <c r="Y701">
        <v>0</v>
      </c>
      <c r="Z701">
        <v>0</v>
      </c>
      <c r="AA701">
        <v>0</v>
      </c>
      <c r="AB701">
        <v>4</v>
      </c>
      <c r="AC701">
        <v>15</v>
      </c>
      <c r="AD701">
        <v>159</v>
      </c>
      <c r="AE701">
        <v>196</v>
      </c>
      <c r="AF701">
        <v>11</v>
      </c>
      <c r="AG701">
        <v>40</v>
      </c>
      <c r="AH701">
        <v>53</v>
      </c>
      <c r="AI701">
        <v>0</v>
      </c>
      <c r="AJ701">
        <v>113</v>
      </c>
      <c r="AK701">
        <v>0</v>
      </c>
      <c r="AL701">
        <v>0</v>
      </c>
      <c r="AM701">
        <v>40</v>
      </c>
      <c r="AN701">
        <v>21</v>
      </c>
      <c r="AO701">
        <v>40</v>
      </c>
      <c r="AQ701" t="str">
        <f t="shared" si="10"/>
        <v>Midfielder</v>
      </c>
    </row>
    <row r="702" spans="1:43" x14ac:dyDescent="0.35">
      <c r="A702" t="s">
        <v>466</v>
      </c>
      <c r="B702" t="s">
        <v>39</v>
      </c>
      <c r="C702" t="s">
        <v>1568</v>
      </c>
      <c r="D702">
        <v>1990</v>
      </c>
      <c r="E702">
        <v>25</v>
      </c>
      <c r="F702" t="s">
        <v>80</v>
      </c>
      <c r="G702" t="s">
        <v>62</v>
      </c>
      <c r="H702">
        <v>8800000</v>
      </c>
      <c r="I702">
        <v>16500000</v>
      </c>
      <c r="J702" t="s">
        <v>55</v>
      </c>
      <c r="K702">
        <v>19</v>
      </c>
      <c r="L702">
        <v>731</v>
      </c>
      <c r="M702">
        <v>2</v>
      </c>
      <c r="N702">
        <v>410</v>
      </c>
      <c r="O702">
        <v>1</v>
      </c>
      <c r="P702">
        <v>0</v>
      </c>
      <c r="Q702">
        <v>0</v>
      </c>
      <c r="R702">
        <v>11</v>
      </c>
      <c r="S702">
        <v>5</v>
      </c>
      <c r="T702">
        <v>12</v>
      </c>
      <c r="U702">
        <v>4</v>
      </c>
      <c r="V702">
        <v>0</v>
      </c>
      <c r="W702">
        <v>3</v>
      </c>
      <c r="X702">
        <v>0</v>
      </c>
      <c r="Y702">
        <v>0</v>
      </c>
      <c r="Z702">
        <v>0</v>
      </c>
      <c r="AA702">
        <v>0</v>
      </c>
      <c r="AB702">
        <v>2</v>
      </c>
      <c r="AC702">
        <v>1</v>
      </c>
      <c r="AD702">
        <v>0</v>
      </c>
      <c r="AE702">
        <v>5</v>
      </c>
      <c r="AF702">
        <v>1</v>
      </c>
      <c r="AG702">
        <v>14</v>
      </c>
      <c r="AH702">
        <v>14</v>
      </c>
      <c r="AI702">
        <v>0</v>
      </c>
      <c r="AJ702">
        <v>28</v>
      </c>
      <c r="AK702">
        <v>0</v>
      </c>
      <c r="AL702">
        <v>0</v>
      </c>
      <c r="AM702">
        <v>8</v>
      </c>
      <c r="AN702">
        <v>3</v>
      </c>
      <c r="AO702">
        <v>11</v>
      </c>
      <c r="AQ702" t="str">
        <f t="shared" si="10"/>
        <v>Midfielder</v>
      </c>
    </row>
    <row r="703" spans="1:43" x14ac:dyDescent="0.35">
      <c r="A703" t="s">
        <v>466</v>
      </c>
      <c r="B703" t="s">
        <v>47</v>
      </c>
      <c r="C703" t="s">
        <v>1569</v>
      </c>
      <c r="D703">
        <v>1990</v>
      </c>
      <c r="E703">
        <v>26</v>
      </c>
      <c r="F703" t="s">
        <v>184</v>
      </c>
      <c r="G703" t="s">
        <v>62</v>
      </c>
      <c r="H703">
        <v>16500000</v>
      </c>
      <c r="I703">
        <v>19800000</v>
      </c>
      <c r="J703" t="s">
        <v>55</v>
      </c>
      <c r="K703">
        <v>36</v>
      </c>
      <c r="L703">
        <v>2936</v>
      </c>
      <c r="M703">
        <v>6</v>
      </c>
      <c r="N703">
        <v>1286</v>
      </c>
      <c r="O703">
        <v>2</v>
      </c>
      <c r="P703">
        <v>9</v>
      </c>
      <c r="Q703">
        <v>0</v>
      </c>
      <c r="R703">
        <v>2</v>
      </c>
      <c r="S703">
        <v>8</v>
      </c>
      <c r="T703">
        <v>40</v>
      </c>
      <c r="U703">
        <v>18</v>
      </c>
      <c r="V703">
        <v>0</v>
      </c>
      <c r="W703">
        <v>12</v>
      </c>
      <c r="X703">
        <v>1</v>
      </c>
      <c r="Y703">
        <v>0</v>
      </c>
      <c r="Z703">
        <v>0</v>
      </c>
      <c r="AA703">
        <v>0</v>
      </c>
      <c r="AB703">
        <v>9</v>
      </c>
      <c r="AC703">
        <v>3</v>
      </c>
      <c r="AD703">
        <v>28</v>
      </c>
      <c r="AE703">
        <v>51</v>
      </c>
      <c r="AF703">
        <v>6</v>
      </c>
      <c r="AG703">
        <v>62</v>
      </c>
      <c r="AH703">
        <v>27</v>
      </c>
      <c r="AI703">
        <v>1</v>
      </c>
      <c r="AJ703">
        <v>86</v>
      </c>
      <c r="AK703">
        <v>0</v>
      </c>
      <c r="AL703">
        <v>0</v>
      </c>
      <c r="AM703">
        <v>34</v>
      </c>
      <c r="AN703">
        <v>22</v>
      </c>
      <c r="AO703">
        <v>52</v>
      </c>
      <c r="AQ703" t="str">
        <f t="shared" si="10"/>
        <v>Midfielder</v>
      </c>
    </row>
    <row r="704" spans="1:43" x14ac:dyDescent="0.35">
      <c r="A704" t="s">
        <v>466</v>
      </c>
      <c r="B704" t="s">
        <v>43</v>
      </c>
      <c r="C704" t="s">
        <v>1570</v>
      </c>
      <c r="D704">
        <v>1990</v>
      </c>
      <c r="E704">
        <v>27</v>
      </c>
      <c r="F704" t="s">
        <v>184</v>
      </c>
      <c r="G704" t="s">
        <v>62</v>
      </c>
      <c r="H704">
        <v>5500000</v>
      </c>
      <c r="I704">
        <v>3850000</v>
      </c>
      <c r="J704" t="s">
        <v>55</v>
      </c>
      <c r="K704">
        <v>36</v>
      </c>
      <c r="L704">
        <v>3142</v>
      </c>
      <c r="M704">
        <v>2</v>
      </c>
      <c r="N704">
        <v>1358</v>
      </c>
      <c r="O704">
        <v>6</v>
      </c>
      <c r="P704">
        <v>8</v>
      </c>
      <c r="Q704">
        <v>0</v>
      </c>
      <c r="R704">
        <v>0</v>
      </c>
      <c r="S704">
        <v>3</v>
      </c>
      <c r="T704">
        <v>24</v>
      </c>
      <c r="U704">
        <v>4</v>
      </c>
      <c r="V704">
        <v>0</v>
      </c>
      <c r="W704">
        <v>27</v>
      </c>
      <c r="X704">
        <v>0</v>
      </c>
      <c r="Y704">
        <v>0</v>
      </c>
      <c r="Z704">
        <v>0</v>
      </c>
      <c r="AA704">
        <v>0</v>
      </c>
      <c r="AB704">
        <v>3</v>
      </c>
      <c r="AC704">
        <v>20</v>
      </c>
      <c r="AD704">
        <v>9</v>
      </c>
      <c r="AE704">
        <v>37</v>
      </c>
      <c r="AF704">
        <v>9</v>
      </c>
      <c r="AG704">
        <v>58</v>
      </c>
      <c r="AH704">
        <v>49</v>
      </c>
      <c r="AI704">
        <v>0</v>
      </c>
      <c r="AJ704">
        <v>96</v>
      </c>
      <c r="AK704">
        <v>0</v>
      </c>
      <c r="AL704">
        <v>0</v>
      </c>
      <c r="AM704">
        <v>54</v>
      </c>
      <c r="AN704">
        <v>36</v>
      </c>
      <c r="AO704">
        <v>61</v>
      </c>
      <c r="AQ704" t="str">
        <f t="shared" si="10"/>
        <v>Midfielder</v>
      </c>
    </row>
    <row r="705" spans="1:43" x14ac:dyDescent="0.35">
      <c r="A705" t="s">
        <v>467</v>
      </c>
      <c r="B705" t="s">
        <v>46</v>
      </c>
      <c r="C705" t="s">
        <v>1571</v>
      </c>
      <c r="D705">
        <v>1990</v>
      </c>
      <c r="E705">
        <v>28</v>
      </c>
      <c r="F705" t="s">
        <v>169</v>
      </c>
      <c r="G705" t="s">
        <v>51</v>
      </c>
      <c r="H705">
        <v>1800000</v>
      </c>
      <c r="I705">
        <v>2700000</v>
      </c>
      <c r="J705" t="s">
        <v>52</v>
      </c>
      <c r="K705">
        <v>30</v>
      </c>
      <c r="L705">
        <v>2641</v>
      </c>
      <c r="M705">
        <v>0</v>
      </c>
      <c r="N705">
        <v>694</v>
      </c>
      <c r="O705">
        <v>1</v>
      </c>
      <c r="P705">
        <v>5</v>
      </c>
      <c r="Q705">
        <v>0</v>
      </c>
      <c r="R705">
        <v>0</v>
      </c>
      <c r="S705">
        <v>2</v>
      </c>
      <c r="T705">
        <v>10</v>
      </c>
      <c r="U705">
        <v>3</v>
      </c>
      <c r="V705">
        <v>0</v>
      </c>
      <c r="W705">
        <v>30</v>
      </c>
      <c r="X705">
        <v>0</v>
      </c>
      <c r="Y705">
        <v>0</v>
      </c>
      <c r="Z705">
        <v>0</v>
      </c>
      <c r="AA705">
        <v>1</v>
      </c>
      <c r="AB705">
        <v>2</v>
      </c>
      <c r="AC705">
        <v>7</v>
      </c>
      <c r="AD705">
        <v>1</v>
      </c>
      <c r="AE705">
        <v>43</v>
      </c>
      <c r="AF705">
        <v>8</v>
      </c>
      <c r="AG705">
        <v>60</v>
      </c>
      <c r="AH705">
        <v>20</v>
      </c>
      <c r="AI705">
        <v>0</v>
      </c>
      <c r="AJ705">
        <v>50</v>
      </c>
      <c r="AK705">
        <v>0</v>
      </c>
      <c r="AL705">
        <v>0</v>
      </c>
      <c r="AM705">
        <v>84</v>
      </c>
      <c r="AN705">
        <v>35</v>
      </c>
      <c r="AO705">
        <v>17</v>
      </c>
      <c r="AQ705" t="str">
        <f t="shared" si="10"/>
        <v>Defensive Forward</v>
      </c>
    </row>
    <row r="706" spans="1:43" x14ac:dyDescent="0.35">
      <c r="A706" t="s">
        <v>468</v>
      </c>
      <c r="B706" t="s">
        <v>46</v>
      </c>
      <c r="C706" t="s">
        <v>1572</v>
      </c>
      <c r="D706">
        <v>1993</v>
      </c>
      <c r="E706">
        <v>24</v>
      </c>
      <c r="F706" t="s">
        <v>74</v>
      </c>
      <c r="G706" t="s">
        <v>51</v>
      </c>
      <c r="H706">
        <v>5400000</v>
      </c>
      <c r="I706">
        <v>5400000</v>
      </c>
      <c r="J706" t="s">
        <v>52</v>
      </c>
      <c r="K706">
        <v>28</v>
      </c>
      <c r="L706">
        <v>2347</v>
      </c>
      <c r="M706">
        <v>0</v>
      </c>
      <c r="N706">
        <v>951</v>
      </c>
      <c r="O706">
        <v>1</v>
      </c>
      <c r="P706">
        <v>5</v>
      </c>
      <c r="Q706">
        <v>0</v>
      </c>
      <c r="R706">
        <v>1</v>
      </c>
      <c r="S706">
        <v>6</v>
      </c>
      <c r="T706">
        <v>21</v>
      </c>
      <c r="U706">
        <v>7</v>
      </c>
      <c r="V706">
        <v>0</v>
      </c>
      <c r="W706">
        <v>34</v>
      </c>
      <c r="X706">
        <v>0</v>
      </c>
      <c r="Y706">
        <v>0</v>
      </c>
      <c r="Z706">
        <v>0</v>
      </c>
      <c r="AA706">
        <v>2</v>
      </c>
      <c r="AB706">
        <v>1</v>
      </c>
      <c r="AC706">
        <v>14</v>
      </c>
      <c r="AD706">
        <v>15</v>
      </c>
      <c r="AE706">
        <v>115</v>
      </c>
      <c r="AF706">
        <v>12</v>
      </c>
      <c r="AG706">
        <v>31</v>
      </c>
      <c r="AH706">
        <v>25</v>
      </c>
      <c r="AI706">
        <v>0</v>
      </c>
      <c r="AJ706">
        <v>61</v>
      </c>
      <c r="AK706">
        <v>1</v>
      </c>
      <c r="AL706">
        <v>0</v>
      </c>
      <c r="AM706">
        <v>70</v>
      </c>
      <c r="AN706">
        <v>31</v>
      </c>
      <c r="AO706">
        <v>37</v>
      </c>
      <c r="AQ706" t="str">
        <f t="shared" ref="AQ706:AQ769" si="11">IF(J706 = "FW", REPLACE(J706,1,2,"Forward"),IF(J706 = "DF", "Defensive Forward", "Midfielder"))</f>
        <v>Defensive Forward</v>
      </c>
    </row>
    <row r="707" spans="1:43" x14ac:dyDescent="0.35">
      <c r="A707" t="s">
        <v>469</v>
      </c>
      <c r="B707" t="s">
        <v>39</v>
      </c>
      <c r="C707" t="s">
        <v>1573</v>
      </c>
      <c r="D707">
        <v>1987</v>
      </c>
      <c r="E707">
        <v>28</v>
      </c>
      <c r="F707" t="s">
        <v>64</v>
      </c>
      <c r="G707" t="s">
        <v>62</v>
      </c>
      <c r="H707">
        <v>3850000</v>
      </c>
      <c r="I707">
        <v>3850000</v>
      </c>
      <c r="J707" t="s">
        <v>55</v>
      </c>
      <c r="K707">
        <v>19</v>
      </c>
      <c r="L707">
        <v>980</v>
      </c>
      <c r="M707">
        <v>1</v>
      </c>
      <c r="N707">
        <v>399</v>
      </c>
      <c r="O707">
        <v>0</v>
      </c>
      <c r="P707">
        <v>1</v>
      </c>
      <c r="Q707">
        <v>0</v>
      </c>
      <c r="R707">
        <v>8</v>
      </c>
      <c r="S707">
        <v>7</v>
      </c>
      <c r="T707">
        <v>7</v>
      </c>
      <c r="U707">
        <v>0</v>
      </c>
      <c r="V707">
        <v>0</v>
      </c>
      <c r="W707">
        <v>7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3</v>
      </c>
      <c r="AE707">
        <v>5</v>
      </c>
      <c r="AF707">
        <v>9</v>
      </c>
      <c r="AG707">
        <v>33</v>
      </c>
      <c r="AH707">
        <v>12</v>
      </c>
      <c r="AI707">
        <v>0</v>
      </c>
      <c r="AJ707">
        <v>16</v>
      </c>
      <c r="AK707">
        <v>0</v>
      </c>
      <c r="AL707">
        <v>0</v>
      </c>
      <c r="AM707">
        <v>26</v>
      </c>
      <c r="AN707">
        <v>12</v>
      </c>
      <c r="AO707">
        <v>13</v>
      </c>
      <c r="AQ707" t="str">
        <f t="shared" si="11"/>
        <v>Midfielder</v>
      </c>
    </row>
    <row r="708" spans="1:43" x14ac:dyDescent="0.35">
      <c r="A708" t="s">
        <v>469</v>
      </c>
      <c r="B708" t="s">
        <v>47</v>
      </c>
      <c r="C708" t="s">
        <v>1574</v>
      </c>
      <c r="D708">
        <v>1987</v>
      </c>
      <c r="E708">
        <v>29</v>
      </c>
      <c r="F708" t="s">
        <v>64</v>
      </c>
      <c r="G708" t="s">
        <v>62</v>
      </c>
      <c r="H708">
        <v>5000000</v>
      </c>
      <c r="I708">
        <v>5000000</v>
      </c>
      <c r="J708" t="s">
        <v>55</v>
      </c>
      <c r="K708">
        <v>18</v>
      </c>
      <c r="L708">
        <v>1161</v>
      </c>
      <c r="M708">
        <v>1</v>
      </c>
      <c r="N708">
        <v>563</v>
      </c>
      <c r="O708">
        <v>0</v>
      </c>
      <c r="P708">
        <v>1</v>
      </c>
      <c r="Q708">
        <v>0</v>
      </c>
      <c r="R708">
        <v>5</v>
      </c>
      <c r="S708">
        <v>7</v>
      </c>
      <c r="T708">
        <v>3</v>
      </c>
      <c r="U708">
        <v>1</v>
      </c>
      <c r="V708">
        <v>0</v>
      </c>
      <c r="W708">
        <v>10</v>
      </c>
      <c r="X708">
        <v>0</v>
      </c>
      <c r="Y708">
        <v>0</v>
      </c>
      <c r="Z708">
        <v>0</v>
      </c>
      <c r="AA708">
        <v>0</v>
      </c>
      <c r="AB708">
        <v>1</v>
      </c>
      <c r="AC708">
        <v>0</v>
      </c>
      <c r="AD708">
        <v>0</v>
      </c>
      <c r="AE708">
        <v>7</v>
      </c>
      <c r="AF708">
        <v>3</v>
      </c>
      <c r="AG708">
        <v>28</v>
      </c>
      <c r="AH708">
        <v>7</v>
      </c>
      <c r="AI708">
        <v>0</v>
      </c>
      <c r="AJ708">
        <v>25</v>
      </c>
      <c r="AK708">
        <v>2</v>
      </c>
      <c r="AL708">
        <v>0</v>
      </c>
      <c r="AM708">
        <v>26</v>
      </c>
      <c r="AN708">
        <v>12</v>
      </c>
      <c r="AO708">
        <v>18</v>
      </c>
      <c r="AQ708" t="str">
        <f t="shared" si="11"/>
        <v>Midfielder</v>
      </c>
    </row>
    <row r="709" spans="1:43" x14ac:dyDescent="0.35">
      <c r="A709" t="s">
        <v>470</v>
      </c>
      <c r="B709" t="s">
        <v>46</v>
      </c>
      <c r="C709" t="s">
        <v>1575</v>
      </c>
      <c r="D709">
        <v>1993</v>
      </c>
      <c r="E709">
        <v>24</v>
      </c>
      <c r="F709" t="s">
        <v>169</v>
      </c>
      <c r="G709" t="s">
        <v>51</v>
      </c>
      <c r="H709">
        <v>1500000</v>
      </c>
      <c r="I709">
        <v>1000000</v>
      </c>
      <c r="J709" t="s">
        <v>55</v>
      </c>
      <c r="K709">
        <v>28</v>
      </c>
      <c r="L709">
        <v>1960</v>
      </c>
      <c r="M709">
        <v>0</v>
      </c>
      <c r="N709">
        <v>778</v>
      </c>
      <c r="O709">
        <v>0</v>
      </c>
      <c r="P709">
        <v>4</v>
      </c>
      <c r="Q709">
        <v>1</v>
      </c>
      <c r="R709">
        <v>6</v>
      </c>
      <c r="S709">
        <v>5</v>
      </c>
      <c r="T709">
        <v>23</v>
      </c>
      <c r="U709">
        <v>3</v>
      </c>
      <c r="V709">
        <v>0</v>
      </c>
      <c r="W709">
        <v>10</v>
      </c>
      <c r="X709">
        <v>0</v>
      </c>
      <c r="Y709">
        <v>0</v>
      </c>
      <c r="Z709">
        <v>0</v>
      </c>
      <c r="AA709">
        <v>1</v>
      </c>
      <c r="AB709">
        <v>1</v>
      </c>
      <c r="AC709">
        <v>20</v>
      </c>
      <c r="AD709">
        <v>49</v>
      </c>
      <c r="AE709">
        <v>77</v>
      </c>
      <c r="AF709">
        <v>6</v>
      </c>
      <c r="AG709">
        <v>29</v>
      </c>
      <c r="AH709">
        <v>29</v>
      </c>
      <c r="AI709">
        <v>0</v>
      </c>
      <c r="AJ709">
        <v>45</v>
      </c>
      <c r="AK709">
        <v>0</v>
      </c>
      <c r="AL709">
        <v>0</v>
      </c>
      <c r="AM709">
        <v>28</v>
      </c>
      <c r="AN709">
        <v>33</v>
      </c>
      <c r="AO709">
        <v>40</v>
      </c>
      <c r="AQ709" t="str">
        <f t="shared" si="11"/>
        <v>Midfielder</v>
      </c>
    </row>
    <row r="710" spans="1:43" x14ac:dyDescent="0.35">
      <c r="A710" t="s">
        <v>471</v>
      </c>
      <c r="B710" t="s">
        <v>39</v>
      </c>
      <c r="C710" t="s">
        <v>1576</v>
      </c>
      <c r="D710">
        <v>1992</v>
      </c>
      <c r="E710">
        <v>23</v>
      </c>
      <c r="F710" t="s">
        <v>61</v>
      </c>
      <c r="G710" t="s">
        <v>218</v>
      </c>
      <c r="H710">
        <v>4500000</v>
      </c>
      <c r="I710">
        <v>7200000</v>
      </c>
      <c r="J710" t="s">
        <v>42</v>
      </c>
      <c r="K710">
        <v>19</v>
      </c>
      <c r="L710">
        <v>887</v>
      </c>
      <c r="M710">
        <v>3</v>
      </c>
      <c r="N710">
        <v>342</v>
      </c>
      <c r="O710">
        <v>0</v>
      </c>
      <c r="P710">
        <v>0</v>
      </c>
      <c r="Q710">
        <v>0</v>
      </c>
      <c r="R710">
        <v>8</v>
      </c>
      <c r="S710">
        <v>10</v>
      </c>
      <c r="T710">
        <v>19</v>
      </c>
      <c r="U710">
        <v>7</v>
      </c>
      <c r="V710">
        <v>0</v>
      </c>
      <c r="W710">
        <v>2</v>
      </c>
      <c r="X710">
        <v>0</v>
      </c>
      <c r="Y710">
        <v>0</v>
      </c>
      <c r="Z710">
        <v>0</v>
      </c>
      <c r="AA710">
        <v>3</v>
      </c>
      <c r="AB710">
        <v>6</v>
      </c>
      <c r="AC710">
        <v>2</v>
      </c>
      <c r="AD710">
        <v>1</v>
      </c>
      <c r="AE710">
        <v>11</v>
      </c>
      <c r="AF710">
        <v>3</v>
      </c>
      <c r="AG710">
        <v>10</v>
      </c>
      <c r="AH710">
        <v>9</v>
      </c>
      <c r="AI710">
        <v>0</v>
      </c>
      <c r="AJ710">
        <v>26</v>
      </c>
      <c r="AK710">
        <v>0</v>
      </c>
      <c r="AL710">
        <v>0</v>
      </c>
      <c r="AM710">
        <v>3</v>
      </c>
      <c r="AN710">
        <v>6</v>
      </c>
      <c r="AO710">
        <v>11</v>
      </c>
      <c r="AQ710" t="str">
        <f t="shared" si="11"/>
        <v>Forward</v>
      </c>
    </row>
    <row r="711" spans="1:43" x14ac:dyDescent="0.35">
      <c r="A711" t="s">
        <v>472</v>
      </c>
      <c r="B711" t="s">
        <v>43</v>
      </c>
      <c r="C711" t="s">
        <v>1577</v>
      </c>
      <c r="D711">
        <v>1991</v>
      </c>
      <c r="E711">
        <v>26</v>
      </c>
      <c r="F711" t="s">
        <v>80</v>
      </c>
      <c r="G711" t="s">
        <v>126</v>
      </c>
      <c r="H711">
        <v>22500000</v>
      </c>
      <c r="I711">
        <v>22500000</v>
      </c>
      <c r="J711" t="s">
        <v>52</v>
      </c>
      <c r="K711">
        <v>25</v>
      </c>
      <c r="L711">
        <v>1995</v>
      </c>
      <c r="M711">
        <v>1</v>
      </c>
      <c r="N711">
        <v>1655</v>
      </c>
      <c r="O711">
        <v>0</v>
      </c>
      <c r="P711">
        <v>3</v>
      </c>
      <c r="Q711">
        <v>0</v>
      </c>
      <c r="R711">
        <v>3</v>
      </c>
      <c r="S711">
        <v>0</v>
      </c>
      <c r="T711">
        <v>11</v>
      </c>
      <c r="U711">
        <v>2</v>
      </c>
      <c r="V711">
        <v>1</v>
      </c>
      <c r="W711">
        <v>58</v>
      </c>
      <c r="X711">
        <v>0</v>
      </c>
      <c r="Y711">
        <v>0</v>
      </c>
      <c r="Z711">
        <v>0</v>
      </c>
      <c r="AA711">
        <v>0</v>
      </c>
      <c r="AB711">
        <v>1</v>
      </c>
      <c r="AC711">
        <v>9</v>
      </c>
      <c r="AD711">
        <v>0</v>
      </c>
      <c r="AE711">
        <v>0</v>
      </c>
      <c r="AF711">
        <v>15</v>
      </c>
      <c r="AG711">
        <v>35</v>
      </c>
      <c r="AH711">
        <v>19</v>
      </c>
      <c r="AI711">
        <v>0</v>
      </c>
      <c r="AJ711">
        <v>35</v>
      </c>
      <c r="AK711">
        <v>1</v>
      </c>
      <c r="AL711">
        <v>0</v>
      </c>
      <c r="AM711">
        <v>96</v>
      </c>
      <c r="AN711">
        <v>57</v>
      </c>
      <c r="AO711">
        <v>21</v>
      </c>
      <c r="AQ711" t="str">
        <f t="shared" si="11"/>
        <v>Defensive Forward</v>
      </c>
    </row>
    <row r="712" spans="1:43" x14ac:dyDescent="0.35">
      <c r="A712" t="s">
        <v>472</v>
      </c>
      <c r="B712" t="s">
        <v>46</v>
      </c>
      <c r="C712" t="s">
        <v>1578</v>
      </c>
      <c r="D712">
        <v>1991</v>
      </c>
      <c r="E712">
        <v>27</v>
      </c>
      <c r="F712" t="s">
        <v>80</v>
      </c>
      <c r="G712" t="s">
        <v>126</v>
      </c>
      <c r="H712">
        <v>22500000</v>
      </c>
      <c r="I712">
        <v>27000000</v>
      </c>
      <c r="J712" t="s">
        <v>52</v>
      </c>
      <c r="K712">
        <v>22</v>
      </c>
      <c r="L712">
        <v>1535</v>
      </c>
      <c r="M712">
        <v>1</v>
      </c>
      <c r="N712">
        <v>1341</v>
      </c>
      <c r="O712">
        <v>0</v>
      </c>
      <c r="P712">
        <v>3</v>
      </c>
      <c r="Q712">
        <v>0</v>
      </c>
      <c r="R712">
        <v>5</v>
      </c>
      <c r="S712">
        <v>0</v>
      </c>
      <c r="T712">
        <v>8</v>
      </c>
      <c r="U712">
        <v>2</v>
      </c>
      <c r="V712">
        <v>0</v>
      </c>
      <c r="W712">
        <v>44</v>
      </c>
      <c r="X712">
        <v>1</v>
      </c>
      <c r="Y712">
        <v>0</v>
      </c>
      <c r="Z712">
        <v>0</v>
      </c>
      <c r="AA712">
        <v>0</v>
      </c>
      <c r="AB712">
        <v>4</v>
      </c>
      <c r="AC712">
        <v>6</v>
      </c>
      <c r="AD712">
        <v>0</v>
      </c>
      <c r="AE712">
        <v>0</v>
      </c>
      <c r="AF712">
        <v>7</v>
      </c>
      <c r="AG712">
        <v>31</v>
      </c>
      <c r="AH712">
        <v>11</v>
      </c>
      <c r="AI712">
        <v>0</v>
      </c>
      <c r="AJ712">
        <v>39</v>
      </c>
      <c r="AK712">
        <v>0</v>
      </c>
      <c r="AL712">
        <v>0</v>
      </c>
      <c r="AM712">
        <v>76</v>
      </c>
      <c r="AN712">
        <v>66</v>
      </c>
      <c r="AO712">
        <v>28</v>
      </c>
      <c r="AQ712" t="str">
        <f t="shared" si="11"/>
        <v>Defensive Forward</v>
      </c>
    </row>
    <row r="713" spans="1:43" x14ac:dyDescent="0.35">
      <c r="A713" t="s">
        <v>472</v>
      </c>
      <c r="B713" t="s">
        <v>47</v>
      </c>
      <c r="C713" t="s">
        <v>1579</v>
      </c>
      <c r="D713">
        <v>1991</v>
      </c>
      <c r="E713">
        <v>25</v>
      </c>
      <c r="F713" t="s">
        <v>80</v>
      </c>
      <c r="G713" t="s">
        <v>126</v>
      </c>
      <c r="H713">
        <v>16200000</v>
      </c>
      <c r="I713">
        <v>22500000</v>
      </c>
      <c r="J713" t="s">
        <v>52</v>
      </c>
      <c r="K713">
        <v>29</v>
      </c>
      <c r="L713">
        <v>2456</v>
      </c>
      <c r="M713">
        <v>0</v>
      </c>
      <c r="N713">
        <v>1699</v>
      </c>
      <c r="O713">
        <v>0</v>
      </c>
      <c r="P713">
        <v>3</v>
      </c>
      <c r="Q713">
        <v>0</v>
      </c>
      <c r="R713">
        <v>2</v>
      </c>
      <c r="S713">
        <v>0</v>
      </c>
      <c r="T713">
        <v>26</v>
      </c>
      <c r="U713">
        <v>4</v>
      </c>
      <c r="V713">
        <v>3</v>
      </c>
      <c r="W713">
        <v>81</v>
      </c>
      <c r="X713">
        <v>1</v>
      </c>
      <c r="Y713">
        <v>0</v>
      </c>
      <c r="Z713">
        <v>0</v>
      </c>
      <c r="AA713">
        <v>0</v>
      </c>
      <c r="AB713">
        <v>1</v>
      </c>
      <c r="AC713">
        <v>0</v>
      </c>
      <c r="AD713">
        <v>0</v>
      </c>
      <c r="AE713">
        <v>5</v>
      </c>
      <c r="AF713">
        <v>12</v>
      </c>
      <c r="AG713">
        <v>47</v>
      </c>
      <c r="AH713">
        <v>14</v>
      </c>
      <c r="AI713">
        <v>0</v>
      </c>
      <c r="AJ713">
        <v>47</v>
      </c>
      <c r="AK713">
        <v>1</v>
      </c>
      <c r="AL713">
        <v>0</v>
      </c>
      <c r="AM713">
        <v>153</v>
      </c>
      <c r="AN713">
        <v>63</v>
      </c>
      <c r="AO713">
        <v>40</v>
      </c>
      <c r="AQ713" t="str">
        <f t="shared" si="11"/>
        <v>Defensive Forward</v>
      </c>
    </row>
    <row r="714" spans="1:43" x14ac:dyDescent="0.35">
      <c r="A714" t="s">
        <v>473</v>
      </c>
      <c r="B714" t="s">
        <v>47</v>
      </c>
      <c r="C714" t="s">
        <v>1580</v>
      </c>
      <c r="D714">
        <v>1989</v>
      </c>
      <c r="E714">
        <v>26</v>
      </c>
      <c r="F714" t="s">
        <v>64</v>
      </c>
      <c r="G714" t="s">
        <v>51</v>
      </c>
      <c r="H714">
        <v>4500000</v>
      </c>
      <c r="I714">
        <v>4500000</v>
      </c>
      <c r="J714" t="s">
        <v>52</v>
      </c>
      <c r="K714">
        <v>38</v>
      </c>
      <c r="L714">
        <v>3418</v>
      </c>
      <c r="M714">
        <v>0</v>
      </c>
      <c r="N714">
        <v>1300</v>
      </c>
      <c r="O714">
        <v>1</v>
      </c>
      <c r="P714">
        <v>7</v>
      </c>
      <c r="Q714">
        <v>0</v>
      </c>
      <c r="R714">
        <v>0</v>
      </c>
      <c r="S714">
        <v>0</v>
      </c>
      <c r="T714">
        <v>14</v>
      </c>
      <c r="U714">
        <v>2</v>
      </c>
      <c r="V714">
        <v>0</v>
      </c>
      <c r="W714">
        <v>76</v>
      </c>
      <c r="X714">
        <v>0</v>
      </c>
      <c r="Y714">
        <v>0</v>
      </c>
      <c r="Z714">
        <v>0</v>
      </c>
      <c r="AA714">
        <v>0</v>
      </c>
      <c r="AB714">
        <v>1</v>
      </c>
      <c r="AC714">
        <v>1</v>
      </c>
      <c r="AD714">
        <v>0</v>
      </c>
      <c r="AE714">
        <v>78</v>
      </c>
      <c r="AF714">
        <v>11</v>
      </c>
      <c r="AG714">
        <v>59</v>
      </c>
      <c r="AH714">
        <v>37</v>
      </c>
      <c r="AI714">
        <v>0</v>
      </c>
      <c r="AJ714">
        <v>89</v>
      </c>
      <c r="AK714">
        <v>0</v>
      </c>
      <c r="AL714">
        <v>0</v>
      </c>
      <c r="AM714">
        <v>133</v>
      </c>
      <c r="AN714">
        <v>62</v>
      </c>
      <c r="AO714">
        <v>43</v>
      </c>
      <c r="AQ714" t="str">
        <f t="shared" si="11"/>
        <v>Defensive Forward</v>
      </c>
    </row>
    <row r="715" spans="1:43" x14ac:dyDescent="0.35">
      <c r="A715" t="s">
        <v>473</v>
      </c>
      <c r="B715" t="s">
        <v>39</v>
      </c>
      <c r="C715" t="s">
        <v>1581</v>
      </c>
      <c r="D715">
        <v>1989</v>
      </c>
      <c r="E715">
        <v>25</v>
      </c>
      <c r="F715" t="s">
        <v>64</v>
      </c>
      <c r="G715" t="s">
        <v>51</v>
      </c>
      <c r="H715">
        <v>3600000</v>
      </c>
      <c r="I715">
        <v>4500000</v>
      </c>
      <c r="J715" t="s">
        <v>52</v>
      </c>
      <c r="K715">
        <v>30</v>
      </c>
      <c r="L715">
        <v>2692</v>
      </c>
      <c r="M715">
        <v>2</v>
      </c>
      <c r="N715">
        <v>1001</v>
      </c>
      <c r="O715">
        <v>0</v>
      </c>
      <c r="P715">
        <v>4</v>
      </c>
      <c r="Q715">
        <v>0</v>
      </c>
      <c r="R715">
        <v>0</v>
      </c>
      <c r="S715">
        <v>1</v>
      </c>
      <c r="T715">
        <v>17</v>
      </c>
      <c r="U715">
        <v>0</v>
      </c>
      <c r="V715">
        <v>0</v>
      </c>
      <c r="W715">
        <v>59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56</v>
      </c>
      <c r="AF715">
        <v>14</v>
      </c>
      <c r="AG715">
        <v>69</v>
      </c>
      <c r="AH715">
        <v>36</v>
      </c>
      <c r="AI715">
        <v>0</v>
      </c>
      <c r="AJ715">
        <v>62</v>
      </c>
      <c r="AK715">
        <v>0</v>
      </c>
      <c r="AL715">
        <v>0</v>
      </c>
      <c r="AM715">
        <v>109</v>
      </c>
      <c r="AN715">
        <v>55</v>
      </c>
      <c r="AO715">
        <v>41</v>
      </c>
      <c r="AQ715" t="str">
        <f t="shared" si="11"/>
        <v>Defensive Forward</v>
      </c>
    </row>
    <row r="716" spans="1:43" x14ac:dyDescent="0.35">
      <c r="A716" t="s">
        <v>473</v>
      </c>
      <c r="B716" t="s">
        <v>43</v>
      </c>
      <c r="C716" t="s">
        <v>1582</v>
      </c>
      <c r="D716">
        <v>1989</v>
      </c>
      <c r="E716">
        <v>28</v>
      </c>
      <c r="F716" t="s">
        <v>64</v>
      </c>
      <c r="G716" t="s">
        <v>51</v>
      </c>
      <c r="H716">
        <v>4500000</v>
      </c>
      <c r="I716">
        <v>4500000</v>
      </c>
      <c r="J716" t="s">
        <v>52</v>
      </c>
      <c r="K716">
        <v>19</v>
      </c>
      <c r="L716">
        <v>1616</v>
      </c>
      <c r="M716">
        <v>0</v>
      </c>
      <c r="N716">
        <v>681</v>
      </c>
      <c r="O716">
        <v>1</v>
      </c>
      <c r="P716">
        <v>4</v>
      </c>
      <c r="Q716">
        <v>0</v>
      </c>
      <c r="R716">
        <v>0</v>
      </c>
      <c r="S716">
        <v>3</v>
      </c>
      <c r="T716">
        <v>1</v>
      </c>
      <c r="U716">
        <v>1</v>
      </c>
      <c r="V716">
        <v>0</v>
      </c>
      <c r="W716">
        <v>40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46</v>
      </c>
      <c r="AF716">
        <v>11</v>
      </c>
      <c r="AG716">
        <v>28</v>
      </c>
      <c r="AH716">
        <v>25</v>
      </c>
      <c r="AI716">
        <v>1</v>
      </c>
      <c r="AJ716">
        <v>35</v>
      </c>
      <c r="AK716">
        <v>0</v>
      </c>
      <c r="AL716">
        <v>1</v>
      </c>
      <c r="AM716">
        <v>61</v>
      </c>
      <c r="AN716">
        <v>0</v>
      </c>
      <c r="AO716">
        <v>25</v>
      </c>
      <c r="AQ716" t="str">
        <f t="shared" si="11"/>
        <v>Defensive Forward</v>
      </c>
    </row>
    <row r="717" spans="1:43" x14ac:dyDescent="0.35">
      <c r="A717" t="s">
        <v>474</v>
      </c>
      <c r="B717" t="s">
        <v>47</v>
      </c>
      <c r="C717" t="s">
        <v>1583</v>
      </c>
      <c r="D717">
        <v>1982</v>
      </c>
      <c r="E717">
        <v>33</v>
      </c>
      <c r="F717" t="s">
        <v>56</v>
      </c>
      <c r="G717" t="s">
        <v>51</v>
      </c>
      <c r="H717">
        <v>2750000</v>
      </c>
      <c r="I717">
        <v>11000000</v>
      </c>
      <c r="J717" t="s">
        <v>55</v>
      </c>
      <c r="K717">
        <v>14</v>
      </c>
      <c r="L717">
        <v>1104</v>
      </c>
      <c r="M717">
        <v>1</v>
      </c>
      <c r="N717">
        <v>576</v>
      </c>
      <c r="O717">
        <v>0</v>
      </c>
      <c r="P717">
        <v>4</v>
      </c>
      <c r="Q717">
        <v>0</v>
      </c>
      <c r="R717">
        <v>2</v>
      </c>
      <c r="S717">
        <v>1</v>
      </c>
      <c r="T717">
        <v>12</v>
      </c>
      <c r="U717">
        <v>3</v>
      </c>
      <c r="V717">
        <v>0</v>
      </c>
      <c r="W717">
        <v>10</v>
      </c>
      <c r="X717">
        <v>0</v>
      </c>
      <c r="Y717">
        <v>0</v>
      </c>
      <c r="Z717">
        <v>1</v>
      </c>
      <c r="AA717">
        <v>0</v>
      </c>
      <c r="AB717">
        <v>3</v>
      </c>
      <c r="AC717">
        <v>0</v>
      </c>
      <c r="AD717">
        <v>0</v>
      </c>
      <c r="AE717">
        <v>9</v>
      </c>
      <c r="AF717">
        <v>3</v>
      </c>
      <c r="AG717">
        <v>20</v>
      </c>
      <c r="AH717">
        <v>20</v>
      </c>
      <c r="AI717">
        <v>0</v>
      </c>
      <c r="AJ717">
        <v>43</v>
      </c>
      <c r="AK717">
        <v>0</v>
      </c>
      <c r="AL717">
        <v>0</v>
      </c>
      <c r="AM717">
        <v>19</v>
      </c>
      <c r="AN717">
        <v>29</v>
      </c>
      <c r="AO717">
        <v>21</v>
      </c>
      <c r="AQ717" t="str">
        <f t="shared" si="11"/>
        <v>Midfielder</v>
      </c>
    </row>
    <row r="718" spans="1:43" x14ac:dyDescent="0.35">
      <c r="A718" t="s">
        <v>475</v>
      </c>
      <c r="B718" t="s">
        <v>47</v>
      </c>
      <c r="C718" t="s">
        <v>1584</v>
      </c>
      <c r="D718">
        <v>1990</v>
      </c>
      <c r="E718">
        <v>26</v>
      </c>
      <c r="F718" t="s">
        <v>56</v>
      </c>
      <c r="G718" t="s">
        <v>170</v>
      </c>
      <c r="H718">
        <v>2250000</v>
      </c>
      <c r="I718">
        <v>2250000</v>
      </c>
      <c r="J718" t="s">
        <v>42</v>
      </c>
      <c r="K718">
        <v>20</v>
      </c>
      <c r="L718">
        <v>994</v>
      </c>
      <c r="M718">
        <v>1</v>
      </c>
      <c r="N718">
        <v>296</v>
      </c>
      <c r="O718">
        <v>2</v>
      </c>
      <c r="P718">
        <v>1</v>
      </c>
      <c r="Q718">
        <v>0</v>
      </c>
      <c r="R718">
        <v>10</v>
      </c>
      <c r="S718">
        <v>7</v>
      </c>
      <c r="T718">
        <v>17</v>
      </c>
      <c r="U718">
        <v>8</v>
      </c>
      <c r="V718">
        <v>2</v>
      </c>
      <c r="W718">
        <v>6</v>
      </c>
      <c r="X718">
        <v>0</v>
      </c>
      <c r="Y718">
        <v>0</v>
      </c>
      <c r="Z718">
        <v>0</v>
      </c>
      <c r="AA718">
        <v>1</v>
      </c>
      <c r="AB718">
        <v>1</v>
      </c>
      <c r="AC718">
        <v>0</v>
      </c>
      <c r="AD718">
        <v>28</v>
      </c>
      <c r="AE718">
        <v>72</v>
      </c>
      <c r="AF718">
        <v>4</v>
      </c>
      <c r="AG718">
        <v>18</v>
      </c>
      <c r="AH718">
        <v>4</v>
      </c>
      <c r="AI718">
        <v>0</v>
      </c>
      <c r="AJ718">
        <v>20</v>
      </c>
      <c r="AK718">
        <v>0</v>
      </c>
      <c r="AL718">
        <v>0</v>
      </c>
      <c r="AM718">
        <v>20</v>
      </c>
      <c r="AN718">
        <v>13</v>
      </c>
      <c r="AO718">
        <v>19</v>
      </c>
      <c r="AQ718" t="str">
        <f t="shared" si="11"/>
        <v>Forward</v>
      </c>
    </row>
    <row r="719" spans="1:43" x14ac:dyDescent="0.35">
      <c r="A719" t="s">
        <v>475</v>
      </c>
      <c r="B719" t="s">
        <v>43</v>
      </c>
      <c r="C719" t="s">
        <v>1585</v>
      </c>
      <c r="D719">
        <v>1990</v>
      </c>
      <c r="E719">
        <v>27</v>
      </c>
      <c r="F719" t="s">
        <v>56</v>
      </c>
      <c r="G719" t="s">
        <v>170</v>
      </c>
      <c r="H719">
        <v>11000000</v>
      </c>
      <c r="I719">
        <v>11000000</v>
      </c>
      <c r="J719" t="s">
        <v>55</v>
      </c>
      <c r="K719">
        <v>35</v>
      </c>
      <c r="L719">
        <v>2840</v>
      </c>
      <c r="M719">
        <v>2</v>
      </c>
      <c r="N719">
        <v>805</v>
      </c>
      <c r="O719">
        <v>8</v>
      </c>
      <c r="P719">
        <v>2</v>
      </c>
      <c r="Q719">
        <v>0</v>
      </c>
      <c r="R719">
        <v>3</v>
      </c>
      <c r="S719">
        <v>9</v>
      </c>
      <c r="T719">
        <v>54</v>
      </c>
      <c r="U719">
        <v>18</v>
      </c>
      <c r="V719">
        <v>3</v>
      </c>
      <c r="W719">
        <v>13</v>
      </c>
      <c r="X719">
        <v>1</v>
      </c>
      <c r="Y719">
        <v>0</v>
      </c>
      <c r="Z719">
        <v>0</v>
      </c>
      <c r="AA719">
        <v>2</v>
      </c>
      <c r="AB719">
        <v>1</v>
      </c>
      <c r="AC719">
        <v>36</v>
      </c>
      <c r="AD719">
        <v>87</v>
      </c>
      <c r="AE719">
        <v>213</v>
      </c>
      <c r="AF719">
        <v>1</v>
      </c>
      <c r="AG719">
        <v>34</v>
      </c>
      <c r="AH719">
        <v>18</v>
      </c>
      <c r="AI719">
        <v>0</v>
      </c>
      <c r="AJ719">
        <v>43</v>
      </c>
      <c r="AK719">
        <v>0</v>
      </c>
      <c r="AL719">
        <v>0</v>
      </c>
      <c r="AM719">
        <v>33</v>
      </c>
      <c r="AN719">
        <v>41</v>
      </c>
      <c r="AO719">
        <v>49</v>
      </c>
      <c r="AQ719" t="str">
        <f t="shared" si="11"/>
        <v>Midfielder</v>
      </c>
    </row>
    <row r="720" spans="1:43" x14ac:dyDescent="0.35">
      <c r="A720" t="s">
        <v>475</v>
      </c>
      <c r="B720" t="s">
        <v>46</v>
      </c>
      <c r="C720" t="s">
        <v>1586</v>
      </c>
      <c r="D720">
        <v>1990</v>
      </c>
      <c r="E720">
        <v>28</v>
      </c>
      <c r="F720" t="s">
        <v>56</v>
      </c>
      <c r="G720" t="s">
        <v>170</v>
      </c>
      <c r="H720">
        <v>9000000</v>
      </c>
      <c r="I720">
        <v>9900000</v>
      </c>
      <c r="J720" t="s">
        <v>55</v>
      </c>
      <c r="K720">
        <v>29</v>
      </c>
      <c r="L720">
        <v>1749</v>
      </c>
      <c r="M720">
        <v>3</v>
      </c>
      <c r="N720">
        <v>491</v>
      </c>
      <c r="O720">
        <v>6</v>
      </c>
      <c r="P720">
        <v>2</v>
      </c>
      <c r="Q720">
        <v>0</v>
      </c>
      <c r="R720">
        <v>10</v>
      </c>
      <c r="S720">
        <v>6</v>
      </c>
      <c r="T720">
        <v>33</v>
      </c>
      <c r="U720">
        <v>9</v>
      </c>
      <c r="V720">
        <v>2</v>
      </c>
      <c r="W720">
        <v>9</v>
      </c>
      <c r="X720">
        <v>1</v>
      </c>
      <c r="Y720">
        <v>0</v>
      </c>
      <c r="Z720">
        <v>0</v>
      </c>
      <c r="AA720">
        <v>2</v>
      </c>
      <c r="AB720">
        <v>1</v>
      </c>
      <c r="AC720">
        <v>24</v>
      </c>
      <c r="AD720">
        <v>46</v>
      </c>
      <c r="AE720">
        <v>119</v>
      </c>
      <c r="AF720">
        <v>4</v>
      </c>
      <c r="AG720">
        <v>33</v>
      </c>
      <c r="AH720">
        <v>10</v>
      </c>
      <c r="AI720">
        <v>0</v>
      </c>
      <c r="AJ720">
        <v>26</v>
      </c>
      <c r="AK720">
        <v>0</v>
      </c>
      <c r="AL720">
        <v>0</v>
      </c>
      <c r="AM720">
        <v>31</v>
      </c>
      <c r="AN720">
        <v>32</v>
      </c>
      <c r="AO720">
        <v>33</v>
      </c>
      <c r="AQ720" t="str">
        <f t="shared" si="11"/>
        <v>Midfielder</v>
      </c>
    </row>
    <row r="721" spans="1:43" x14ac:dyDescent="0.35">
      <c r="A721" t="s">
        <v>476</v>
      </c>
      <c r="B721" t="s">
        <v>39</v>
      </c>
      <c r="C721" t="s">
        <v>1587</v>
      </c>
      <c r="D721">
        <v>1981</v>
      </c>
      <c r="E721">
        <v>34</v>
      </c>
      <c r="F721" t="s">
        <v>78</v>
      </c>
      <c r="G721" t="s">
        <v>260</v>
      </c>
      <c r="H721">
        <v>900000</v>
      </c>
      <c r="I721">
        <v>900000</v>
      </c>
      <c r="J721" t="s">
        <v>52</v>
      </c>
      <c r="K721">
        <v>28</v>
      </c>
      <c r="L721">
        <v>2008</v>
      </c>
      <c r="M721">
        <v>0</v>
      </c>
      <c r="N721">
        <v>590</v>
      </c>
      <c r="O721">
        <v>0</v>
      </c>
      <c r="P721">
        <v>2</v>
      </c>
      <c r="Q721">
        <v>0</v>
      </c>
      <c r="R721">
        <v>5</v>
      </c>
      <c r="S721">
        <v>3</v>
      </c>
      <c r="T721">
        <v>7</v>
      </c>
      <c r="U721">
        <v>3</v>
      </c>
      <c r="V721">
        <v>0</v>
      </c>
      <c r="W721">
        <v>101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11</v>
      </c>
      <c r="AG721">
        <v>39</v>
      </c>
      <c r="AH721">
        <v>19</v>
      </c>
      <c r="AI721">
        <v>0</v>
      </c>
      <c r="AJ721">
        <v>32</v>
      </c>
      <c r="AK721">
        <v>0</v>
      </c>
      <c r="AL721">
        <v>0</v>
      </c>
      <c r="AM721">
        <v>183</v>
      </c>
      <c r="AN721">
        <v>51</v>
      </c>
      <c r="AO721">
        <v>17</v>
      </c>
      <c r="AQ721" t="str">
        <f t="shared" si="11"/>
        <v>Defensive Forward</v>
      </c>
    </row>
    <row r="722" spans="1:43" x14ac:dyDescent="0.35">
      <c r="A722" t="s">
        <v>476</v>
      </c>
      <c r="B722" t="s">
        <v>47</v>
      </c>
      <c r="C722" t="s">
        <v>1588</v>
      </c>
      <c r="D722">
        <v>1981</v>
      </c>
      <c r="E722">
        <v>35</v>
      </c>
      <c r="F722" t="s">
        <v>78</v>
      </c>
      <c r="G722" t="s">
        <v>260</v>
      </c>
      <c r="H722">
        <v>900000</v>
      </c>
      <c r="I722">
        <v>900000</v>
      </c>
      <c r="J722" t="s">
        <v>52</v>
      </c>
      <c r="K722">
        <v>28</v>
      </c>
      <c r="L722">
        <v>2160</v>
      </c>
      <c r="M722">
        <v>0</v>
      </c>
      <c r="N722">
        <v>686</v>
      </c>
      <c r="O722">
        <v>1</v>
      </c>
      <c r="P722">
        <v>5</v>
      </c>
      <c r="Q722">
        <v>0</v>
      </c>
      <c r="R722">
        <v>2</v>
      </c>
      <c r="S722">
        <v>5</v>
      </c>
      <c r="T722">
        <v>3</v>
      </c>
      <c r="U722">
        <v>2</v>
      </c>
      <c r="V722">
        <v>0</v>
      </c>
      <c r="W722">
        <v>95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17</v>
      </c>
      <c r="AG722">
        <v>39</v>
      </c>
      <c r="AH722">
        <v>17</v>
      </c>
      <c r="AI722">
        <v>0</v>
      </c>
      <c r="AJ722">
        <v>29</v>
      </c>
      <c r="AK722">
        <v>0</v>
      </c>
      <c r="AL722">
        <v>0</v>
      </c>
      <c r="AM722">
        <v>150</v>
      </c>
      <c r="AN722">
        <v>58</v>
      </c>
      <c r="AO722">
        <v>47</v>
      </c>
      <c r="AQ722" t="str">
        <f t="shared" si="11"/>
        <v>Defensive Forward</v>
      </c>
    </row>
    <row r="723" spans="1:43" x14ac:dyDescent="0.35">
      <c r="A723" t="s">
        <v>477</v>
      </c>
      <c r="B723" t="s">
        <v>39</v>
      </c>
      <c r="C723" t="s">
        <v>1589</v>
      </c>
      <c r="D723">
        <v>1987</v>
      </c>
      <c r="E723">
        <v>28</v>
      </c>
      <c r="F723" t="s">
        <v>44</v>
      </c>
      <c r="G723" t="s">
        <v>105</v>
      </c>
      <c r="H723">
        <v>3850000</v>
      </c>
      <c r="I723">
        <v>3850000</v>
      </c>
      <c r="J723" t="s">
        <v>55</v>
      </c>
      <c r="K723">
        <v>25</v>
      </c>
      <c r="L723">
        <v>1783</v>
      </c>
      <c r="M723">
        <v>0</v>
      </c>
      <c r="N723">
        <v>1243</v>
      </c>
      <c r="O723">
        <v>1</v>
      </c>
      <c r="P723">
        <v>6</v>
      </c>
      <c r="Q723">
        <v>0</v>
      </c>
      <c r="R723">
        <v>6</v>
      </c>
      <c r="S723">
        <v>4</v>
      </c>
      <c r="T723">
        <v>7</v>
      </c>
      <c r="U723">
        <v>0</v>
      </c>
      <c r="V723">
        <v>0</v>
      </c>
      <c r="W723">
        <v>16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3</v>
      </c>
      <c r="AF723">
        <v>8</v>
      </c>
      <c r="AG723">
        <v>32</v>
      </c>
      <c r="AH723">
        <v>32</v>
      </c>
      <c r="AI723">
        <v>0</v>
      </c>
      <c r="AJ723">
        <v>52</v>
      </c>
      <c r="AK723">
        <v>0</v>
      </c>
      <c r="AL723">
        <v>0</v>
      </c>
      <c r="AM723">
        <v>34</v>
      </c>
      <c r="AN723">
        <v>18</v>
      </c>
      <c r="AO723">
        <v>29</v>
      </c>
      <c r="AQ723" t="str">
        <f t="shared" si="11"/>
        <v>Midfielder</v>
      </c>
    </row>
    <row r="724" spans="1:43" x14ac:dyDescent="0.35">
      <c r="A724" t="s">
        <v>478</v>
      </c>
      <c r="B724" t="s">
        <v>46</v>
      </c>
      <c r="C724" t="s">
        <v>1590</v>
      </c>
      <c r="D724">
        <v>1994</v>
      </c>
      <c r="E724">
        <v>24</v>
      </c>
      <c r="F724" t="s">
        <v>114</v>
      </c>
      <c r="G724" t="s">
        <v>51</v>
      </c>
      <c r="H724">
        <v>45000000</v>
      </c>
      <c r="I724">
        <v>54000000</v>
      </c>
      <c r="J724" t="s">
        <v>52</v>
      </c>
      <c r="K724">
        <v>24</v>
      </c>
      <c r="L724">
        <v>1763</v>
      </c>
      <c r="M724">
        <v>0</v>
      </c>
      <c r="N724">
        <v>1751</v>
      </c>
      <c r="O724">
        <v>0</v>
      </c>
      <c r="P724">
        <v>0</v>
      </c>
      <c r="Q724">
        <v>0</v>
      </c>
      <c r="R724">
        <v>4</v>
      </c>
      <c r="S724">
        <v>2</v>
      </c>
      <c r="T724">
        <v>5</v>
      </c>
      <c r="U724">
        <v>0</v>
      </c>
      <c r="V724">
        <v>0</v>
      </c>
      <c r="W724">
        <v>41</v>
      </c>
      <c r="X724">
        <v>0</v>
      </c>
      <c r="Y724">
        <v>0</v>
      </c>
      <c r="Z724">
        <v>0</v>
      </c>
      <c r="AA724">
        <v>1</v>
      </c>
      <c r="AB724">
        <v>0</v>
      </c>
      <c r="AC724">
        <v>5</v>
      </c>
      <c r="AD724">
        <v>0</v>
      </c>
      <c r="AE724">
        <v>2</v>
      </c>
      <c r="AF724">
        <v>9</v>
      </c>
      <c r="AG724">
        <v>14</v>
      </c>
      <c r="AH724">
        <v>6</v>
      </c>
      <c r="AI724">
        <v>0</v>
      </c>
      <c r="AJ724">
        <v>16</v>
      </c>
      <c r="AK724">
        <v>0</v>
      </c>
      <c r="AL724">
        <v>0</v>
      </c>
      <c r="AM724">
        <v>60</v>
      </c>
      <c r="AN724">
        <v>59</v>
      </c>
      <c r="AO724">
        <v>30</v>
      </c>
      <c r="AQ724" t="str">
        <f t="shared" si="11"/>
        <v>Defensive Forward</v>
      </c>
    </row>
    <row r="725" spans="1:43" x14ac:dyDescent="0.35">
      <c r="A725" t="s">
        <v>478</v>
      </c>
      <c r="B725" t="s">
        <v>47</v>
      </c>
      <c r="C725" t="s">
        <v>1591</v>
      </c>
      <c r="D725">
        <v>1994</v>
      </c>
      <c r="E725">
        <v>22</v>
      </c>
      <c r="F725" t="s">
        <v>114</v>
      </c>
      <c r="G725" t="s">
        <v>51</v>
      </c>
      <c r="H725">
        <v>25200000</v>
      </c>
      <c r="I725">
        <v>31500000</v>
      </c>
      <c r="J725" t="s">
        <v>52</v>
      </c>
      <c r="K725">
        <v>27</v>
      </c>
      <c r="L725">
        <v>2013</v>
      </c>
      <c r="M725">
        <v>0</v>
      </c>
      <c r="N725">
        <v>1464</v>
      </c>
      <c r="O725">
        <v>0</v>
      </c>
      <c r="P725">
        <v>1</v>
      </c>
      <c r="Q725">
        <v>0</v>
      </c>
      <c r="R725">
        <v>4</v>
      </c>
      <c r="S725">
        <v>3</v>
      </c>
      <c r="T725">
        <v>13</v>
      </c>
      <c r="U725">
        <v>2</v>
      </c>
      <c r="V725">
        <v>0</v>
      </c>
      <c r="W725">
        <v>63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3</v>
      </c>
      <c r="AD725">
        <v>0</v>
      </c>
      <c r="AE725">
        <v>0</v>
      </c>
      <c r="AF725">
        <v>14</v>
      </c>
      <c r="AG725">
        <v>39</v>
      </c>
      <c r="AH725">
        <v>8</v>
      </c>
      <c r="AI725">
        <v>0</v>
      </c>
      <c r="AJ725">
        <v>26</v>
      </c>
      <c r="AK725">
        <v>3</v>
      </c>
      <c r="AL725">
        <v>0</v>
      </c>
      <c r="AM725">
        <v>115</v>
      </c>
      <c r="AN725">
        <v>49</v>
      </c>
      <c r="AO725">
        <v>27</v>
      </c>
      <c r="AQ725" t="str">
        <f t="shared" si="11"/>
        <v>Defensive Forward</v>
      </c>
    </row>
    <row r="726" spans="1:43" x14ac:dyDescent="0.35">
      <c r="A726" t="s">
        <v>478</v>
      </c>
      <c r="B726" t="s">
        <v>39</v>
      </c>
      <c r="C726" t="s">
        <v>1592</v>
      </c>
      <c r="D726">
        <v>1994</v>
      </c>
      <c r="E726">
        <v>21</v>
      </c>
      <c r="F726" t="s">
        <v>54</v>
      </c>
      <c r="G726" t="s">
        <v>51</v>
      </c>
      <c r="H726">
        <v>11700000</v>
      </c>
      <c r="I726">
        <v>25200000</v>
      </c>
      <c r="J726" t="s">
        <v>52</v>
      </c>
      <c r="K726">
        <v>33</v>
      </c>
      <c r="L726">
        <v>2779</v>
      </c>
      <c r="M726">
        <v>0</v>
      </c>
      <c r="N726">
        <v>1566</v>
      </c>
      <c r="O726">
        <v>0</v>
      </c>
      <c r="P726">
        <v>3</v>
      </c>
      <c r="Q726">
        <v>0</v>
      </c>
      <c r="R726">
        <v>2</v>
      </c>
      <c r="S726">
        <v>2</v>
      </c>
      <c r="T726">
        <v>8</v>
      </c>
      <c r="U726">
        <v>1</v>
      </c>
      <c r="V726">
        <v>0</v>
      </c>
      <c r="W726">
        <v>80</v>
      </c>
      <c r="X726">
        <v>0</v>
      </c>
      <c r="Y726">
        <v>0</v>
      </c>
      <c r="Z726">
        <v>0</v>
      </c>
      <c r="AA726">
        <v>0</v>
      </c>
      <c r="AB726">
        <v>1</v>
      </c>
      <c r="AC726">
        <v>0</v>
      </c>
      <c r="AD726">
        <v>0</v>
      </c>
      <c r="AE726">
        <v>4</v>
      </c>
      <c r="AF726">
        <v>34</v>
      </c>
      <c r="AG726">
        <v>56</v>
      </c>
      <c r="AH726">
        <v>11</v>
      </c>
      <c r="AI726">
        <v>0</v>
      </c>
      <c r="AJ726">
        <v>46</v>
      </c>
      <c r="AK726">
        <v>3</v>
      </c>
      <c r="AL726">
        <v>0</v>
      </c>
      <c r="AM726">
        <v>127</v>
      </c>
      <c r="AN726">
        <v>53</v>
      </c>
      <c r="AO726">
        <v>30</v>
      </c>
      <c r="AQ726" t="str">
        <f t="shared" si="11"/>
        <v>Defensive Forward</v>
      </c>
    </row>
    <row r="727" spans="1:43" x14ac:dyDescent="0.35">
      <c r="A727" t="s">
        <v>478</v>
      </c>
      <c r="B727" t="s">
        <v>43</v>
      </c>
      <c r="C727" t="s">
        <v>1593</v>
      </c>
      <c r="D727">
        <v>1994</v>
      </c>
      <c r="E727">
        <v>23</v>
      </c>
      <c r="F727" t="s">
        <v>114</v>
      </c>
      <c r="G727" t="s">
        <v>51</v>
      </c>
      <c r="H727">
        <v>31500000</v>
      </c>
      <c r="I727">
        <v>45000000</v>
      </c>
      <c r="J727" t="s">
        <v>52</v>
      </c>
      <c r="K727">
        <v>18</v>
      </c>
      <c r="L727">
        <v>1306</v>
      </c>
      <c r="M727">
        <v>0</v>
      </c>
      <c r="N727">
        <v>1246</v>
      </c>
      <c r="O727">
        <v>0</v>
      </c>
      <c r="P727">
        <v>0</v>
      </c>
      <c r="Q727">
        <v>0</v>
      </c>
      <c r="R727">
        <v>2</v>
      </c>
      <c r="S727">
        <v>5</v>
      </c>
      <c r="T727">
        <v>11</v>
      </c>
      <c r="U727">
        <v>4</v>
      </c>
      <c r="V727">
        <v>1</v>
      </c>
      <c r="W727">
        <v>21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7</v>
      </c>
      <c r="AD727">
        <v>0</v>
      </c>
      <c r="AE727">
        <v>1</v>
      </c>
      <c r="AF727">
        <v>5</v>
      </c>
      <c r="AG727">
        <v>19</v>
      </c>
      <c r="AH727">
        <v>6</v>
      </c>
      <c r="AI727">
        <v>0</v>
      </c>
      <c r="AJ727">
        <v>15</v>
      </c>
      <c r="AK727">
        <v>0</v>
      </c>
      <c r="AL727">
        <v>0</v>
      </c>
      <c r="AM727">
        <v>41</v>
      </c>
      <c r="AN727">
        <v>0</v>
      </c>
      <c r="AO727">
        <v>11</v>
      </c>
      <c r="AQ727" t="str">
        <f t="shared" si="11"/>
        <v>Defensive Forward</v>
      </c>
    </row>
    <row r="728" spans="1:43" x14ac:dyDescent="0.35">
      <c r="A728" t="s">
        <v>479</v>
      </c>
      <c r="B728" t="s">
        <v>39</v>
      </c>
      <c r="C728" t="s">
        <v>1594</v>
      </c>
      <c r="D728">
        <v>1980</v>
      </c>
      <c r="E728">
        <v>34</v>
      </c>
      <c r="F728" t="s">
        <v>44</v>
      </c>
      <c r="G728" t="s">
        <v>51</v>
      </c>
      <c r="H728">
        <v>3600000</v>
      </c>
      <c r="I728">
        <v>2250000</v>
      </c>
      <c r="J728" t="s">
        <v>52</v>
      </c>
      <c r="K728">
        <v>22</v>
      </c>
      <c r="L728">
        <v>1989</v>
      </c>
      <c r="M728">
        <v>1</v>
      </c>
      <c r="N728">
        <v>924</v>
      </c>
      <c r="O728">
        <v>0</v>
      </c>
      <c r="P728">
        <v>2</v>
      </c>
      <c r="Q728">
        <v>2</v>
      </c>
      <c r="R728">
        <v>0</v>
      </c>
      <c r="S728">
        <v>3</v>
      </c>
      <c r="T728">
        <v>10</v>
      </c>
      <c r="U728">
        <v>2</v>
      </c>
      <c r="V728">
        <v>0</v>
      </c>
      <c r="W728">
        <v>50</v>
      </c>
      <c r="X728">
        <v>0</v>
      </c>
      <c r="Y728">
        <v>0</v>
      </c>
      <c r="Z728">
        <v>0</v>
      </c>
      <c r="AA728">
        <v>2</v>
      </c>
      <c r="AB728">
        <v>1</v>
      </c>
      <c r="AC728">
        <v>0</v>
      </c>
      <c r="AD728">
        <v>0</v>
      </c>
      <c r="AE728">
        <v>0</v>
      </c>
      <c r="AF728">
        <v>19</v>
      </c>
      <c r="AG728">
        <v>38</v>
      </c>
      <c r="AH728">
        <v>10</v>
      </c>
      <c r="AI728">
        <v>0</v>
      </c>
      <c r="AJ728">
        <v>21</v>
      </c>
      <c r="AK728">
        <v>0</v>
      </c>
      <c r="AL728">
        <v>0</v>
      </c>
      <c r="AM728">
        <v>88</v>
      </c>
      <c r="AN728">
        <v>49</v>
      </c>
      <c r="AO728">
        <v>22</v>
      </c>
      <c r="AQ728" t="str">
        <f t="shared" si="11"/>
        <v>Defensive Forward</v>
      </c>
    </row>
    <row r="729" spans="1:43" x14ac:dyDescent="0.35">
      <c r="A729" t="s">
        <v>480</v>
      </c>
      <c r="B729" t="s">
        <v>39</v>
      </c>
      <c r="C729" t="s">
        <v>1595</v>
      </c>
      <c r="D729">
        <v>1982</v>
      </c>
      <c r="E729">
        <v>32</v>
      </c>
      <c r="F729" t="s">
        <v>89</v>
      </c>
      <c r="G729" t="s">
        <v>51</v>
      </c>
      <c r="H729">
        <v>3600000</v>
      </c>
      <c r="I729">
        <v>1350000</v>
      </c>
      <c r="J729" t="s">
        <v>52</v>
      </c>
      <c r="K729">
        <v>31</v>
      </c>
      <c r="L729">
        <v>2810</v>
      </c>
      <c r="M729">
        <v>1</v>
      </c>
      <c r="N729">
        <v>1061</v>
      </c>
      <c r="O729">
        <v>0</v>
      </c>
      <c r="P729">
        <v>2</v>
      </c>
      <c r="Q729">
        <v>0</v>
      </c>
      <c r="R729">
        <v>0</v>
      </c>
      <c r="S729">
        <v>2</v>
      </c>
      <c r="T729">
        <v>11</v>
      </c>
      <c r="U729">
        <v>3</v>
      </c>
      <c r="V729">
        <v>1</v>
      </c>
      <c r="W729">
        <v>109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2</v>
      </c>
      <c r="AD729">
        <v>0</v>
      </c>
      <c r="AE729">
        <v>4</v>
      </c>
      <c r="AF729">
        <v>21</v>
      </c>
      <c r="AG729">
        <v>85</v>
      </c>
      <c r="AH729">
        <v>16</v>
      </c>
      <c r="AI729">
        <v>0</v>
      </c>
      <c r="AJ729">
        <v>35</v>
      </c>
      <c r="AK729">
        <v>1</v>
      </c>
      <c r="AL729">
        <v>0</v>
      </c>
      <c r="AM729">
        <v>186</v>
      </c>
      <c r="AN729">
        <v>71</v>
      </c>
      <c r="AO729">
        <v>34</v>
      </c>
      <c r="AQ729" t="str">
        <f t="shared" si="11"/>
        <v>Defensive Forward</v>
      </c>
    </row>
    <row r="730" spans="1:43" x14ac:dyDescent="0.35">
      <c r="A730" t="s">
        <v>481</v>
      </c>
      <c r="B730" t="s">
        <v>46</v>
      </c>
      <c r="C730" t="s">
        <v>1596</v>
      </c>
      <c r="D730">
        <v>1996</v>
      </c>
      <c r="E730">
        <v>22</v>
      </c>
      <c r="F730" t="s">
        <v>58</v>
      </c>
      <c r="G730" t="s">
        <v>482</v>
      </c>
      <c r="H730">
        <v>450000</v>
      </c>
      <c r="I730">
        <v>1350000</v>
      </c>
      <c r="J730" t="s">
        <v>52</v>
      </c>
      <c r="K730">
        <v>11</v>
      </c>
      <c r="L730">
        <v>719</v>
      </c>
      <c r="M730">
        <v>0</v>
      </c>
      <c r="N730">
        <v>294</v>
      </c>
      <c r="O730">
        <v>0</v>
      </c>
      <c r="P730">
        <v>2</v>
      </c>
      <c r="Q730">
        <v>0</v>
      </c>
      <c r="R730">
        <v>2</v>
      </c>
      <c r="S730">
        <v>5</v>
      </c>
      <c r="T730">
        <v>9</v>
      </c>
      <c r="U730">
        <v>2</v>
      </c>
      <c r="V730">
        <v>0</v>
      </c>
      <c r="W730">
        <v>10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7</v>
      </c>
      <c r="AD730">
        <v>0</v>
      </c>
      <c r="AE730">
        <v>0</v>
      </c>
      <c r="AF730">
        <v>9</v>
      </c>
      <c r="AG730">
        <v>9</v>
      </c>
      <c r="AH730">
        <v>9</v>
      </c>
      <c r="AI730">
        <v>0</v>
      </c>
      <c r="AJ730">
        <v>26</v>
      </c>
      <c r="AK730">
        <v>0</v>
      </c>
      <c r="AL730">
        <v>0</v>
      </c>
      <c r="AM730">
        <v>19</v>
      </c>
      <c r="AN730">
        <v>22</v>
      </c>
      <c r="AO730">
        <v>16</v>
      </c>
      <c r="AQ730" t="str">
        <f t="shared" si="11"/>
        <v>Defensive Forward</v>
      </c>
    </row>
    <row r="731" spans="1:43" x14ac:dyDescent="0.35">
      <c r="A731" t="s">
        <v>483</v>
      </c>
      <c r="B731" t="s">
        <v>39</v>
      </c>
      <c r="C731" t="s">
        <v>1597</v>
      </c>
      <c r="D731">
        <v>1983</v>
      </c>
      <c r="E731">
        <v>32</v>
      </c>
      <c r="F731" t="s">
        <v>103</v>
      </c>
      <c r="G731" t="s">
        <v>484</v>
      </c>
      <c r="H731">
        <v>1350000</v>
      </c>
      <c r="I731">
        <v>1350000</v>
      </c>
      <c r="J731" t="s">
        <v>52</v>
      </c>
      <c r="K731">
        <v>28</v>
      </c>
      <c r="L731">
        <v>2016</v>
      </c>
      <c r="M731">
        <v>1</v>
      </c>
      <c r="N731">
        <v>576</v>
      </c>
      <c r="O731">
        <v>1</v>
      </c>
      <c r="P731">
        <v>5</v>
      </c>
      <c r="Q731">
        <v>0</v>
      </c>
      <c r="R731">
        <v>3</v>
      </c>
      <c r="S731">
        <v>6</v>
      </c>
      <c r="T731">
        <v>6</v>
      </c>
      <c r="U731">
        <v>2</v>
      </c>
      <c r="V731">
        <v>1</v>
      </c>
      <c r="W731">
        <v>69</v>
      </c>
      <c r="X731">
        <v>1</v>
      </c>
      <c r="Y731">
        <v>0</v>
      </c>
      <c r="Z731">
        <v>0</v>
      </c>
      <c r="AA731">
        <v>2</v>
      </c>
      <c r="AB731">
        <v>0</v>
      </c>
      <c r="AC731">
        <v>1</v>
      </c>
      <c r="AD731">
        <v>0</v>
      </c>
      <c r="AE731">
        <v>0</v>
      </c>
      <c r="AF731">
        <v>32</v>
      </c>
      <c r="AG731">
        <v>45</v>
      </c>
      <c r="AH731">
        <v>22</v>
      </c>
      <c r="AI731">
        <v>0</v>
      </c>
      <c r="AJ731">
        <v>16</v>
      </c>
      <c r="AK731">
        <v>1</v>
      </c>
      <c r="AL731">
        <v>0</v>
      </c>
      <c r="AM731">
        <v>127</v>
      </c>
      <c r="AN731">
        <v>48</v>
      </c>
      <c r="AO731">
        <v>21</v>
      </c>
      <c r="AQ731" t="str">
        <f t="shared" si="11"/>
        <v>Defensive Forward</v>
      </c>
    </row>
    <row r="732" spans="1:43" x14ac:dyDescent="0.35">
      <c r="A732" t="s">
        <v>485</v>
      </c>
      <c r="B732" t="s">
        <v>47</v>
      </c>
      <c r="C732" t="s">
        <v>1598</v>
      </c>
      <c r="D732">
        <v>1993</v>
      </c>
      <c r="E732">
        <v>22</v>
      </c>
      <c r="F732" t="s">
        <v>50</v>
      </c>
      <c r="G732" t="s">
        <v>262</v>
      </c>
      <c r="H732">
        <v>11000000</v>
      </c>
      <c r="I732">
        <v>7200000</v>
      </c>
      <c r="J732" t="s">
        <v>42</v>
      </c>
      <c r="K732">
        <v>16</v>
      </c>
      <c r="L732">
        <v>537</v>
      </c>
      <c r="M732">
        <v>1</v>
      </c>
      <c r="N732">
        <v>119</v>
      </c>
      <c r="O732">
        <v>0</v>
      </c>
      <c r="P732">
        <v>0</v>
      </c>
      <c r="Q732">
        <v>0</v>
      </c>
      <c r="R732">
        <v>12</v>
      </c>
      <c r="S732">
        <v>4</v>
      </c>
      <c r="T732">
        <v>16</v>
      </c>
      <c r="U732">
        <v>3</v>
      </c>
      <c r="V732">
        <v>0</v>
      </c>
      <c r="W732">
        <v>2</v>
      </c>
      <c r="X732">
        <v>0</v>
      </c>
      <c r="Y732">
        <v>0</v>
      </c>
      <c r="Z732">
        <v>0</v>
      </c>
      <c r="AA732">
        <v>9</v>
      </c>
      <c r="AB732">
        <v>3</v>
      </c>
      <c r="AC732">
        <v>4</v>
      </c>
      <c r="AD732">
        <v>0</v>
      </c>
      <c r="AE732">
        <v>15</v>
      </c>
      <c r="AF732">
        <v>0</v>
      </c>
      <c r="AG732">
        <v>4</v>
      </c>
      <c r="AH732">
        <v>10</v>
      </c>
      <c r="AI732">
        <v>0</v>
      </c>
      <c r="AJ732">
        <v>5</v>
      </c>
      <c r="AK732">
        <v>0</v>
      </c>
      <c r="AL732">
        <v>0</v>
      </c>
      <c r="AM732">
        <v>3</v>
      </c>
      <c r="AN732">
        <v>9</v>
      </c>
      <c r="AO732">
        <v>14</v>
      </c>
      <c r="AQ732" t="str">
        <f t="shared" si="11"/>
        <v>Forward</v>
      </c>
    </row>
    <row r="733" spans="1:43" x14ac:dyDescent="0.35">
      <c r="A733" t="s">
        <v>486</v>
      </c>
      <c r="B733" t="s">
        <v>46</v>
      </c>
      <c r="C733" t="s">
        <v>1599</v>
      </c>
      <c r="D733">
        <v>1988</v>
      </c>
      <c r="E733">
        <v>29</v>
      </c>
      <c r="F733" t="s">
        <v>58</v>
      </c>
      <c r="G733" t="s">
        <v>51</v>
      </c>
      <c r="H733">
        <v>1100000</v>
      </c>
      <c r="I733">
        <v>3850000</v>
      </c>
      <c r="J733" t="s">
        <v>55</v>
      </c>
      <c r="K733">
        <v>29</v>
      </c>
      <c r="L733">
        <v>2375</v>
      </c>
      <c r="M733">
        <v>0</v>
      </c>
      <c r="N733">
        <v>1546</v>
      </c>
      <c r="O733">
        <v>1</v>
      </c>
      <c r="P733">
        <v>8</v>
      </c>
      <c r="Q733">
        <v>1</v>
      </c>
      <c r="R733">
        <v>0</v>
      </c>
      <c r="S733">
        <v>9</v>
      </c>
      <c r="T733">
        <v>8</v>
      </c>
      <c r="U733">
        <v>1</v>
      </c>
      <c r="V733">
        <v>1</v>
      </c>
      <c r="W733">
        <v>9</v>
      </c>
      <c r="X733">
        <v>0</v>
      </c>
      <c r="Y733">
        <v>0</v>
      </c>
      <c r="Z733">
        <v>0</v>
      </c>
      <c r="AA733">
        <v>1</v>
      </c>
      <c r="AB733">
        <v>6</v>
      </c>
      <c r="AC733">
        <v>7</v>
      </c>
      <c r="AD733">
        <v>0</v>
      </c>
      <c r="AE733">
        <v>6</v>
      </c>
      <c r="AF733">
        <v>7</v>
      </c>
      <c r="AG733">
        <v>72</v>
      </c>
      <c r="AH733">
        <v>58</v>
      </c>
      <c r="AI733">
        <v>0</v>
      </c>
      <c r="AJ733">
        <v>78</v>
      </c>
      <c r="AK733">
        <v>1</v>
      </c>
      <c r="AL733">
        <v>0</v>
      </c>
      <c r="AM733">
        <v>17</v>
      </c>
      <c r="AN733">
        <v>31</v>
      </c>
      <c r="AO733">
        <v>34</v>
      </c>
      <c r="AQ733" t="str">
        <f t="shared" si="11"/>
        <v>Midfielder</v>
      </c>
    </row>
    <row r="734" spans="1:43" x14ac:dyDescent="0.35">
      <c r="A734" t="s">
        <v>486</v>
      </c>
      <c r="B734" t="s">
        <v>43</v>
      </c>
      <c r="C734" t="s">
        <v>1600</v>
      </c>
      <c r="D734">
        <v>1988</v>
      </c>
      <c r="E734">
        <v>29</v>
      </c>
      <c r="F734" t="s">
        <v>58</v>
      </c>
      <c r="G734" t="s">
        <v>51</v>
      </c>
      <c r="H734">
        <v>3150000</v>
      </c>
      <c r="I734">
        <v>2250000</v>
      </c>
      <c r="J734" t="s">
        <v>55</v>
      </c>
      <c r="K734">
        <v>30</v>
      </c>
      <c r="L734">
        <v>2406</v>
      </c>
      <c r="M734">
        <v>0</v>
      </c>
      <c r="N734">
        <v>1413</v>
      </c>
      <c r="O734">
        <v>0</v>
      </c>
      <c r="P734">
        <v>8</v>
      </c>
      <c r="Q734">
        <v>1</v>
      </c>
      <c r="R734">
        <v>1</v>
      </c>
      <c r="S734">
        <v>11</v>
      </c>
      <c r="T734">
        <v>12</v>
      </c>
      <c r="U734">
        <v>2</v>
      </c>
      <c r="V734">
        <v>0</v>
      </c>
      <c r="W734">
        <v>19</v>
      </c>
      <c r="X734">
        <v>0</v>
      </c>
      <c r="Y734">
        <v>0</v>
      </c>
      <c r="Z734">
        <v>0</v>
      </c>
      <c r="AA734">
        <v>0</v>
      </c>
      <c r="AB734">
        <v>2</v>
      </c>
      <c r="AC734">
        <v>10</v>
      </c>
      <c r="AD734">
        <v>0</v>
      </c>
      <c r="AE734">
        <v>3</v>
      </c>
      <c r="AF734">
        <v>12</v>
      </c>
      <c r="AG734">
        <v>70</v>
      </c>
      <c r="AH734">
        <v>32</v>
      </c>
      <c r="AI734">
        <v>0</v>
      </c>
      <c r="AJ734">
        <v>93</v>
      </c>
      <c r="AK734">
        <v>0</v>
      </c>
      <c r="AL734">
        <v>0</v>
      </c>
      <c r="AM734">
        <v>45</v>
      </c>
      <c r="AN734">
        <v>0</v>
      </c>
      <c r="AO734">
        <v>30</v>
      </c>
      <c r="AQ734" t="str">
        <f t="shared" si="11"/>
        <v>Midfielder</v>
      </c>
    </row>
    <row r="735" spans="1:43" x14ac:dyDescent="0.35">
      <c r="A735" t="s">
        <v>487</v>
      </c>
      <c r="B735" t="s">
        <v>39</v>
      </c>
      <c r="C735" t="s">
        <v>1601</v>
      </c>
      <c r="D735">
        <v>1983</v>
      </c>
      <c r="E735">
        <v>31</v>
      </c>
      <c r="F735" t="s">
        <v>184</v>
      </c>
      <c r="G735" t="s">
        <v>260</v>
      </c>
      <c r="H735">
        <v>4400000</v>
      </c>
      <c r="I735">
        <v>3150000</v>
      </c>
      <c r="J735" t="s">
        <v>42</v>
      </c>
      <c r="K735">
        <v>27</v>
      </c>
      <c r="L735">
        <v>1724</v>
      </c>
      <c r="M735">
        <v>5</v>
      </c>
      <c r="N735">
        <v>492</v>
      </c>
      <c r="O735">
        <v>3</v>
      </c>
      <c r="P735">
        <v>1</v>
      </c>
      <c r="Q735">
        <v>0</v>
      </c>
      <c r="R735">
        <v>9</v>
      </c>
      <c r="S735">
        <v>4</v>
      </c>
      <c r="T735">
        <v>32</v>
      </c>
      <c r="U735">
        <v>13</v>
      </c>
      <c r="V735">
        <v>0</v>
      </c>
      <c r="W735">
        <v>18</v>
      </c>
      <c r="X735">
        <v>0</v>
      </c>
      <c r="Y735">
        <v>0</v>
      </c>
      <c r="Z735">
        <v>0</v>
      </c>
      <c r="AA735">
        <v>25</v>
      </c>
      <c r="AB735">
        <v>2</v>
      </c>
      <c r="AC735">
        <v>4</v>
      </c>
      <c r="AD735">
        <v>0</v>
      </c>
      <c r="AE735">
        <v>36</v>
      </c>
      <c r="AF735">
        <v>6</v>
      </c>
      <c r="AG735">
        <v>5</v>
      </c>
      <c r="AH735">
        <v>14</v>
      </c>
      <c r="AI735">
        <v>0</v>
      </c>
      <c r="AJ735">
        <v>8</v>
      </c>
      <c r="AK735">
        <v>0</v>
      </c>
      <c r="AL735">
        <v>0</v>
      </c>
      <c r="AM735">
        <v>26</v>
      </c>
      <c r="AN735">
        <v>81</v>
      </c>
      <c r="AO735">
        <v>103</v>
      </c>
      <c r="AQ735" t="str">
        <f t="shared" si="11"/>
        <v>Forward</v>
      </c>
    </row>
    <row r="736" spans="1:43" x14ac:dyDescent="0.35">
      <c r="A736" t="s">
        <v>487</v>
      </c>
      <c r="B736" t="s">
        <v>47</v>
      </c>
      <c r="C736" t="s">
        <v>1602</v>
      </c>
      <c r="D736">
        <v>1983</v>
      </c>
      <c r="E736">
        <v>32</v>
      </c>
      <c r="F736" t="s">
        <v>184</v>
      </c>
      <c r="G736" t="s">
        <v>260</v>
      </c>
      <c r="H736">
        <v>13200000</v>
      </c>
      <c r="I736">
        <v>12100000</v>
      </c>
      <c r="J736" t="s">
        <v>55</v>
      </c>
      <c r="K736">
        <v>23</v>
      </c>
      <c r="L736">
        <v>1296</v>
      </c>
      <c r="M736">
        <v>4</v>
      </c>
      <c r="N736">
        <v>331</v>
      </c>
      <c r="O736">
        <v>2</v>
      </c>
      <c r="P736">
        <v>1</v>
      </c>
      <c r="Q736">
        <v>0</v>
      </c>
      <c r="R736">
        <v>10</v>
      </c>
      <c r="S736">
        <v>2</v>
      </c>
      <c r="T736">
        <v>25</v>
      </c>
      <c r="U736">
        <v>12</v>
      </c>
      <c r="V736">
        <v>0</v>
      </c>
      <c r="W736">
        <v>16</v>
      </c>
      <c r="X736">
        <v>2</v>
      </c>
      <c r="Y736">
        <v>1</v>
      </c>
      <c r="Z736">
        <v>0</v>
      </c>
      <c r="AA736">
        <v>12</v>
      </c>
      <c r="AB736">
        <v>0</v>
      </c>
      <c r="AC736">
        <v>4</v>
      </c>
      <c r="AD736">
        <v>0</v>
      </c>
      <c r="AE736">
        <v>36</v>
      </c>
      <c r="AF736">
        <v>4</v>
      </c>
      <c r="AG736">
        <v>4</v>
      </c>
      <c r="AH736">
        <v>13</v>
      </c>
      <c r="AI736">
        <v>0</v>
      </c>
      <c r="AJ736">
        <v>8</v>
      </c>
      <c r="AK736">
        <v>0</v>
      </c>
      <c r="AL736">
        <v>0</v>
      </c>
      <c r="AM736">
        <v>27</v>
      </c>
      <c r="AN736">
        <v>66</v>
      </c>
      <c r="AO736">
        <v>68</v>
      </c>
      <c r="AQ736" t="str">
        <f t="shared" si="11"/>
        <v>Midfielder</v>
      </c>
    </row>
    <row r="737" spans="1:43" x14ac:dyDescent="0.35">
      <c r="A737" t="s">
        <v>488</v>
      </c>
      <c r="B737" t="s">
        <v>39</v>
      </c>
      <c r="C737" t="s">
        <v>1603</v>
      </c>
      <c r="D737">
        <v>1992</v>
      </c>
      <c r="E737">
        <v>23</v>
      </c>
      <c r="F737" t="s">
        <v>40</v>
      </c>
      <c r="G737" t="s">
        <v>51</v>
      </c>
      <c r="H737">
        <v>16500000</v>
      </c>
      <c r="I737">
        <v>16500000</v>
      </c>
      <c r="J737" t="s">
        <v>55</v>
      </c>
      <c r="K737">
        <v>31</v>
      </c>
      <c r="L737">
        <v>2268</v>
      </c>
      <c r="M737">
        <v>1</v>
      </c>
      <c r="N737">
        <v>1473</v>
      </c>
      <c r="O737">
        <v>5</v>
      </c>
      <c r="P737">
        <v>8</v>
      </c>
      <c r="Q737">
        <v>0</v>
      </c>
      <c r="R737">
        <v>6</v>
      </c>
      <c r="S737">
        <v>8</v>
      </c>
      <c r="T737">
        <v>56</v>
      </c>
      <c r="U737">
        <v>16</v>
      </c>
      <c r="V737">
        <v>2</v>
      </c>
      <c r="W737">
        <v>11</v>
      </c>
      <c r="X737">
        <v>0</v>
      </c>
      <c r="Y737">
        <v>1</v>
      </c>
      <c r="Z737">
        <v>0</v>
      </c>
      <c r="AA737">
        <v>0</v>
      </c>
      <c r="AB737">
        <v>11</v>
      </c>
      <c r="AC737">
        <v>0</v>
      </c>
      <c r="AD737">
        <v>73</v>
      </c>
      <c r="AE737">
        <v>116</v>
      </c>
      <c r="AF737">
        <v>0</v>
      </c>
      <c r="AG737">
        <v>45</v>
      </c>
      <c r="AH737">
        <v>21</v>
      </c>
      <c r="AI737">
        <v>0</v>
      </c>
      <c r="AJ737">
        <v>37</v>
      </c>
      <c r="AK737">
        <v>0</v>
      </c>
      <c r="AL737">
        <v>0</v>
      </c>
      <c r="AM737">
        <v>25</v>
      </c>
      <c r="AN737">
        <v>12</v>
      </c>
      <c r="AO737">
        <v>16</v>
      </c>
      <c r="AQ737" t="str">
        <f t="shared" si="11"/>
        <v>Midfielder</v>
      </c>
    </row>
    <row r="738" spans="1:43" x14ac:dyDescent="0.35">
      <c r="A738" t="s">
        <v>488</v>
      </c>
      <c r="B738" t="s">
        <v>46</v>
      </c>
      <c r="C738" t="s">
        <v>1604</v>
      </c>
      <c r="D738">
        <v>1992</v>
      </c>
      <c r="E738">
        <v>26</v>
      </c>
      <c r="F738" t="s">
        <v>117</v>
      </c>
      <c r="G738" t="s">
        <v>51</v>
      </c>
      <c r="H738">
        <v>12100000</v>
      </c>
      <c r="I738">
        <v>16500000</v>
      </c>
      <c r="J738" t="s">
        <v>55</v>
      </c>
      <c r="K738">
        <v>16</v>
      </c>
      <c r="L738">
        <v>944</v>
      </c>
      <c r="M738">
        <v>0</v>
      </c>
      <c r="N738">
        <v>629</v>
      </c>
      <c r="O738">
        <v>0</v>
      </c>
      <c r="P738">
        <v>0</v>
      </c>
      <c r="Q738">
        <v>0</v>
      </c>
      <c r="R738">
        <v>6</v>
      </c>
      <c r="S738">
        <v>2</v>
      </c>
      <c r="T738">
        <v>23</v>
      </c>
      <c r="U738">
        <v>8</v>
      </c>
      <c r="V738">
        <v>0</v>
      </c>
      <c r="W738">
        <v>2</v>
      </c>
      <c r="X738">
        <v>0</v>
      </c>
      <c r="Y738">
        <v>0</v>
      </c>
      <c r="Z738">
        <v>0</v>
      </c>
      <c r="AA738">
        <v>0</v>
      </c>
      <c r="AB738">
        <v>4</v>
      </c>
      <c r="AC738">
        <v>15</v>
      </c>
      <c r="AD738">
        <v>31</v>
      </c>
      <c r="AE738">
        <v>50</v>
      </c>
      <c r="AF738">
        <v>3</v>
      </c>
      <c r="AG738">
        <v>7</v>
      </c>
      <c r="AH738">
        <v>16</v>
      </c>
      <c r="AI738">
        <v>0</v>
      </c>
      <c r="AJ738">
        <v>22</v>
      </c>
      <c r="AK738">
        <v>0</v>
      </c>
      <c r="AL738">
        <v>0</v>
      </c>
      <c r="AM738">
        <v>13</v>
      </c>
      <c r="AN738">
        <v>14</v>
      </c>
      <c r="AO738">
        <v>10</v>
      </c>
      <c r="AQ738" t="str">
        <f t="shared" si="11"/>
        <v>Midfielder</v>
      </c>
    </row>
    <row r="739" spans="1:43" x14ac:dyDescent="0.35">
      <c r="A739" t="s">
        <v>488</v>
      </c>
      <c r="B739" t="s">
        <v>43</v>
      </c>
      <c r="C739" t="s">
        <v>1605</v>
      </c>
      <c r="D739">
        <v>1992</v>
      </c>
      <c r="E739">
        <v>25</v>
      </c>
      <c r="F739" t="s">
        <v>117</v>
      </c>
      <c r="G739" t="s">
        <v>51</v>
      </c>
      <c r="H739">
        <v>3000000</v>
      </c>
      <c r="I739">
        <v>4000000</v>
      </c>
      <c r="J739" t="s">
        <v>55</v>
      </c>
      <c r="K739">
        <v>30</v>
      </c>
      <c r="L739">
        <v>2267</v>
      </c>
      <c r="M739">
        <v>1</v>
      </c>
      <c r="N739">
        <v>1382</v>
      </c>
      <c r="O739">
        <v>3</v>
      </c>
      <c r="P739">
        <v>2</v>
      </c>
      <c r="Q739">
        <v>2</v>
      </c>
      <c r="R739">
        <v>5</v>
      </c>
      <c r="S739">
        <v>3</v>
      </c>
      <c r="T739">
        <v>42</v>
      </c>
      <c r="U739">
        <v>9</v>
      </c>
      <c r="V739">
        <v>2</v>
      </c>
      <c r="W739">
        <v>7</v>
      </c>
      <c r="X739">
        <v>0</v>
      </c>
      <c r="Y739">
        <v>0</v>
      </c>
      <c r="Z739">
        <v>0</v>
      </c>
      <c r="AA739">
        <v>0</v>
      </c>
      <c r="AB739">
        <v>21</v>
      </c>
      <c r="AC739">
        <v>33</v>
      </c>
      <c r="AD739">
        <v>45</v>
      </c>
      <c r="AE739">
        <v>79</v>
      </c>
      <c r="AF739">
        <v>5</v>
      </c>
      <c r="AG739">
        <v>28</v>
      </c>
      <c r="AH739">
        <v>23</v>
      </c>
      <c r="AI739">
        <v>0</v>
      </c>
      <c r="AJ739">
        <v>39</v>
      </c>
      <c r="AK739">
        <v>0</v>
      </c>
      <c r="AL739">
        <v>0</v>
      </c>
      <c r="AM739">
        <v>28</v>
      </c>
      <c r="AN739">
        <v>20</v>
      </c>
      <c r="AO739">
        <v>13</v>
      </c>
      <c r="AQ739" t="str">
        <f t="shared" si="11"/>
        <v>Midfielder</v>
      </c>
    </row>
    <row r="740" spans="1:43" x14ac:dyDescent="0.35">
      <c r="A740" t="s">
        <v>489</v>
      </c>
      <c r="B740" t="s">
        <v>46</v>
      </c>
      <c r="C740" t="s">
        <v>1606</v>
      </c>
      <c r="D740">
        <v>1997</v>
      </c>
      <c r="E740">
        <v>21</v>
      </c>
      <c r="F740" t="s">
        <v>54</v>
      </c>
      <c r="G740" t="s">
        <v>51</v>
      </c>
      <c r="H740">
        <v>4500000</v>
      </c>
      <c r="I740">
        <v>4500000</v>
      </c>
      <c r="J740" t="s">
        <v>52</v>
      </c>
      <c r="K740">
        <v>10</v>
      </c>
      <c r="L740">
        <v>790</v>
      </c>
      <c r="M740">
        <v>0</v>
      </c>
      <c r="N740">
        <v>427</v>
      </c>
      <c r="O740">
        <v>1</v>
      </c>
      <c r="P740">
        <v>1</v>
      </c>
      <c r="Q740">
        <v>0</v>
      </c>
      <c r="R740">
        <v>2</v>
      </c>
      <c r="S740">
        <v>1</v>
      </c>
      <c r="T740">
        <v>3</v>
      </c>
      <c r="U740">
        <v>0</v>
      </c>
      <c r="V740">
        <v>1</v>
      </c>
      <c r="W740">
        <v>14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0</v>
      </c>
      <c r="AE740">
        <v>17</v>
      </c>
      <c r="AF740">
        <v>2</v>
      </c>
      <c r="AG740">
        <v>17</v>
      </c>
      <c r="AH740">
        <v>10</v>
      </c>
      <c r="AI740">
        <v>0</v>
      </c>
      <c r="AJ740">
        <v>22</v>
      </c>
      <c r="AK740">
        <v>0</v>
      </c>
      <c r="AL740">
        <v>0</v>
      </c>
      <c r="AM740">
        <v>30</v>
      </c>
      <c r="AN740">
        <v>23</v>
      </c>
      <c r="AO740">
        <v>11</v>
      </c>
      <c r="AQ740" t="str">
        <f t="shared" si="11"/>
        <v>Defensive Forward</v>
      </c>
    </row>
    <row r="741" spans="1:43" x14ac:dyDescent="0.35">
      <c r="A741" t="s">
        <v>489</v>
      </c>
      <c r="B741" t="s">
        <v>43</v>
      </c>
      <c r="C741" t="s">
        <v>1607</v>
      </c>
      <c r="D741">
        <v>1997</v>
      </c>
      <c r="E741">
        <v>20</v>
      </c>
      <c r="F741" t="s">
        <v>54</v>
      </c>
      <c r="G741" t="s">
        <v>51</v>
      </c>
      <c r="H741">
        <v>225000</v>
      </c>
      <c r="I741">
        <v>4500000</v>
      </c>
      <c r="J741" t="s">
        <v>52</v>
      </c>
      <c r="K741">
        <v>19</v>
      </c>
      <c r="L741">
        <v>1589</v>
      </c>
      <c r="M741">
        <v>0</v>
      </c>
      <c r="N741">
        <v>587</v>
      </c>
      <c r="O741">
        <v>1</v>
      </c>
      <c r="P741">
        <v>2</v>
      </c>
      <c r="Q741">
        <v>0</v>
      </c>
      <c r="R741">
        <v>2</v>
      </c>
      <c r="S741">
        <v>0</v>
      </c>
      <c r="T741">
        <v>1</v>
      </c>
      <c r="U741">
        <v>1</v>
      </c>
      <c r="V741">
        <v>0</v>
      </c>
      <c r="W741">
        <v>41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46</v>
      </c>
      <c r="AF741">
        <v>7</v>
      </c>
      <c r="AG741">
        <v>28</v>
      </c>
      <c r="AH741">
        <v>17</v>
      </c>
      <c r="AI741">
        <v>0</v>
      </c>
      <c r="AJ741">
        <v>41</v>
      </c>
      <c r="AK741">
        <v>0</v>
      </c>
      <c r="AL741">
        <v>0</v>
      </c>
      <c r="AM741">
        <v>73</v>
      </c>
      <c r="AN741">
        <v>38</v>
      </c>
      <c r="AO741">
        <v>31</v>
      </c>
      <c r="AQ741" t="str">
        <f t="shared" si="11"/>
        <v>Defensive Forward</v>
      </c>
    </row>
    <row r="742" spans="1:43" x14ac:dyDescent="0.35">
      <c r="A742" t="s">
        <v>490</v>
      </c>
      <c r="B742" t="s">
        <v>46</v>
      </c>
      <c r="C742" t="s">
        <v>1608</v>
      </c>
      <c r="D742">
        <v>1994</v>
      </c>
      <c r="E742">
        <v>24</v>
      </c>
      <c r="F742" t="s">
        <v>90</v>
      </c>
      <c r="G742" t="s">
        <v>45</v>
      </c>
      <c r="H742">
        <v>10800000</v>
      </c>
      <c r="I742">
        <v>18000000</v>
      </c>
      <c r="J742" t="s">
        <v>52</v>
      </c>
      <c r="K742">
        <v>33</v>
      </c>
      <c r="L742">
        <v>2777</v>
      </c>
      <c r="M742">
        <v>1</v>
      </c>
      <c r="N742">
        <v>1075</v>
      </c>
      <c r="O742">
        <v>1</v>
      </c>
      <c r="P742">
        <v>6</v>
      </c>
      <c r="Q742">
        <v>0</v>
      </c>
      <c r="R742">
        <v>1</v>
      </c>
      <c r="S742">
        <v>10</v>
      </c>
      <c r="T742">
        <v>25</v>
      </c>
      <c r="U742">
        <v>8</v>
      </c>
      <c r="V742">
        <v>1</v>
      </c>
      <c r="W742">
        <v>23</v>
      </c>
      <c r="X742">
        <v>0</v>
      </c>
      <c r="Y742">
        <v>0</v>
      </c>
      <c r="Z742">
        <v>0</v>
      </c>
      <c r="AA742">
        <v>5</v>
      </c>
      <c r="AB742">
        <v>1</v>
      </c>
      <c r="AC742">
        <v>17</v>
      </c>
      <c r="AD742">
        <v>0</v>
      </c>
      <c r="AE742">
        <v>46</v>
      </c>
      <c r="AF742">
        <v>8</v>
      </c>
      <c r="AG742">
        <v>60</v>
      </c>
      <c r="AH742">
        <v>23</v>
      </c>
      <c r="AI742">
        <v>0</v>
      </c>
      <c r="AJ742">
        <v>79</v>
      </c>
      <c r="AK742">
        <v>1</v>
      </c>
      <c r="AL742">
        <v>0</v>
      </c>
      <c r="AM742">
        <v>53</v>
      </c>
      <c r="AN742">
        <v>39</v>
      </c>
      <c r="AO742">
        <v>51</v>
      </c>
      <c r="AQ742" t="str">
        <f t="shared" si="11"/>
        <v>Defensive Forward</v>
      </c>
    </row>
    <row r="743" spans="1:43" x14ac:dyDescent="0.35">
      <c r="A743" t="s">
        <v>491</v>
      </c>
      <c r="B743" t="s">
        <v>46</v>
      </c>
      <c r="C743" t="s">
        <v>1609</v>
      </c>
      <c r="D743">
        <v>1988</v>
      </c>
      <c r="E743">
        <v>30</v>
      </c>
      <c r="F743" t="s">
        <v>99</v>
      </c>
      <c r="G743" t="s">
        <v>245</v>
      </c>
      <c r="H743">
        <v>13500000</v>
      </c>
      <c r="I743">
        <v>9000000</v>
      </c>
      <c r="J743" t="s">
        <v>52</v>
      </c>
      <c r="K743">
        <v>24</v>
      </c>
      <c r="L743">
        <v>1994</v>
      </c>
      <c r="M743">
        <v>1</v>
      </c>
      <c r="N743">
        <v>1029</v>
      </c>
      <c r="O743">
        <v>0</v>
      </c>
      <c r="P743">
        <v>2</v>
      </c>
      <c r="Q743">
        <v>0</v>
      </c>
      <c r="R743">
        <v>3</v>
      </c>
      <c r="S743">
        <v>2</v>
      </c>
      <c r="T743">
        <v>11</v>
      </c>
      <c r="U743">
        <v>3</v>
      </c>
      <c r="V743">
        <v>0</v>
      </c>
      <c r="W743">
        <v>79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8</v>
      </c>
      <c r="AD743">
        <v>0</v>
      </c>
      <c r="AE743">
        <v>1</v>
      </c>
      <c r="AF743">
        <v>10</v>
      </c>
      <c r="AG743">
        <v>33</v>
      </c>
      <c r="AH743">
        <v>21</v>
      </c>
      <c r="AI743">
        <v>0</v>
      </c>
      <c r="AJ743">
        <v>24</v>
      </c>
      <c r="AK743">
        <v>0</v>
      </c>
      <c r="AL743">
        <v>0</v>
      </c>
      <c r="AM743">
        <v>146</v>
      </c>
      <c r="AN743">
        <v>72</v>
      </c>
      <c r="AO743">
        <v>38</v>
      </c>
      <c r="AQ743" t="str">
        <f t="shared" si="11"/>
        <v>Defensive Forward</v>
      </c>
    </row>
    <row r="744" spans="1:43" x14ac:dyDescent="0.35">
      <c r="A744" t="s">
        <v>491</v>
      </c>
      <c r="B744" t="s">
        <v>39</v>
      </c>
      <c r="C744" t="s">
        <v>1610</v>
      </c>
      <c r="D744">
        <v>1988</v>
      </c>
      <c r="E744">
        <v>27</v>
      </c>
      <c r="F744" t="s">
        <v>103</v>
      </c>
      <c r="G744" t="s">
        <v>245</v>
      </c>
      <c r="H744">
        <v>5400000</v>
      </c>
      <c r="I744">
        <v>5400000</v>
      </c>
      <c r="J744" t="s">
        <v>52</v>
      </c>
      <c r="K744">
        <v>30</v>
      </c>
      <c r="L744">
        <v>2593</v>
      </c>
      <c r="M744">
        <v>1</v>
      </c>
      <c r="N744">
        <v>984</v>
      </c>
      <c r="O744">
        <v>1</v>
      </c>
      <c r="P744">
        <v>4</v>
      </c>
      <c r="Q744">
        <v>0</v>
      </c>
      <c r="R744">
        <v>0</v>
      </c>
      <c r="S744">
        <v>3</v>
      </c>
      <c r="T744">
        <v>7</v>
      </c>
      <c r="U744">
        <v>1</v>
      </c>
      <c r="V744">
        <v>0</v>
      </c>
      <c r="W744">
        <v>60</v>
      </c>
      <c r="X744">
        <v>0</v>
      </c>
      <c r="Y744">
        <v>0</v>
      </c>
      <c r="Z744">
        <v>0</v>
      </c>
      <c r="AA744">
        <v>0</v>
      </c>
      <c r="AB744">
        <v>1</v>
      </c>
      <c r="AC744">
        <v>0</v>
      </c>
      <c r="AD744">
        <v>0</v>
      </c>
      <c r="AE744">
        <v>22</v>
      </c>
      <c r="AF744">
        <v>28</v>
      </c>
      <c r="AG744">
        <v>92</v>
      </c>
      <c r="AH744">
        <v>23</v>
      </c>
      <c r="AI744">
        <v>0</v>
      </c>
      <c r="AJ744">
        <v>74</v>
      </c>
      <c r="AK744">
        <v>0</v>
      </c>
      <c r="AL744">
        <v>0</v>
      </c>
      <c r="AM744">
        <v>104</v>
      </c>
      <c r="AN744">
        <v>54</v>
      </c>
      <c r="AO744">
        <v>30</v>
      </c>
      <c r="AQ744" t="str">
        <f t="shared" si="11"/>
        <v>Defensive Forward</v>
      </c>
    </row>
    <row r="745" spans="1:43" x14ac:dyDescent="0.35">
      <c r="A745" t="s">
        <v>491</v>
      </c>
      <c r="B745" t="s">
        <v>43</v>
      </c>
      <c r="C745" t="s">
        <v>1611</v>
      </c>
      <c r="D745">
        <v>1988</v>
      </c>
      <c r="E745">
        <v>29</v>
      </c>
      <c r="F745" t="s">
        <v>103</v>
      </c>
      <c r="G745" t="s">
        <v>245</v>
      </c>
      <c r="H745">
        <v>6300000</v>
      </c>
      <c r="I745">
        <v>13500000</v>
      </c>
      <c r="J745" t="s">
        <v>52</v>
      </c>
      <c r="K745">
        <v>28</v>
      </c>
      <c r="L745">
        <v>2273</v>
      </c>
      <c r="M745">
        <v>2</v>
      </c>
      <c r="N745">
        <v>961</v>
      </c>
      <c r="O745">
        <v>2</v>
      </c>
      <c r="P745">
        <v>7</v>
      </c>
      <c r="Q745">
        <v>0</v>
      </c>
      <c r="R745">
        <v>2</v>
      </c>
      <c r="S745">
        <v>4</v>
      </c>
      <c r="T745">
        <v>10</v>
      </c>
      <c r="U745">
        <v>5</v>
      </c>
      <c r="V745">
        <v>0</v>
      </c>
      <c r="W745">
        <v>67</v>
      </c>
      <c r="X745">
        <v>2</v>
      </c>
      <c r="Y745">
        <v>0</v>
      </c>
      <c r="Z745">
        <v>0</v>
      </c>
      <c r="AA745">
        <v>0</v>
      </c>
      <c r="AB745">
        <v>0</v>
      </c>
      <c r="AC745">
        <v>5</v>
      </c>
      <c r="AD745">
        <v>0</v>
      </c>
      <c r="AE745">
        <v>4</v>
      </c>
      <c r="AF745">
        <v>13</v>
      </c>
      <c r="AG745">
        <v>48</v>
      </c>
      <c r="AH745">
        <v>26</v>
      </c>
      <c r="AI745">
        <v>0</v>
      </c>
      <c r="AJ745">
        <v>29</v>
      </c>
      <c r="AK745">
        <v>0</v>
      </c>
      <c r="AL745">
        <v>1</v>
      </c>
      <c r="AM745">
        <v>126</v>
      </c>
      <c r="AN745">
        <v>54</v>
      </c>
      <c r="AO745">
        <v>34</v>
      </c>
      <c r="AQ745" t="str">
        <f t="shared" si="11"/>
        <v>Defensive Forward</v>
      </c>
    </row>
    <row r="746" spans="1:43" x14ac:dyDescent="0.35">
      <c r="A746" t="s">
        <v>491</v>
      </c>
      <c r="B746" t="s">
        <v>47</v>
      </c>
      <c r="C746" t="s">
        <v>1612</v>
      </c>
      <c r="D746">
        <v>1988</v>
      </c>
      <c r="E746">
        <v>28</v>
      </c>
      <c r="F746" t="s">
        <v>103</v>
      </c>
      <c r="G746" t="s">
        <v>245</v>
      </c>
      <c r="H746">
        <v>5400000</v>
      </c>
      <c r="I746">
        <v>6300000</v>
      </c>
      <c r="J746" t="s">
        <v>52</v>
      </c>
      <c r="K746">
        <v>31</v>
      </c>
      <c r="L746">
        <v>2638</v>
      </c>
      <c r="M746">
        <v>2</v>
      </c>
      <c r="N746">
        <v>942</v>
      </c>
      <c r="O746">
        <v>1</v>
      </c>
      <c r="P746">
        <v>8</v>
      </c>
      <c r="Q746">
        <v>0</v>
      </c>
      <c r="R746">
        <v>1</v>
      </c>
      <c r="S746">
        <v>2</v>
      </c>
      <c r="T746">
        <v>9</v>
      </c>
      <c r="U746">
        <v>5</v>
      </c>
      <c r="V746">
        <v>0</v>
      </c>
      <c r="W746">
        <v>91</v>
      </c>
      <c r="X746">
        <v>2</v>
      </c>
      <c r="Y746">
        <v>0</v>
      </c>
      <c r="Z746">
        <v>0</v>
      </c>
      <c r="AA746">
        <v>0</v>
      </c>
      <c r="AB746">
        <v>0</v>
      </c>
      <c r="AC746">
        <v>1</v>
      </c>
      <c r="AD746">
        <v>0</v>
      </c>
      <c r="AE746">
        <v>9</v>
      </c>
      <c r="AF746">
        <v>19</v>
      </c>
      <c r="AG746">
        <v>74</v>
      </c>
      <c r="AH746">
        <v>31</v>
      </c>
      <c r="AI746">
        <v>0</v>
      </c>
      <c r="AJ746">
        <v>42</v>
      </c>
      <c r="AK746">
        <v>1</v>
      </c>
      <c r="AL746">
        <v>0</v>
      </c>
      <c r="AM746">
        <v>151</v>
      </c>
      <c r="AN746">
        <v>45</v>
      </c>
      <c r="AO746">
        <v>29</v>
      </c>
      <c r="AQ746" t="str">
        <f t="shared" si="11"/>
        <v>Defensive Forward</v>
      </c>
    </row>
    <row r="747" spans="1:43" x14ac:dyDescent="0.35">
      <c r="A747" t="s">
        <v>492</v>
      </c>
      <c r="B747" t="s">
        <v>39</v>
      </c>
      <c r="C747" t="s">
        <v>1613</v>
      </c>
      <c r="D747">
        <v>1988</v>
      </c>
      <c r="E747">
        <v>27</v>
      </c>
      <c r="F747" t="s">
        <v>123</v>
      </c>
      <c r="G747" t="s">
        <v>51</v>
      </c>
      <c r="H747">
        <v>30800000</v>
      </c>
      <c r="I747">
        <v>30800000</v>
      </c>
      <c r="J747" t="s">
        <v>55</v>
      </c>
      <c r="K747">
        <v>36</v>
      </c>
      <c r="L747">
        <v>2953</v>
      </c>
      <c r="M747">
        <v>3</v>
      </c>
      <c r="N747">
        <v>1284</v>
      </c>
      <c r="O747">
        <v>4</v>
      </c>
      <c r="P747">
        <v>7</v>
      </c>
      <c r="Q747">
        <v>0</v>
      </c>
      <c r="R747">
        <v>3</v>
      </c>
      <c r="S747">
        <v>5</v>
      </c>
      <c r="T747">
        <v>35</v>
      </c>
      <c r="U747">
        <v>9</v>
      </c>
      <c r="V747">
        <v>0</v>
      </c>
      <c r="W747">
        <v>35</v>
      </c>
      <c r="X747">
        <v>1</v>
      </c>
      <c r="Y747">
        <v>0</v>
      </c>
      <c r="Z747">
        <v>0</v>
      </c>
      <c r="AA747">
        <v>3</v>
      </c>
      <c r="AB747">
        <v>1</v>
      </c>
      <c r="AC747">
        <v>0</v>
      </c>
      <c r="AD747">
        <v>2</v>
      </c>
      <c r="AE747">
        <v>30</v>
      </c>
      <c r="AF747">
        <v>9</v>
      </c>
      <c r="AG747">
        <v>42</v>
      </c>
      <c r="AH747">
        <v>27</v>
      </c>
      <c r="AI747">
        <v>0</v>
      </c>
      <c r="AJ747">
        <v>76</v>
      </c>
      <c r="AK747">
        <v>0</v>
      </c>
      <c r="AL747">
        <v>0</v>
      </c>
      <c r="AM747">
        <v>66</v>
      </c>
      <c r="AN747">
        <v>32</v>
      </c>
      <c r="AO747">
        <v>77</v>
      </c>
      <c r="AQ747" t="str">
        <f t="shared" si="11"/>
        <v>Midfielder</v>
      </c>
    </row>
    <row r="748" spans="1:43" x14ac:dyDescent="0.35">
      <c r="A748" t="s">
        <v>493</v>
      </c>
      <c r="B748" t="s">
        <v>39</v>
      </c>
      <c r="C748" t="s">
        <v>1614</v>
      </c>
      <c r="D748">
        <v>1994</v>
      </c>
      <c r="E748">
        <v>21</v>
      </c>
      <c r="F748" t="s">
        <v>89</v>
      </c>
      <c r="G748" t="s">
        <v>67</v>
      </c>
      <c r="H748">
        <v>3600000</v>
      </c>
      <c r="I748">
        <v>9000000</v>
      </c>
      <c r="J748" t="s">
        <v>52</v>
      </c>
      <c r="K748">
        <v>10</v>
      </c>
      <c r="L748">
        <v>836</v>
      </c>
      <c r="M748">
        <v>0</v>
      </c>
      <c r="N748">
        <v>368</v>
      </c>
      <c r="O748">
        <v>2</v>
      </c>
      <c r="P748">
        <v>2</v>
      </c>
      <c r="Q748">
        <v>0</v>
      </c>
      <c r="R748">
        <v>1</v>
      </c>
      <c r="S748">
        <v>0</v>
      </c>
      <c r="T748">
        <v>5</v>
      </c>
      <c r="U748">
        <v>1</v>
      </c>
      <c r="V748">
        <v>0</v>
      </c>
      <c r="W748">
        <v>19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40</v>
      </c>
      <c r="AF748">
        <v>3</v>
      </c>
      <c r="AG748">
        <v>37</v>
      </c>
      <c r="AH748">
        <v>18</v>
      </c>
      <c r="AI748">
        <v>0</v>
      </c>
      <c r="AJ748">
        <v>36</v>
      </c>
      <c r="AK748">
        <v>1</v>
      </c>
      <c r="AL748">
        <v>0</v>
      </c>
      <c r="AM748">
        <v>32</v>
      </c>
      <c r="AN748">
        <v>20</v>
      </c>
      <c r="AO748">
        <v>17</v>
      </c>
      <c r="AQ748" t="str">
        <f t="shared" si="11"/>
        <v>Defensive Forward</v>
      </c>
    </row>
    <row r="749" spans="1:43" x14ac:dyDescent="0.35">
      <c r="A749" t="s">
        <v>494</v>
      </c>
      <c r="B749" t="s">
        <v>39</v>
      </c>
      <c r="C749" t="s">
        <v>1615</v>
      </c>
      <c r="D749">
        <v>1991</v>
      </c>
      <c r="E749">
        <v>23</v>
      </c>
      <c r="F749" t="s">
        <v>89</v>
      </c>
      <c r="G749" t="s">
        <v>69</v>
      </c>
      <c r="H749">
        <v>6600000</v>
      </c>
      <c r="I749">
        <v>8250000</v>
      </c>
      <c r="J749" t="s">
        <v>42</v>
      </c>
      <c r="K749">
        <v>30</v>
      </c>
      <c r="L749">
        <v>2352</v>
      </c>
      <c r="M749">
        <v>7</v>
      </c>
      <c r="N749">
        <v>800</v>
      </c>
      <c r="O749">
        <v>0</v>
      </c>
      <c r="P749">
        <v>6</v>
      </c>
      <c r="Q749">
        <v>1</v>
      </c>
      <c r="R749">
        <v>3</v>
      </c>
      <c r="S749">
        <v>7</v>
      </c>
      <c r="T749">
        <v>59</v>
      </c>
      <c r="U749">
        <v>21</v>
      </c>
      <c r="V749">
        <v>2</v>
      </c>
      <c r="W749">
        <v>5</v>
      </c>
      <c r="X749">
        <v>1</v>
      </c>
      <c r="Y749">
        <v>1</v>
      </c>
      <c r="Z749">
        <v>0</v>
      </c>
      <c r="AA749">
        <v>10</v>
      </c>
      <c r="AB749">
        <v>0</v>
      </c>
      <c r="AC749">
        <v>1</v>
      </c>
      <c r="AD749">
        <v>0</v>
      </c>
      <c r="AE749">
        <v>43</v>
      </c>
      <c r="AF749">
        <v>2</v>
      </c>
      <c r="AG749">
        <v>23</v>
      </c>
      <c r="AH749">
        <v>48</v>
      </c>
      <c r="AI749">
        <v>0</v>
      </c>
      <c r="AJ749">
        <v>40</v>
      </c>
      <c r="AK749">
        <v>0</v>
      </c>
      <c r="AL749">
        <v>0</v>
      </c>
      <c r="AM749">
        <v>8</v>
      </c>
      <c r="AN749">
        <v>61</v>
      </c>
      <c r="AO749">
        <v>85</v>
      </c>
      <c r="AQ749" t="str">
        <f t="shared" si="11"/>
        <v>Forward</v>
      </c>
    </row>
    <row r="750" spans="1:43" x14ac:dyDescent="0.35">
      <c r="A750" t="s">
        <v>494</v>
      </c>
      <c r="B750" t="s">
        <v>47</v>
      </c>
      <c r="C750" t="s">
        <v>1616</v>
      </c>
      <c r="D750">
        <v>1991</v>
      </c>
      <c r="E750">
        <v>24</v>
      </c>
      <c r="F750" t="s">
        <v>40</v>
      </c>
      <c r="G750" t="s">
        <v>69</v>
      </c>
      <c r="H750">
        <v>8250000</v>
      </c>
      <c r="I750">
        <v>8250000</v>
      </c>
      <c r="J750" t="s">
        <v>42</v>
      </c>
      <c r="K750">
        <v>14</v>
      </c>
      <c r="L750">
        <v>863</v>
      </c>
      <c r="M750">
        <v>1</v>
      </c>
      <c r="N750">
        <v>240</v>
      </c>
      <c r="O750">
        <v>3</v>
      </c>
      <c r="P750">
        <v>1</v>
      </c>
      <c r="Q750">
        <v>0</v>
      </c>
      <c r="R750">
        <v>5</v>
      </c>
      <c r="S750">
        <v>3</v>
      </c>
      <c r="T750">
        <v>12</v>
      </c>
      <c r="U750">
        <v>6</v>
      </c>
      <c r="V750">
        <v>1</v>
      </c>
      <c r="W750">
        <v>2</v>
      </c>
      <c r="X750">
        <v>1</v>
      </c>
      <c r="Y750">
        <v>0</v>
      </c>
      <c r="Z750">
        <v>0</v>
      </c>
      <c r="AA750">
        <v>6</v>
      </c>
      <c r="AB750">
        <v>0</v>
      </c>
      <c r="AC750">
        <v>0</v>
      </c>
      <c r="AD750">
        <v>0</v>
      </c>
      <c r="AE750">
        <v>19</v>
      </c>
      <c r="AF750">
        <v>0</v>
      </c>
      <c r="AG750">
        <v>7</v>
      </c>
      <c r="AH750">
        <v>18</v>
      </c>
      <c r="AI750">
        <v>0</v>
      </c>
      <c r="AJ750">
        <v>14</v>
      </c>
      <c r="AK750">
        <v>0</v>
      </c>
      <c r="AL750">
        <v>0</v>
      </c>
      <c r="AM750">
        <v>5</v>
      </c>
      <c r="AN750">
        <v>7</v>
      </c>
      <c r="AO750">
        <v>37</v>
      </c>
      <c r="AQ750" t="str">
        <f t="shared" si="11"/>
        <v>Forward</v>
      </c>
    </row>
    <row r="751" spans="1:43" x14ac:dyDescent="0.35">
      <c r="A751" t="s">
        <v>494</v>
      </c>
      <c r="B751" t="s">
        <v>43</v>
      </c>
      <c r="C751" t="s">
        <v>1617</v>
      </c>
      <c r="D751">
        <v>1991</v>
      </c>
      <c r="E751">
        <v>26</v>
      </c>
      <c r="F751" t="s">
        <v>40</v>
      </c>
      <c r="G751" t="s">
        <v>69</v>
      </c>
      <c r="H751">
        <v>8250000</v>
      </c>
      <c r="I751">
        <v>7200000</v>
      </c>
      <c r="J751" t="s">
        <v>42</v>
      </c>
      <c r="K751">
        <v>36</v>
      </c>
      <c r="L751">
        <v>2856</v>
      </c>
      <c r="M751">
        <v>7</v>
      </c>
      <c r="N751">
        <v>835</v>
      </c>
      <c r="O751">
        <v>2</v>
      </c>
      <c r="P751">
        <v>2</v>
      </c>
      <c r="Q751">
        <v>1</v>
      </c>
      <c r="R751">
        <v>3</v>
      </c>
      <c r="S751">
        <v>10</v>
      </c>
      <c r="T751">
        <v>66</v>
      </c>
      <c r="U751">
        <v>21</v>
      </c>
      <c r="V751">
        <v>4</v>
      </c>
      <c r="W751">
        <v>10</v>
      </c>
      <c r="X751">
        <v>1</v>
      </c>
      <c r="Y751">
        <v>1</v>
      </c>
      <c r="Z751">
        <v>0</v>
      </c>
      <c r="AA751">
        <v>8</v>
      </c>
      <c r="AB751">
        <v>3</v>
      </c>
      <c r="AC751">
        <v>45</v>
      </c>
      <c r="AD751">
        <v>0</v>
      </c>
      <c r="AE751">
        <v>45</v>
      </c>
      <c r="AF751">
        <v>3</v>
      </c>
      <c r="AG751">
        <v>24</v>
      </c>
      <c r="AH751">
        <v>63</v>
      </c>
      <c r="AI751">
        <v>0</v>
      </c>
      <c r="AJ751">
        <v>82</v>
      </c>
      <c r="AK751">
        <v>1</v>
      </c>
      <c r="AL751">
        <v>0</v>
      </c>
      <c r="AM751">
        <v>17</v>
      </c>
      <c r="AN751">
        <v>52</v>
      </c>
      <c r="AO751">
        <v>122</v>
      </c>
      <c r="AQ751" t="str">
        <f t="shared" si="11"/>
        <v>Forward</v>
      </c>
    </row>
    <row r="752" spans="1:43" x14ac:dyDescent="0.35">
      <c r="A752" t="s">
        <v>494</v>
      </c>
      <c r="B752" t="s">
        <v>46</v>
      </c>
      <c r="C752" t="s">
        <v>1618</v>
      </c>
      <c r="D752">
        <v>1991</v>
      </c>
      <c r="E752">
        <v>26</v>
      </c>
      <c r="F752" t="s">
        <v>64</v>
      </c>
      <c r="G752" t="s">
        <v>69</v>
      </c>
      <c r="H752">
        <v>7200000</v>
      </c>
      <c r="I752">
        <v>7200000</v>
      </c>
      <c r="J752" t="s">
        <v>42</v>
      </c>
      <c r="K752">
        <v>20</v>
      </c>
      <c r="L752">
        <v>1187</v>
      </c>
      <c r="M752">
        <v>1</v>
      </c>
      <c r="N752">
        <v>265</v>
      </c>
      <c r="O752">
        <v>2</v>
      </c>
      <c r="P752">
        <v>3</v>
      </c>
      <c r="Q752">
        <v>0</v>
      </c>
      <c r="R752">
        <v>6</v>
      </c>
      <c r="S752">
        <v>11</v>
      </c>
      <c r="T752">
        <v>27</v>
      </c>
      <c r="U752">
        <v>3</v>
      </c>
      <c r="V752">
        <v>0</v>
      </c>
      <c r="W752">
        <v>2</v>
      </c>
      <c r="X752">
        <v>0</v>
      </c>
      <c r="Y752">
        <v>0</v>
      </c>
      <c r="Z752">
        <v>0</v>
      </c>
      <c r="AA752">
        <v>9</v>
      </c>
      <c r="AB752">
        <v>2</v>
      </c>
      <c r="AC752">
        <v>24</v>
      </c>
      <c r="AD752">
        <v>0</v>
      </c>
      <c r="AE752">
        <v>15</v>
      </c>
      <c r="AF752">
        <v>0</v>
      </c>
      <c r="AG752">
        <v>7</v>
      </c>
      <c r="AH752">
        <v>31</v>
      </c>
      <c r="AI752">
        <v>0</v>
      </c>
      <c r="AJ752">
        <v>38</v>
      </c>
      <c r="AK752">
        <v>0</v>
      </c>
      <c r="AL752">
        <v>0</v>
      </c>
      <c r="AM752">
        <v>5</v>
      </c>
      <c r="AN752">
        <v>32</v>
      </c>
      <c r="AO752">
        <v>90</v>
      </c>
      <c r="AQ752" t="str">
        <f t="shared" si="11"/>
        <v>Forward</v>
      </c>
    </row>
    <row r="753" spans="1:43" x14ac:dyDescent="0.35">
      <c r="A753" t="s">
        <v>495</v>
      </c>
      <c r="B753" t="s">
        <v>39</v>
      </c>
      <c r="C753" t="s">
        <v>1619</v>
      </c>
      <c r="D753">
        <v>1990</v>
      </c>
      <c r="E753">
        <v>25</v>
      </c>
      <c r="F753" t="s">
        <v>80</v>
      </c>
      <c r="G753" t="s">
        <v>51</v>
      </c>
      <c r="H753">
        <v>30800000</v>
      </c>
      <c r="I753">
        <v>30800000</v>
      </c>
      <c r="J753" t="s">
        <v>55</v>
      </c>
      <c r="K753">
        <v>17</v>
      </c>
      <c r="L753">
        <v>1293</v>
      </c>
      <c r="M753">
        <v>2</v>
      </c>
      <c r="N753">
        <v>939</v>
      </c>
      <c r="O753">
        <v>3</v>
      </c>
      <c r="P753">
        <v>1</v>
      </c>
      <c r="Q753">
        <v>0</v>
      </c>
      <c r="R753">
        <v>2</v>
      </c>
      <c r="S753">
        <v>5</v>
      </c>
      <c r="T753">
        <v>26</v>
      </c>
      <c r="U753">
        <v>6</v>
      </c>
      <c r="V753">
        <v>1</v>
      </c>
      <c r="W753">
        <v>10</v>
      </c>
      <c r="X753">
        <v>0</v>
      </c>
      <c r="Y753">
        <v>0</v>
      </c>
      <c r="Z753">
        <v>0</v>
      </c>
      <c r="AA753">
        <v>3</v>
      </c>
      <c r="AB753">
        <v>3</v>
      </c>
      <c r="AC753">
        <v>0</v>
      </c>
      <c r="AD753">
        <v>12</v>
      </c>
      <c r="AE753">
        <v>47</v>
      </c>
      <c r="AF753">
        <v>1</v>
      </c>
      <c r="AG753">
        <v>22</v>
      </c>
      <c r="AH753">
        <v>10</v>
      </c>
      <c r="AI753">
        <v>0</v>
      </c>
      <c r="AJ753">
        <v>41</v>
      </c>
      <c r="AK753">
        <v>0</v>
      </c>
      <c r="AL753">
        <v>0</v>
      </c>
      <c r="AM753">
        <v>17</v>
      </c>
      <c r="AN753">
        <v>21</v>
      </c>
      <c r="AO753">
        <v>10</v>
      </c>
      <c r="AQ753" t="str">
        <f t="shared" si="11"/>
        <v>Midfielder</v>
      </c>
    </row>
    <row r="754" spans="1:43" x14ac:dyDescent="0.35">
      <c r="A754" t="s">
        <v>495</v>
      </c>
      <c r="B754" t="s">
        <v>47</v>
      </c>
      <c r="C754" t="s">
        <v>1620</v>
      </c>
      <c r="D754">
        <v>1990</v>
      </c>
      <c r="E754">
        <v>26</v>
      </c>
      <c r="F754" t="s">
        <v>80</v>
      </c>
      <c r="G754" t="s">
        <v>51</v>
      </c>
      <c r="H754">
        <v>27500000</v>
      </c>
      <c r="I754">
        <v>38500000</v>
      </c>
      <c r="J754" t="s">
        <v>55</v>
      </c>
      <c r="K754">
        <v>24</v>
      </c>
      <c r="L754">
        <v>2118</v>
      </c>
      <c r="M754">
        <v>1</v>
      </c>
      <c r="N754">
        <v>2057</v>
      </c>
      <c r="O754">
        <v>4</v>
      </c>
      <c r="P754">
        <v>8</v>
      </c>
      <c r="Q754">
        <v>0</v>
      </c>
      <c r="R754">
        <v>0</v>
      </c>
      <c r="S754">
        <v>2</v>
      </c>
      <c r="T754">
        <v>17</v>
      </c>
      <c r="U754">
        <v>4</v>
      </c>
      <c r="V754">
        <v>0</v>
      </c>
      <c r="W754">
        <v>20</v>
      </c>
      <c r="X754">
        <v>0</v>
      </c>
      <c r="Y754">
        <v>0</v>
      </c>
      <c r="Z754">
        <v>0</v>
      </c>
      <c r="AA754">
        <v>0</v>
      </c>
      <c r="AB754">
        <v>5</v>
      </c>
      <c r="AC754">
        <v>1</v>
      </c>
      <c r="AD754">
        <v>48</v>
      </c>
      <c r="AE754">
        <v>65</v>
      </c>
      <c r="AF754">
        <v>3</v>
      </c>
      <c r="AG754">
        <v>39</v>
      </c>
      <c r="AH754">
        <v>28</v>
      </c>
      <c r="AI754">
        <v>1</v>
      </c>
      <c r="AJ754">
        <v>88</v>
      </c>
      <c r="AK754">
        <v>0</v>
      </c>
      <c r="AL754">
        <v>0</v>
      </c>
      <c r="AM754">
        <v>40</v>
      </c>
      <c r="AN754">
        <v>26</v>
      </c>
      <c r="AO754">
        <v>23</v>
      </c>
      <c r="AQ754" t="str">
        <f t="shared" si="11"/>
        <v>Midfielder</v>
      </c>
    </row>
    <row r="755" spans="1:43" x14ac:dyDescent="0.35">
      <c r="A755" t="s">
        <v>495</v>
      </c>
      <c r="B755" t="s">
        <v>46</v>
      </c>
      <c r="C755" t="s">
        <v>1621</v>
      </c>
      <c r="D755">
        <v>1990</v>
      </c>
      <c r="E755">
        <v>28</v>
      </c>
      <c r="F755" t="s">
        <v>80</v>
      </c>
      <c r="G755" t="s">
        <v>51</v>
      </c>
      <c r="H755">
        <v>30800000</v>
      </c>
      <c r="I755">
        <v>27500000</v>
      </c>
      <c r="J755" t="s">
        <v>55</v>
      </c>
      <c r="K755">
        <v>32</v>
      </c>
      <c r="L755">
        <v>1982</v>
      </c>
      <c r="M755">
        <v>1</v>
      </c>
      <c r="N755">
        <v>1740</v>
      </c>
      <c r="O755">
        <v>3</v>
      </c>
      <c r="P755">
        <v>1</v>
      </c>
      <c r="Q755">
        <v>1</v>
      </c>
      <c r="R755">
        <v>11</v>
      </c>
      <c r="S755">
        <v>6</v>
      </c>
      <c r="T755">
        <v>16</v>
      </c>
      <c r="U755">
        <v>1</v>
      </c>
      <c r="V755">
        <v>0</v>
      </c>
      <c r="W755">
        <v>6</v>
      </c>
      <c r="X755">
        <v>0</v>
      </c>
      <c r="Y755">
        <v>0</v>
      </c>
      <c r="Z755">
        <v>0</v>
      </c>
      <c r="AA755">
        <v>1</v>
      </c>
      <c r="AB755">
        <v>6</v>
      </c>
      <c r="AC755">
        <v>15</v>
      </c>
      <c r="AD755">
        <v>0</v>
      </c>
      <c r="AE755">
        <v>38</v>
      </c>
      <c r="AF755">
        <v>3</v>
      </c>
      <c r="AG755">
        <v>30</v>
      </c>
      <c r="AH755">
        <v>26</v>
      </c>
      <c r="AI755">
        <v>0</v>
      </c>
      <c r="AJ755">
        <v>46</v>
      </c>
      <c r="AK755">
        <v>0</v>
      </c>
      <c r="AL755">
        <v>0</v>
      </c>
      <c r="AM755">
        <v>13</v>
      </c>
      <c r="AN755">
        <v>25</v>
      </c>
      <c r="AO755">
        <v>21</v>
      </c>
      <c r="AQ755" t="str">
        <f t="shared" si="11"/>
        <v>Midfielder</v>
      </c>
    </row>
    <row r="756" spans="1:43" x14ac:dyDescent="0.35">
      <c r="A756" t="s">
        <v>495</v>
      </c>
      <c r="B756" t="s">
        <v>43</v>
      </c>
      <c r="C756" t="s">
        <v>1622</v>
      </c>
      <c r="D756">
        <v>1990</v>
      </c>
      <c r="E756">
        <v>27</v>
      </c>
      <c r="F756" t="s">
        <v>80</v>
      </c>
      <c r="G756" t="s">
        <v>51</v>
      </c>
      <c r="H756">
        <v>7200000</v>
      </c>
      <c r="I756">
        <v>7200000</v>
      </c>
      <c r="J756" t="s">
        <v>55</v>
      </c>
      <c r="K756">
        <v>27</v>
      </c>
      <c r="L756">
        <v>2172</v>
      </c>
      <c r="M756">
        <v>1</v>
      </c>
      <c r="N756">
        <v>2085</v>
      </c>
      <c r="O756">
        <v>1</v>
      </c>
      <c r="P756">
        <v>1</v>
      </c>
      <c r="Q756">
        <v>0</v>
      </c>
      <c r="R756">
        <v>2</v>
      </c>
      <c r="S756">
        <v>4</v>
      </c>
      <c r="T756">
        <v>15</v>
      </c>
      <c r="U756">
        <v>3</v>
      </c>
      <c r="V756">
        <v>1</v>
      </c>
      <c r="W756">
        <v>5</v>
      </c>
      <c r="X756">
        <v>0</v>
      </c>
      <c r="Y756">
        <v>0</v>
      </c>
      <c r="Z756">
        <v>0</v>
      </c>
      <c r="AA756">
        <v>0</v>
      </c>
      <c r="AB756">
        <v>7</v>
      </c>
      <c r="AC756">
        <v>12</v>
      </c>
      <c r="AD756">
        <v>5</v>
      </c>
      <c r="AE756">
        <v>25</v>
      </c>
      <c r="AF756">
        <v>2</v>
      </c>
      <c r="AG756">
        <v>31</v>
      </c>
      <c r="AH756">
        <v>26</v>
      </c>
      <c r="AI756">
        <v>0</v>
      </c>
      <c r="AJ756">
        <v>51</v>
      </c>
      <c r="AK756">
        <v>0</v>
      </c>
      <c r="AL756">
        <v>0</v>
      </c>
      <c r="AM756">
        <v>20</v>
      </c>
      <c r="AN756">
        <v>28</v>
      </c>
      <c r="AO756">
        <v>11</v>
      </c>
      <c r="AQ756" t="str">
        <f t="shared" si="11"/>
        <v>Midfielder</v>
      </c>
    </row>
    <row r="757" spans="1:43" x14ac:dyDescent="0.35">
      <c r="A757" t="s">
        <v>496</v>
      </c>
      <c r="B757" t="s">
        <v>39</v>
      </c>
      <c r="C757" t="s">
        <v>1623</v>
      </c>
      <c r="D757">
        <v>1993</v>
      </c>
      <c r="E757">
        <v>22</v>
      </c>
      <c r="F757" t="s">
        <v>89</v>
      </c>
      <c r="G757" t="s">
        <v>67</v>
      </c>
      <c r="H757">
        <v>5500000</v>
      </c>
      <c r="I757">
        <v>11000000</v>
      </c>
      <c r="J757" t="s">
        <v>55</v>
      </c>
      <c r="K757">
        <v>25</v>
      </c>
      <c r="L757">
        <v>1824</v>
      </c>
      <c r="M757">
        <v>0</v>
      </c>
      <c r="N757">
        <v>991</v>
      </c>
      <c r="O757">
        <v>5</v>
      </c>
      <c r="P757">
        <v>4</v>
      </c>
      <c r="Q757">
        <v>0</v>
      </c>
      <c r="R757">
        <v>4</v>
      </c>
      <c r="S757">
        <v>8</v>
      </c>
      <c r="T757">
        <v>19</v>
      </c>
      <c r="U757">
        <v>6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2</v>
      </c>
      <c r="AC757">
        <v>0</v>
      </c>
      <c r="AD757">
        <v>56</v>
      </c>
      <c r="AE757">
        <v>109</v>
      </c>
      <c r="AF757">
        <v>0</v>
      </c>
      <c r="AG757">
        <v>27</v>
      </c>
      <c r="AH757">
        <v>19</v>
      </c>
      <c r="AI757">
        <v>0</v>
      </c>
      <c r="AJ757">
        <v>32</v>
      </c>
      <c r="AK757">
        <v>1</v>
      </c>
      <c r="AL757">
        <v>0</v>
      </c>
      <c r="AM757">
        <v>15</v>
      </c>
      <c r="AN757">
        <v>11</v>
      </c>
      <c r="AO757">
        <v>27</v>
      </c>
      <c r="AQ757" t="str">
        <f t="shared" si="11"/>
        <v>Midfielder</v>
      </c>
    </row>
    <row r="758" spans="1:43" x14ac:dyDescent="0.35">
      <c r="A758" t="s">
        <v>497</v>
      </c>
      <c r="B758" t="s">
        <v>47</v>
      </c>
      <c r="C758" t="s">
        <v>1624</v>
      </c>
      <c r="D758">
        <v>1992</v>
      </c>
      <c r="E758">
        <v>24</v>
      </c>
      <c r="F758" t="s">
        <v>40</v>
      </c>
      <c r="G758" t="s">
        <v>45</v>
      </c>
      <c r="H758">
        <v>2750000</v>
      </c>
      <c r="I758">
        <v>2750000</v>
      </c>
      <c r="J758" t="s">
        <v>52</v>
      </c>
      <c r="K758">
        <v>17</v>
      </c>
      <c r="L758">
        <v>1408</v>
      </c>
      <c r="M758">
        <v>0</v>
      </c>
      <c r="N758">
        <v>658</v>
      </c>
      <c r="O758">
        <v>0</v>
      </c>
      <c r="P758">
        <v>5</v>
      </c>
      <c r="Q758">
        <v>0</v>
      </c>
      <c r="R758">
        <v>2</v>
      </c>
      <c r="S758">
        <v>0</v>
      </c>
      <c r="T758">
        <v>7</v>
      </c>
      <c r="U758">
        <v>4</v>
      </c>
      <c r="V758">
        <v>0</v>
      </c>
      <c r="W758">
        <v>49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2</v>
      </c>
      <c r="AD758">
        <v>0</v>
      </c>
      <c r="AE758">
        <v>0</v>
      </c>
      <c r="AF758">
        <v>15</v>
      </c>
      <c r="AG758">
        <v>29</v>
      </c>
      <c r="AH758">
        <v>26</v>
      </c>
      <c r="AI758">
        <v>0</v>
      </c>
      <c r="AJ758">
        <v>36</v>
      </c>
      <c r="AK758">
        <v>2</v>
      </c>
      <c r="AL758">
        <v>0</v>
      </c>
      <c r="AM758">
        <v>109</v>
      </c>
      <c r="AN758">
        <v>24</v>
      </c>
      <c r="AO758">
        <v>36</v>
      </c>
      <c r="AQ758" t="str">
        <f t="shared" si="11"/>
        <v>Defensive Forward</v>
      </c>
    </row>
    <row r="759" spans="1:43" x14ac:dyDescent="0.35">
      <c r="A759" t="s">
        <v>498</v>
      </c>
      <c r="B759" t="s">
        <v>39</v>
      </c>
      <c r="C759" t="s">
        <v>1625</v>
      </c>
      <c r="D759">
        <v>1995</v>
      </c>
      <c r="E759">
        <v>19</v>
      </c>
      <c r="F759" t="s">
        <v>80</v>
      </c>
      <c r="G759" t="s">
        <v>51</v>
      </c>
      <c r="H759">
        <v>11000000</v>
      </c>
      <c r="I759">
        <v>8800000</v>
      </c>
      <c r="J759" t="s">
        <v>55</v>
      </c>
      <c r="K759">
        <v>27</v>
      </c>
      <c r="L759">
        <v>1172</v>
      </c>
      <c r="M759">
        <v>1</v>
      </c>
      <c r="N759">
        <v>481</v>
      </c>
      <c r="O759">
        <v>0</v>
      </c>
      <c r="P759">
        <v>0</v>
      </c>
      <c r="Q759">
        <v>0</v>
      </c>
      <c r="R759">
        <v>15</v>
      </c>
      <c r="S759">
        <v>9</v>
      </c>
      <c r="T759">
        <v>29</v>
      </c>
      <c r="U759">
        <v>6</v>
      </c>
      <c r="V759">
        <v>2</v>
      </c>
      <c r="W759">
        <v>0</v>
      </c>
      <c r="X759">
        <v>0</v>
      </c>
      <c r="Y759">
        <v>0</v>
      </c>
      <c r="Z759">
        <v>0</v>
      </c>
      <c r="AA759">
        <v>1</v>
      </c>
      <c r="AB759">
        <v>3</v>
      </c>
      <c r="AC759">
        <v>0</v>
      </c>
      <c r="AD759">
        <v>27</v>
      </c>
      <c r="AE759">
        <v>59</v>
      </c>
      <c r="AF759">
        <v>0</v>
      </c>
      <c r="AG759">
        <v>0</v>
      </c>
      <c r="AH759">
        <v>10</v>
      </c>
      <c r="AI759">
        <v>0</v>
      </c>
      <c r="AJ759">
        <v>10</v>
      </c>
      <c r="AK759">
        <v>0</v>
      </c>
      <c r="AL759">
        <v>0</v>
      </c>
      <c r="AM759">
        <v>0</v>
      </c>
      <c r="AN759">
        <v>2</v>
      </c>
      <c r="AO759">
        <v>6</v>
      </c>
      <c r="AQ759" t="str">
        <f t="shared" si="11"/>
        <v>Midfielder</v>
      </c>
    </row>
    <row r="760" spans="1:43" x14ac:dyDescent="0.35">
      <c r="A760" t="s">
        <v>498</v>
      </c>
      <c r="B760" t="s">
        <v>47</v>
      </c>
      <c r="C760" t="s">
        <v>1626</v>
      </c>
      <c r="D760">
        <v>1995</v>
      </c>
      <c r="E760">
        <v>20</v>
      </c>
      <c r="F760" t="s">
        <v>84</v>
      </c>
      <c r="G760" t="s">
        <v>51</v>
      </c>
      <c r="H760">
        <v>9900000</v>
      </c>
      <c r="I760">
        <v>8800000</v>
      </c>
      <c r="J760" t="s">
        <v>55</v>
      </c>
      <c r="K760">
        <v>25</v>
      </c>
      <c r="L760">
        <v>1057</v>
      </c>
      <c r="M760">
        <v>0</v>
      </c>
      <c r="N760">
        <v>378</v>
      </c>
      <c r="O760">
        <v>0</v>
      </c>
      <c r="P760">
        <v>0</v>
      </c>
      <c r="Q760">
        <v>0</v>
      </c>
      <c r="R760">
        <v>12</v>
      </c>
      <c r="S760">
        <v>13</v>
      </c>
      <c r="T760">
        <v>15</v>
      </c>
      <c r="U760">
        <v>1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1</v>
      </c>
      <c r="AB760">
        <v>0</v>
      </c>
      <c r="AC760">
        <v>0</v>
      </c>
      <c r="AD760">
        <v>18</v>
      </c>
      <c r="AE760">
        <v>43</v>
      </c>
      <c r="AF760">
        <v>2</v>
      </c>
      <c r="AG760">
        <v>9</v>
      </c>
      <c r="AH760">
        <v>7</v>
      </c>
      <c r="AI760">
        <v>0</v>
      </c>
      <c r="AJ760">
        <v>12</v>
      </c>
      <c r="AK760">
        <v>0</v>
      </c>
      <c r="AL760">
        <v>0</v>
      </c>
      <c r="AM760">
        <v>3</v>
      </c>
      <c r="AN760">
        <v>0</v>
      </c>
      <c r="AO760">
        <v>7</v>
      </c>
      <c r="AQ760" t="str">
        <f t="shared" si="11"/>
        <v>Midfielder</v>
      </c>
    </row>
    <row r="761" spans="1:43" x14ac:dyDescent="0.35">
      <c r="A761" t="s">
        <v>498</v>
      </c>
      <c r="B761" t="s">
        <v>46</v>
      </c>
      <c r="C761" t="s">
        <v>1627</v>
      </c>
      <c r="D761">
        <v>1995</v>
      </c>
      <c r="E761">
        <v>22</v>
      </c>
      <c r="F761" t="s">
        <v>84</v>
      </c>
      <c r="G761" t="s">
        <v>51</v>
      </c>
      <c r="H761">
        <v>8800000</v>
      </c>
      <c r="I761">
        <v>9900000</v>
      </c>
      <c r="J761" t="s">
        <v>55</v>
      </c>
      <c r="K761">
        <v>19</v>
      </c>
      <c r="L761">
        <v>796</v>
      </c>
      <c r="M761">
        <v>1</v>
      </c>
      <c r="N761">
        <v>250</v>
      </c>
      <c r="O761">
        <v>1</v>
      </c>
      <c r="P761">
        <v>1</v>
      </c>
      <c r="Q761">
        <v>0</v>
      </c>
      <c r="R761">
        <v>10</v>
      </c>
      <c r="S761">
        <v>7</v>
      </c>
      <c r="T761">
        <v>9</v>
      </c>
      <c r="U761">
        <v>3</v>
      </c>
      <c r="V761">
        <v>1</v>
      </c>
      <c r="W761">
        <v>1</v>
      </c>
      <c r="X761">
        <v>0</v>
      </c>
      <c r="Y761">
        <v>0</v>
      </c>
      <c r="Z761">
        <v>0</v>
      </c>
      <c r="AA761">
        <v>0</v>
      </c>
      <c r="AB761">
        <v>2</v>
      </c>
      <c r="AC761">
        <v>6</v>
      </c>
      <c r="AD761">
        <v>6</v>
      </c>
      <c r="AE761">
        <v>27</v>
      </c>
      <c r="AF761">
        <v>0</v>
      </c>
      <c r="AG761">
        <v>4</v>
      </c>
      <c r="AH761">
        <v>8</v>
      </c>
      <c r="AI761">
        <v>0</v>
      </c>
      <c r="AJ761">
        <v>6</v>
      </c>
      <c r="AK761">
        <v>0</v>
      </c>
      <c r="AL761">
        <v>0</v>
      </c>
      <c r="AM761">
        <v>4</v>
      </c>
      <c r="AN761">
        <v>2</v>
      </c>
      <c r="AO761">
        <v>6</v>
      </c>
      <c r="AQ761" t="str">
        <f t="shared" si="11"/>
        <v>Midfielder</v>
      </c>
    </row>
    <row r="762" spans="1:43" x14ac:dyDescent="0.35">
      <c r="A762" t="s">
        <v>498</v>
      </c>
      <c r="B762" t="s">
        <v>43</v>
      </c>
      <c r="C762" t="s">
        <v>1628</v>
      </c>
      <c r="D762">
        <v>1995</v>
      </c>
      <c r="E762">
        <v>22</v>
      </c>
      <c r="F762" t="s">
        <v>84</v>
      </c>
      <c r="G762" t="s">
        <v>51</v>
      </c>
      <c r="H762">
        <v>5500000</v>
      </c>
      <c r="I762">
        <v>4000000</v>
      </c>
      <c r="J762" t="s">
        <v>55</v>
      </c>
      <c r="K762">
        <v>32</v>
      </c>
      <c r="L762">
        <v>2000</v>
      </c>
      <c r="M762">
        <v>2</v>
      </c>
      <c r="N762">
        <v>695</v>
      </c>
      <c r="O762">
        <v>6</v>
      </c>
      <c r="P762">
        <v>1</v>
      </c>
      <c r="Q762">
        <v>0</v>
      </c>
      <c r="R762">
        <v>10</v>
      </c>
      <c r="S762">
        <v>14</v>
      </c>
      <c r="T762">
        <v>54</v>
      </c>
      <c r="U762">
        <v>17</v>
      </c>
      <c r="V762">
        <v>2</v>
      </c>
      <c r="W762">
        <v>4</v>
      </c>
      <c r="X762">
        <v>0</v>
      </c>
      <c r="Y762">
        <v>0</v>
      </c>
      <c r="Z762">
        <v>0</v>
      </c>
      <c r="AA762">
        <v>2</v>
      </c>
      <c r="AB762">
        <v>5</v>
      </c>
      <c r="AC762">
        <v>37</v>
      </c>
      <c r="AD762">
        <v>57</v>
      </c>
      <c r="AE762">
        <v>109</v>
      </c>
      <c r="AF762">
        <v>0</v>
      </c>
      <c r="AG762">
        <v>10</v>
      </c>
      <c r="AH762">
        <v>10</v>
      </c>
      <c r="AI762">
        <v>0</v>
      </c>
      <c r="AJ762">
        <v>14</v>
      </c>
      <c r="AK762">
        <v>0</v>
      </c>
      <c r="AL762">
        <v>0</v>
      </c>
      <c r="AM762">
        <v>9</v>
      </c>
      <c r="AN762">
        <v>4</v>
      </c>
      <c r="AO762">
        <v>15</v>
      </c>
      <c r="AQ762" t="str">
        <f t="shared" si="11"/>
        <v>Midfielder</v>
      </c>
    </row>
    <row r="763" spans="1:43" x14ac:dyDescent="0.35">
      <c r="A763" t="s">
        <v>499</v>
      </c>
      <c r="B763" t="s">
        <v>39</v>
      </c>
      <c r="C763" t="s">
        <v>1629</v>
      </c>
      <c r="D763">
        <v>1991</v>
      </c>
      <c r="E763">
        <v>23</v>
      </c>
      <c r="F763" t="s">
        <v>64</v>
      </c>
      <c r="G763" t="s">
        <v>51</v>
      </c>
      <c r="H763">
        <v>11000000</v>
      </c>
      <c r="I763">
        <v>12100000</v>
      </c>
      <c r="J763" t="s">
        <v>55</v>
      </c>
      <c r="K763">
        <v>20</v>
      </c>
      <c r="L763">
        <v>795</v>
      </c>
      <c r="M763">
        <v>0</v>
      </c>
      <c r="N763">
        <v>307</v>
      </c>
      <c r="O763">
        <v>0</v>
      </c>
      <c r="P763">
        <v>0</v>
      </c>
      <c r="Q763">
        <v>0</v>
      </c>
      <c r="R763">
        <v>13</v>
      </c>
      <c r="S763">
        <v>4</v>
      </c>
      <c r="T763">
        <v>17</v>
      </c>
      <c r="U763">
        <v>0</v>
      </c>
      <c r="V763">
        <v>0</v>
      </c>
      <c r="W763">
        <v>5</v>
      </c>
      <c r="X763">
        <v>0</v>
      </c>
      <c r="Y763">
        <v>0</v>
      </c>
      <c r="Z763">
        <v>0</v>
      </c>
      <c r="AA763">
        <v>3</v>
      </c>
      <c r="AB763">
        <v>1</v>
      </c>
      <c r="AC763">
        <v>0</v>
      </c>
      <c r="AD763">
        <v>15</v>
      </c>
      <c r="AE763">
        <v>42</v>
      </c>
      <c r="AF763">
        <v>1</v>
      </c>
      <c r="AG763">
        <v>15</v>
      </c>
      <c r="AH763">
        <v>11</v>
      </c>
      <c r="AI763">
        <v>0</v>
      </c>
      <c r="AJ763">
        <v>18</v>
      </c>
      <c r="AK763">
        <v>0</v>
      </c>
      <c r="AL763">
        <v>0</v>
      </c>
      <c r="AM763">
        <v>8</v>
      </c>
      <c r="AN763">
        <v>10</v>
      </c>
      <c r="AO763">
        <v>22</v>
      </c>
      <c r="AQ763" t="str">
        <f t="shared" si="11"/>
        <v>Midfielder</v>
      </c>
    </row>
    <row r="764" spans="1:43" x14ac:dyDescent="0.35">
      <c r="A764" t="s">
        <v>500</v>
      </c>
      <c r="B764" t="s">
        <v>39</v>
      </c>
      <c r="C764" t="s">
        <v>1630</v>
      </c>
      <c r="D764">
        <v>1991</v>
      </c>
      <c r="E764">
        <v>24</v>
      </c>
      <c r="F764" t="s">
        <v>220</v>
      </c>
      <c r="G764" t="s">
        <v>216</v>
      </c>
      <c r="H764">
        <v>12100000</v>
      </c>
      <c r="I764">
        <v>11000000</v>
      </c>
      <c r="J764" t="s">
        <v>55</v>
      </c>
      <c r="K764">
        <v>22</v>
      </c>
      <c r="L764">
        <v>1551</v>
      </c>
      <c r="M764">
        <v>0</v>
      </c>
      <c r="N764">
        <v>768</v>
      </c>
      <c r="O764">
        <v>0</v>
      </c>
      <c r="P764">
        <v>5</v>
      </c>
      <c r="Q764">
        <v>0</v>
      </c>
      <c r="R764">
        <v>2</v>
      </c>
      <c r="S764">
        <v>16</v>
      </c>
      <c r="T764">
        <v>14</v>
      </c>
      <c r="U764">
        <v>1</v>
      </c>
      <c r="V764">
        <v>0</v>
      </c>
      <c r="W764">
        <v>9</v>
      </c>
      <c r="X764">
        <v>0</v>
      </c>
      <c r="Y764">
        <v>0</v>
      </c>
      <c r="Z764">
        <v>0</v>
      </c>
      <c r="AA764">
        <v>0</v>
      </c>
      <c r="AB764">
        <v>3</v>
      </c>
      <c r="AC764">
        <v>0</v>
      </c>
      <c r="AD764">
        <v>10</v>
      </c>
      <c r="AE764">
        <v>19</v>
      </c>
      <c r="AF764">
        <v>5</v>
      </c>
      <c r="AG764">
        <v>55</v>
      </c>
      <c r="AH764">
        <v>18</v>
      </c>
      <c r="AI764">
        <v>0</v>
      </c>
      <c r="AJ764">
        <v>42</v>
      </c>
      <c r="AK764">
        <v>0</v>
      </c>
      <c r="AL764">
        <v>0</v>
      </c>
      <c r="AM764">
        <v>28</v>
      </c>
      <c r="AN764">
        <v>8</v>
      </c>
      <c r="AO764">
        <v>24</v>
      </c>
      <c r="AQ764" t="str">
        <f t="shared" si="11"/>
        <v>Midfielder</v>
      </c>
    </row>
    <row r="765" spans="1:43" x14ac:dyDescent="0.35">
      <c r="A765" t="s">
        <v>500</v>
      </c>
      <c r="B765" t="s">
        <v>47</v>
      </c>
      <c r="C765" t="s">
        <v>1631</v>
      </c>
      <c r="D765">
        <v>1991</v>
      </c>
      <c r="E765">
        <v>25</v>
      </c>
      <c r="F765" t="s">
        <v>220</v>
      </c>
      <c r="G765" t="s">
        <v>216</v>
      </c>
      <c r="H765">
        <v>55000000</v>
      </c>
      <c r="I765">
        <v>71500000</v>
      </c>
      <c r="J765" t="s">
        <v>55</v>
      </c>
      <c r="K765">
        <v>16</v>
      </c>
      <c r="L765">
        <v>1026</v>
      </c>
      <c r="M765">
        <v>1</v>
      </c>
      <c r="N765">
        <v>623</v>
      </c>
      <c r="O765">
        <v>1</v>
      </c>
      <c r="P765">
        <v>3</v>
      </c>
      <c r="Q765">
        <v>0</v>
      </c>
      <c r="R765">
        <v>4</v>
      </c>
      <c r="S765">
        <v>9</v>
      </c>
      <c r="T765">
        <v>12</v>
      </c>
      <c r="U765">
        <v>4</v>
      </c>
      <c r="V765">
        <v>0</v>
      </c>
      <c r="W765">
        <v>2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9</v>
      </c>
      <c r="AF765">
        <v>2</v>
      </c>
      <c r="AG765">
        <v>14</v>
      </c>
      <c r="AH765">
        <v>14</v>
      </c>
      <c r="AI765">
        <v>0</v>
      </c>
      <c r="AJ765">
        <v>18</v>
      </c>
      <c r="AK765">
        <v>0</v>
      </c>
      <c r="AL765">
        <v>0</v>
      </c>
      <c r="AM765">
        <v>9</v>
      </c>
      <c r="AN765">
        <v>6</v>
      </c>
      <c r="AO765">
        <v>16</v>
      </c>
      <c r="AQ765" t="str">
        <f t="shared" si="11"/>
        <v>Midfielder</v>
      </c>
    </row>
    <row r="766" spans="1:43" x14ac:dyDescent="0.35">
      <c r="A766" t="s">
        <v>501</v>
      </c>
      <c r="B766" t="s">
        <v>39</v>
      </c>
      <c r="C766" t="s">
        <v>1632</v>
      </c>
      <c r="D766">
        <v>1992</v>
      </c>
      <c r="E766">
        <v>22</v>
      </c>
      <c r="F766" t="s">
        <v>89</v>
      </c>
      <c r="G766" t="s">
        <v>152</v>
      </c>
      <c r="H766">
        <v>5000000</v>
      </c>
      <c r="I766">
        <v>4000000</v>
      </c>
      <c r="J766" t="s">
        <v>52</v>
      </c>
      <c r="K766">
        <v>12</v>
      </c>
      <c r="L766">
        <v>1080</v>
      </c>
      <c r="M766">
        <v>0</v>
      </c>
      <c r="N766">
        <v>330</v>
      </c>
      <c r="O766">
        <v>0</v>
      </c>
      <c r="P766">
        <v>1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31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8</v>
      </c>
      <c r="AG766">
        <v>28</v>
      </c>
      <c r="AH766">
        <v>8</v>
      </c>
      <c r="AI766">
        <v>0</v>
      </c>
      <c r="AJ766">
        <v>37</v>
      </c>
      <c r="AK766">
        <v>0</v>
      </c>
      <c r="AL766">
        <v>0</v>
      </c>
      <c r="AM766">
        <v>83</v>
      </c>
      <c r="AN766">
        <v>18</v>
      </c>
      <c r="AO766">
        <v>16</v>
      </c>
      <c r="AQ766" t="str">
        <f t="shared" si="11"/>
        <v>Defensive Forward</v>
      </c>
    </row>
    <row r="767" spans="1:43" x14ac:dyDescent="0.35">
      <c r="A767" t="s">
        <v>502</v>
      </c>
      <c r="B767" t="s">
        <v>46</v>
      </c>
      <c r="C767" t="s">
        <v>1633</v>
      </c>
      <c r="D767">
        <v>1991</v>
      </c>
      <c r="E767">
        <v>26</v>
      </c>
      <c r="F767" t="s">
        <v>44</v>
      </c>
      <c r="G767" t="s">
        <v>82</v>
      </c>
      <c r="H767">
        <v>6300000</v>
      </c>
      <c r="I767">
        <v>3150000</v>
      </c>
      <c r="J767" t="s">
        <v>55</v>
      </c>
      <c r="K767">
        <v>37</v>
      </c>
      <c r="L767">
        <v>3165</v>
      </c>
      <c r="M767">
        <v>2</v>
      </c>
      <c r="N767">
        <v>3118</v>
      </c>
      <c r="O767">
        <v>0</v>
      </c>
      <c r="P767">
        <v>8</v>
      </c>
      <c r="Q767">
        <v>0</v>
      </c>
      <c r="R767">
        <v>0</v>
      </c>
      <c r="S767">
        <v>9</v>
      </c>
      <c r="T767">
        <v>19</v>
      </c>
      <c r="U767">
        <v>7</v>
      </c>
      <c r="V767">
        <v>0</v>
      </c>
      <c r="W767">
        <v>21</v>
      </c>
      <c r="X767">
        <v>0</v>
      </c>
      <c r="Y767">
        <v>0</v>
      </c>
      <c r="Z767">
        <v>0</v>
      </c>
      <c r="AA767">
        <v>0</v>
      </c>
      <c r="AB767">
        <v>34</v>
      </c>
      <c r="AC767">
        <v>12</v>
      </c>
      <c r="AD767">
        <v>0</v>
      </c>
      <c r="AE767">
        <v>2</v>
      </c>
      <c r="AF767">
        <v>7</v>
      </c>
      <c r="AG767">
        <v>63</v>
      </c>
      <c r="AH767">
        <v>33</v>
      </c>
      <c r="AI767">
        <v>0</v>
      </c>
      <c r="AJ767">
        <v>76</v>
      </c>
      <c r="AK767">
        <v>0</v>
      </c>
      <c r="AL767">
        <v>0</v>
      </c>
      <c r="AM767">
        <v>35</v>
      </c>
      <c r="AN767">
        <v>13</v>
      </c>
      <c r="AO767">
        <v>21</v>
      </c>
      <c r="AQ767" t="str">
        <f t="shared" si="11"/>
        <v>Midfielder</v>
      </c>
    </row>
    <row r="768" spans="1:43" x14ac:dyDescent="0.35">
      <c r="A768" t="s">
        <v>503</v>
      </c>
      <c r="B768" t="s">
        <v>47</v>
      </c>
      <c r="C768" t="s">
        <v>1634</v>
      </c>
      <c r="D768">
        <v>1983</v>
      </c>
      <c r="E768">
        <v>32</v>
      </c>
      <c r="F768" t="s">
        <v>220</v>
      </c>
      <c r="G768" t="s">
        <v>41</v>
      </c>
      <c r="H768">
        <v>4500000</v>
      </c>
      <c r="I768">
        <v>6300000</v>
      </c>
      <c r="J768" t="s">
        <v>52</v>
      </c>
      <c r="K768">
        <v>33</v>
      </c>
      <c r="L768">
        <v>2845</v>
      </c>
      <c r="M768">
        <v>0</v>
      </c>
      <c r="N768">
        <v>1604</v>
      </c>
      <c r="O768">
        <v>0</v>
      </c>
      <c r="P768">
        <v>4</v>
      </c>
      <c r="Q768">
        <v>0</v>
      </c>
      <c r="R768">
        <v>0</v>
      </c>
      <c r="S768">
        <v>1</v>
      </c>
      <c r="T768">
        <v>17</v>
      </c>
      <c r="U768">
        <v>3</v>
      </c>
      <c r="V768">
        <v>0</v>
      </c>
      <c r="W768">
        <v>101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5</v>
      </c>
      <c r="AF768">
        <v>23</v>
      </c>
      <c r="AG768">
        <v>70</v>
      </c>
      <c r="AH768">
        <v>27</v>
      </c>
      <c r="AI768">
        <v>0</v>
      </c>
      <c r="AJ768">
        <v>47</v>
      </c>
      <c r="AK768">
        <v>1</v>
      </c>
      <c r="AL768">
        <v>0</v>
      </c>
      <c r="AM768">
        <v>187</v>
      </c>
      <c r="AN768">
        <v>79</v>
      </c>
      <c r="AO768">
        <v>45</v>
      </c>
      <c r="AQ768" t="str">
        <f t="shared" si="11"/>
        <v>Defensive Forward</v>
      </c>
    </row>
    <row r="769" spans="1:43" x14ac:dyDescent="0.35">
      <c r="A769" t="s">
        <v>503</v>
      </c>
      <c r="B769" t="s">
        <v>39</v>
      </c>
      <c r="C769" t="s">
        <v>1635</v>
      </c>
      <c r="D769">
        <v>1983</v>
      </c>
      <c r="E769">
        <v>31</v>
      </c>
      <c r="F769" t="s">
        <v>220</v>
      </c>
      <c r="G769" t="s">
        <v>41</v>
      </c>
      <c r="H769">
        <v>4500000</v>
      </c>
      <c r="I769">
        <v>4500000</v>
      </c>
      <c r="J769" t="s">
        <v>52</v>
      </c>
      <c r="K769">
        <v>27</v>
      </c>
      <c r="L769">
        <v>2025</v>
      </c>
      <c r="M769">
        <v>0</v>
      </c>
      <c r="N769">
        <v>956</v>
      </c>
      <c r="O769">
        <v>0</v>
      </c>
      <c r="P769">
        <v>3</v>
      </c>
      <c r="Q769">
        <v>0</v>
      </c>
      <c r="R769">
        <v>0</v>
      </c>
      <c r="S769">
        <v>20</v>
      </c>
      <c r="T769">
        <v>35</v>
      </c>
      <c r="U769">
        <v>10</v>
      </c>
      <c r="V769">
        <v>2</v>
      </c>
      <c r="W769">
        <v>3</v>
      </c>
      <c r="X769">
        <v>0</v>
      </c>
      <c r="Y769">
        <v>0</v>
      </c>
      <c r="Z769">
        <v>0</v>
      </c>
      <c r="AA769">
        <v>1</v>
      </c>
      <c r="AB769">
        <v>3</v>
      </c>
      <c r="AC769">
        <v>0</v>
      </c>
      <c r="AD769">
        <v>29</v>
      </c>
      <c r="AE769">
        <v>69</v>
      </c>
      <c r="AF769">
        <v>1</v>
      </c>
      <c r="AG769">
        <v>22</v>
      </c>
      <c r="AH769">
        <v>12</v>
      </c>
      <c r="AI769">
        <v>0</v>
      </c>
      <c r="AJ769">
        <v>37</v>
      </c>
      <c r="AK769">
        <v>0</v>
      </c>
      <c r="AL769">
        <v>0</v>
      </c>
      <c r="AM769">
        <v>7</v>
      </c>
      <c r="AN769">
        <v>3</v>
      </c>
      <c r="AO769">
        <v>17</v>
      </c>
      <c r="AQ769" t="str">
        <f t="shared" si="11"/>
        <v>Defensive Forward</v>
      </c>
    </row>
    <row r="770" spans="1:43" x14ac:dyDescent="0.35">
      <c r="A770" t="s">
        <v>504</v>
      </c>
      <c r="B770" t="s">
        <v>39</v>
      </c>
      <c r="C770" t="s">
        <v>1636</v>
      </c>
      <c r="D770">
        <v>1984</v>
      </c>
      <c r="E770">
        <v>31</v>
      </c>
      <c r="F770" t="s">
        <v>66</v>
      </c>
      <c r="G770" t="s">
        <v>505</v>
      </c>
      <c r="H770">
        <v>1800000</v>
      </c>
      <c r="I770">
        <v>1800000</v>
      </c>
      <c r="J770" t="s">
        <v>52</v>
      </c>
      <c r="K770">
        <v>37</v>
      </c>
      <c r="L770">
        <v>3168</v>
      </c>
      <c r="M770">
        <v>2</v>
      </c>
      <c r="N770">
        <v>1622</v>
      </c>
      <c r="O770">
        <v>0</v>
      </c>
      <c r="P770">
        <v>4</v>
      </c>
      <c r="Q770">
        <v>1</v>
      </c>
      <c r="R770">
        <v>0</v>
      </c>
      <c r="S770">
        <v>3</v>
      </c>
      <c r="T770">
        <v>20</v>
      </c>
      <c r="U770">
        <v>8</v>
      </c>
      <c r="V770">
        <v>0</v>
      </c>
      <c r="W770">
        <v>90</v>
      </c>
      <c r="X770">
        <v>2</v>
      </c>
      <c r="Y770">
        <v>0</v>
      </c>
      <c r="Z770">
        <v>0</v>
      </c>
      <c r="AA770">
        <v>1</v>
      </c>
      <c r="AB770">
        <v>0</v>
      </c>
      <c r="AC770">
        <v>2</v>
      </c>
      <c r="AD770">
        <v>0</v>
      </c>
      <c r="AE770">
        <v>9</v>
      </c>
      <c r="AF770">
        <v>32</v>
      </c>
      <c r="AG770">
        <v>81</v>
      </c>
      <c r="AH770">
        <v>21</v>
      </c>
      <c r="AI770">
        <v>0</v>
      </c>
      <c r="AJ770">
        <v>53</v>
      </c>
      <c r="AK770">
        <v>0</v>
      </c>
      <c r="AL770">
        <v>0</v>
      </c>
      <c r="AM770">
        <v>224</v>
      </c>
      <c r="AN770">
        <v>91</v>
      </c>
      <c r="AO770">
        <v>42</v>
      </c>
      <c r="AQ770" t="str">
        <f t="shared" ref="AQ770:AQ833" si="12">IF(J770 = "FW", REPLACE(J770,1,2,"Forward"),IF(J770 = "DF", "Defensive Forward", "Midfielder"))</f>
        <v>Defensive Forward</v>
      </c>
    </row>
    <row r="771" spans="1:43" x14ac:dyDescent="0.35">
      <c r="A771" t="s">
        <v>504</v>
      </c>
      <c r="B771" t="s">
        <v>47</v>
      </c>
      <c r="C771" t="s">
        <v>1637</v>
      </c>
      <c r="D771">
        <v>1984</v>
      </c>
      <c r="E771">
        <v>32</v>
      </c>
      <c r="F771" t="s">
        <v>66</v>
      </c>
      <c r="G771" t="s">
        <v>505</v>
      </c>
      <c r="H771">
        <v>1800000</v>
      </c>
      <c r="I771">
        <v>1800000</v>
      </c>
      <c r="J771" t="s">
        <v>52</v>
      </c>
      <c r="K771">
        <v>33</v>
      </c>
      <c r="L771">
        <v>2909</v>
      </c>
      <c r="M771">
        <v>2</v>
      </c>
      <c r="N771">
        <v>1158</v>
      </c>
      <c r="O771">
        <v>4</v>
      </c>
      <c r="P771">
        <v>14</v>
      </c>
      <c r="Q771">
        <v>0</v>
      </c>
      <c r="R771">
        <v>0</v>
      </c>
      <c r="S771">
        <v>5</v>
      </c>
      <c r="T771">
        <v>28</v>
      </c>
      <c r="U771">
        <v>7</v>
      </c>
      <c r="V771">
        <v>0</v>
      </c>
      <c r="W771">
        <v>65</v>
      </c>
      <c r="X771">
        <v>0</v>
      </c>
      <c r="Y771">
        <v>0</v>
      </c>
      <c r="Z771">
        <v>0</v>
      </c>
      <c r="AA771">
        <v>1</v>
      </c>
      <c r="AB771">
        <v>0</v>
      </c>
      <c r="AC771">
        <v>0</v>
      </c>
      <c r="AD771">
        <v>56</v>
      </c>
      <c r="AE771">
        <v>164</v>
      </c>
      <c r="AF771">
        <v>10</v>
      </c>
      <c r="AG771">
        <v>55</v>
      </c>
      <c r="AH771">
        <v>43</v>
      </c>
      <c r="AI771">
        <v>0</v>
      </c>
      <c r="AJ771">
        <v>62</v>
      </c>
      <c r="AK771">
        <v>2</v>
      </c>
      <c r="AL771">
        <v>0</v>
      </c>
      <c r="AM771">
        <v>114</v>
      </c>
      <c r="AN771">
        <v>47</v>
      </c>
      <c r="AO771">
        <v>28</v>
      </c>
      <c r="AQ771" t="str">
        <f t="shared" si="12"/>
        <v>Defensive Forward</v>
      </c>
    </row>
    <row r="772" spans="1:43" x14ac:dyDescent="0.35">
      <c r="A772" t="s">
        <v>504</v>
      </c>
      <c r="B772" t="s">
        <v>46</v>
      </c>
      <c r="C772" t="s">
        <v>1638</v>
      </c>
      <c r="D772">
        <v>1984</v>
      </c>
      <c r="E772">
        <v>34</v>
      </c>
      <c r="F772" t="s">
        <v>66</v>
      </c>
      <c r="G772" t="s">
        <v>505</v>
      </c>
      <c r="H772">
        <v>1800000</v>
      </c>
      <c r="I772">
        <v>1800000</v>
      </c>
      <c r="J772" t="s">
        <v>52</v>
      </c>
      <c r="K772">
        <v>28</v>
      </c>
      <c r="L772">
        <v>2394</v>
      </c>
      <c r="M772">
        <v>3</v>
      </c>
      <c r="N772">
        <v>833</v>
      </c>
      <c r="O772">
        <v>6</v>
      </c>
      <c r="P772">
        <v>0</v>
      </c>
      <c r="Q772">
        <v>1</v>
      </c>
      <c r="R772">
        <v>1</v>
      </c>
      <c r="S772">
        <v>1</v>
      </c>
      <c r="T772">
        <v>17</v>
      </c>
      <c r="U772">
        <v>5</v>
      </c>
      <c r="V772">
        <v>1</v>
      </c>
      <c r="W772">
        <v>46</v>
      </c>
      <c r="X772">
        <v>0</v>
      </c>
      <c r="Y772">
        <v>0</v>
      </c>
      <c r="Z772">
        <v>0</v>
      </c>
      <c r="AA772">
        <v>2</v>
      </c>
      <c r="AB772">
        <v>0</v>
      </c>
      <c r="AC772">
        <v>12</v>
      </c>
      <c r="AD772">
        <v>115</v>
      </c>
      <c r="AE772">
        <v>209</v>
      </c>
      <c r="AF772">
        <v>8</v>
      </c>
      <c r="AG772">
        <v>21</v>
      </c>
      <c r="AH772">
        <v>34</v>
      </c>
      <c r="AI772">
        <v>1</v>
      </c>
      <c r="AJ772">
        <v>68</v>
      </c>
      <c r="AK772">
        <v>0</v>
      </c>
      <c r="AL772">
        <v>0</v>
      </c>
      <c r="AM772">
        <v>79</v>
      </c>
      <c r="AN772">
        <v>62</v>
      </c>
      <c r="AO772">
        <v>41</v>
      </c>
      <c r="AQ772" t="str">
        <f t="shared" si="12"/>
        <v>Defensive Forward</v>
      </c>
    </row>
    <row r="773" spans="1:43" x14ac:dyDescent="0.35">
      <c r="A773" t="s">
        <v>504</v>
      </c>
      <c r="B773" t="s">
        <v>43</v>
      </c>
      <c r="C773" t="s">
        <v>1639</v>
      </c>
      <c r="D773">
        <v>1984</v>
      </c>
      <c r="E773">
        <v>33</v>
      </c>
      <c r="F773" t="s">
        <v>66</v>
      </c>
      <c r="G773" t="s">
        <v>505</v>
      </c>
      <c r="H773">
        <v>1800000</v>
      </c>
      <c r="I773">
        <v>1800000</v>
      </c>
      <c r="J773" t="s">
        <v>52</v>
      </c>
      <c r="K773">
        <v>28</v>
      </c>
      <c r="L773">
        <v>2381</v>
      </c>
      <c r="M773">
        <v>0</v>
      </c>
      <c r="N773">
        <v>958</v>
      </c>
      <c r="O773">
        <v>4</v>
      </c>
      <c r="P773">
        <v>7</v>
      </c>
      <c r="Q773">
        <v>0</v>
      </c>
      <c r="R773">
        <v>2</v>
      </c>
      <c r="S773">
        <v>2</v>
      </c>
      <c r="T773">
        <v>17</v>
      </c>
      <c r="U773">
        <v>3</v>
      </c>
      <c r="V773">
        <v>0</v>
      </c>
      <c r="W773">
        <v>43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14</v>
      </c>
      <c r="AD773">
        <v>92</v>
      </c>
      <c r="AE773">
        <v>210</v>
      </c>
      <c r="AF773">
        <v>8</v>
      </c>
      <c r="AG773">
        <v>29</v>
      </c>
      <c r="AH773">
        <v>37</v>
      </c>
      <c r="AI773">
        <v>0</v>
      </c>
      <c r="AJ773">
        <v>51</v>
      </c>
      <c r="AK773">
        <v>1</v>
      </c>
      <c r="AL773">
        <v>0</v>
      </c>
      <c r="AM773">
        <v>81</v>
      </c>
      <c r="AN773">
        <v>45</v>
      </c>
      <c r="AO773">
        <v>35</v>
      </c>
      <c r="AQ773" t="str">
        <f t="shared" si="12"/>
        <v>Defensive Forward</v>
      </c>
    </row>
    <row r="774" spans="1:43" x14ac:dyDescent="0.35">
      <c r="A774" t="s">
        <v>506</v>
      </c>
      <c r="B774" t="s">
        <v>43</v>
      </c>
      <c r="C774" t="s">
        <v>1640</v>
      </c>
      <c r="D774">
        <v>1992</v>
      </c>
      <c r="E774">
        <v>25</v>
      </c>
      <c r="F774" t="s">
        <v>134</v>
      </c>
      <c r="G774" t="s">
        <v>202</v>
      </c>
      <c r="H774">
        <v>9000000</v>
      </c>
      <c r="I774">
        <v>12600000</v>
      </c>
      <c r="J774" t="s">
        <v>42</v>
      </c>
      <c r="K774">
        <v>32</v>
      </c>
      <c r="L774">
        <v>1987</v>
      </c>
      <c r="M774">
        <v>5</v>
      </c>
      <c r="N774">
        <v>523</v>
      </c>
      <c r="O774">
        <v>3</v>
      </c>
      <c r="P774">
        <v>2</v>
      </c>
      <c r="Q774">
        <v>0</v>
      </c>
      <c r="R774">
        <v>9</v>
      </c>
      <c r="S774">
        <v>12</v>
      </c>
      <c r="T774">
        <v>52</v>
      </c>
      <c r="U774">
        <v>16</v>
      </c>
      <c r="V774">
        <v>0</v>
      </c>
      <c r="W774">
        <v>9</v>
      </c>
      <c r="X774">
        <v>0</v>
      </c>
      <c r="Y774">
        <v>0</v>
      </c>
      <c r="Z774">
        <v>0</v>
      </c>
      <c r="AA774">
        <v>14</v>
      </c>
      <c r="AB774">
        <v>0</v>
      </c>
      <c r="AC774">
        <v>36</v>
      </c>
      <c r="AD774">
        <v>0</v>
      </c>
      <c r="AE774">
        <v>23</v>
      </c>
      <c r="AF774">
        <v>0</v>
      </c>
      <c r="AG774">
        <v>16</v>
      </c>
      <c r="AH774">
        <v>20</v>
      </c>
      <c r="AI774">
        <v>0</v>
      </c>
      <c r="AJ774">
        <v>23</v>
      </c>
      <c r="AK774">
        <v>0</v>
      </c>
      <c r="AL774">
        <v>0</v>
      </c>
      <c r="AM774">
        <v>25</v>
      </c>
      <c r="AN774">
        <v>15</v>
      </c>
      <c r="AO774">
        <v>31</v>
      </c>
      <c r="AQ774" t="str">
        <f t="shared" si="12"/>
        <v>Forward</v>
      </c>
    </row>
    <row r="775" spans="1:43" x14ac:dyDescent="0.35">
      <c r="A775" t="s">
        <v>506</v>
      </c>
      <c r="B775" t="s">
        <v>46</v>
      </c>
      <c r="C775" t="s">
        <v>1641</v>
      </c>
      <c r="D775">
        <v>1992</v>
      </c>
      <c r="E775">
        <v>26</v>
      </c>
      <c r="F775" t="s">
        <v>134</v>
      </c>
      <c r="G775" t="s">
        <v>202</v>
      </c>
      <c r="H775">
        <v>12600000</v>
      </c>
      <c r="I775">
        <v>9000000</v>
      </c>
      <c r="J775" t="s">
        <v>42</v>
      </c>
      <c r="K775">
        <v>15</v>
      </c>
      <c r="L775">
        <v>794</v>
      </c>
      <c r="M775">
        <v>0</v>
      </c>
      <c r="N775">
        <v>205</v>
      </c>
      <c r="O775">
        <v>1</v>
      </c>
      <c r="P775">
        <v>0</v>
      </c>
      <c r="Q775">
        <v>0</v>
      </c>
      <c r="R775">
        <v>6</v>
      </c>
      <c r="S775">
        <v>5</v>
      </c>
      <c r="T775">
        <v>15</v>
      </c>
      <c r="U775">
        <v>3</v>
      </c>
      <c r="V775">
        <v>0</v>
      </c>
      <c r="W775">
        <v>2</v>
      </c>
      <c r="X775">
        <v>0</v>
      </c>
      <c r="Y775">
        <v>0</v>
      </c>
      <c r="Z775">
        <v>0</v>
      </c>
      <c r="AA775">
        <v>4</v>
      </c>
      <c r="AB775">
        <v>0</v>
      </c>
      <c r="AC775">
        <v>12</v>
      </c>
      <c r="AD775">
        <v>0</v>
      </c>
      <c r="AE775">
        <v>6</v>
      </c>
      <c r="AF775">
        <v>1</v>
      </c>
      <c r="AG775">
        <v>5</v>
      </c>
      <c r="AH775">
        <v>6</v>
      </c>
      <c r="AI775">
        <v>0</v>
      </c>
      <c r="AJ775">
        <v>15</v>
      </c>
      <c r="AK775">
        <v>0</v>
      </c>
      <c r="AL775">
        <v>0</v>
      </c>
      <c r="AM775">
        <v>7</v>
      </c>
      <c r="AN775">
        <v>3</v>
      </c>
      <c r="AO775">
        <v>15</v>
      </c>
      <c r="AQ775" t="str">
        <f t="shared" si="12"/>
        <v>Forward</v>
      </c>
    </row>
    <row r="776" spans="1:43" x14ac:dyDescent="0.35">
      <c r="A776" t="s">
        <v>507</v>
      </c>
      <c r="B776" t="s">
        <v>39</v>
      </c>
      <c r="C776" t="s">
        <v>1642</v>
      </c>
      <c r="D776">
        <v>1986</v>
      </c>
      <c r="E776">
        <v>29</v>
      </c>
      <c r="F776" t="s">
        <v>66</v>
      </c>
      <c r="G776" t="s">
        <v>45</v>
      </c>
      <c r="H776">
        <v>8000000</v>
      </c>
      <c r="I776">
        <v>10000000</v>
      </c>
      <c r="J776" t="s">
        <v>55</v>
      </c>
      <c r="K776">
        <v>11</v>
      </c>
      <c r="L776">
        <v>945</v>
      </c>
      <c r="M776">
        <v>0</v>
      </c>
      <c r="N776">
        <v>413</v>
      </c>
      <c r="O776">
        <v>0</v>
      </c>
      <c r="P776">
        <v>2</v>
      </c>
      <c r="Q776">
        <v>0</v>
      </c>
      <c r="R776">
        <v>0</v>
      </c>
      <c r="S776">
        <v>1</v>
      </c>
      <c r="T776">
        <v>13</v>
      </c>
      <c r="U776">
        <v>1</v>
      </c>
      <c r="V776">
        <v>0</v>
      </c>
      <c r="W776">
        <v>16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2</v>
      </c>
      <c r="AE776">
        <v>26</v>
      </c>
      <c r="AF776">
        <v>1</v>
      </c>
      <c r="AG776">
        <v>30</v>
      </c>
      <c r="AH776">
        <v>8</v>
      </c>
      <c r="AI776">
        <v>0</v>
      </c>
      <c r="AJ776">
        <v>25</v>
      </c>
      <c r="AK776">
        <v>0</v>
      </c>
      <c r="AL776">
        <v>0</v>
      </c>
      <c r="AM776">
        <v>34</v>
      </c>
      <c r="AN776">
        <v>24</v>
      </c>
      <c r="AO776">
        <v>8</v>
      </c>
      <c r="AQ776" t="str">
        <f t="shared" si="12"/>
        <v>Midfielder</v>
      </c>
    </row>
    <row r="777" spans="1:43" x14ac:dyDescent="0.35">
      <c r="A777" t="s">
        <v>508</v>
      </c>
      <c r="B777" t="s">
        <v>39</v>
      </c>
      <c r="C777" t="s">
        <v>1643</v>
      </c>
      <c r="D777">
        <v>1990</v>
      </c>
      <c r="E777">
        <v>25</v>
      </c>
      <c r="F777" t="s">
        <v>184</v>
      </c>
      <c r="G777" t="s">
        <v>45</v>
      </c>
      <c r="H777">
        <v>5400000</v>
      </c>
      <c r="I777">
        <v>5400000</v>
      </c>
      <c r="J777" t="s">
        <v>42</v>
      </c>
      <c r="K777">
        <v>22</v>
      </c>
      <c r="L777">
        <v>1090</v>
      </c>
      <c r="M777">
        <v>4</v>
      </c>
      <c r="N777">
        <v>379</v>
      </c>
      <c r="O777">
        <v>1</v>
      </c>
      <c r="P777">
        <v>0</v>
      </c>
      <c r="Q777">
        <v>0</v>
      </c>
      <c r="R777">
        <v>12</v>
      </c>
      <c r="S777">
        <v>4</v>
      </c>
      <c r="T777">
        <v>29</v>
      </c>
      <c r="U777">
        <v>16</v>
      </c>
      <c r="V777">
        <v>0</v>
      </c>
      <c r="W777">
        <v>3</v>
      </c>
      <c r="X777">
        <v>1</v>
      </c>
      <c r="Y777">
        <v>0</v>
      </c>
      <c r="Z777">
        <v>0</v>
      </c>
      <c r="AA777">
        <v>8</v>
      </c>
      <c r="AB777">
        <v>1</v>
      </c>
      <c r="AC777">
        <v>6</v>
      </c>
      <c r="AD777">
        <v>1</v>
      </c>
      <c r="AE777">
        <v>14</v>
      </c>
      <c r="AF777">
        <v>1</v>
      </c>
      <c r="AG777">
        <v>6</v>
      </c>
      <c r="AH777">
        <v>19</v>
      </c>
      <c r="AI777">
        <v>0</v>
      </c>
      <c r="AJ777">
        <v>14</v>
      </c>
      <c r="AK777">
        <v>0</v>
      </c>
      <c r="AL777">
        <v>0</v>
      </c>
      <c r="AM777">
        <v>11</v>
      </c>
      <c r="AN777">
        <v>57</v>
      </c>
      <c r="AO777">
        <v>39</v>
      </c>
      <c r="AQ777" t="str">
        <f t="shared" si="12"/>
        <v>Forward</v>
      </c>
    </row>
    <row r="778" spans="1:43" x14ac:dyDescent="0.35">
      <c r="A778" t="s">
        <v>508</v>
      </c>
      <c r="B778" t="s">
        <v>43</v>
      </c>
      <c r="C778" t="s">
        <v>1644</v>
      </c>
      <c r="D778">
        <v>1990</v>
      </c>
      <c r="E778">
        <v>27</v>
      </c>
      <c r="F778" t="s">
        <v>117</v>
      </c>
      <c r="G778" t="s">
        <v>45</v>
      </c>
      <c r="H778">
        <v>5400000</v>
      </c>
      <c r="I778">
        <v>3150000</v>
      </c>
      <c r="J778" t="s">
        <v>42</v>
      </c>
      <c r="K778">
        <v>30</v>
      </c>
      <c r="L778">
        <v>1716</v>
      </c>
      <c r="M778">
        <v>4</v>
      </c>
      <c r="N778">
        <v>593</v>
      </c>
      <c r="O778">
        <v>1</v>
      </c>
      <c r="P778">
        <v>2</v>
      </c>
      <c r="Q778">
        <v>0</v>
      </c>
      <c r="R778">
        <v>11</v>
      </c>
      <c r="S778">
        <v>15</v>
      </c>
      <c r="T778">
        <v>47</v>
      </c>
      <c r="U778">
        <v>17</v>
      </c>
      <c r="V778">
        <v>1</v>
      </c>
      <c r="W778">
        <v>24</v>
      </c>
      <c r="X778">
        <v>0</v>
      </c>
      <c r="Y778">
        <v>0</v>
      </c>
      <c r="Z778">
        <v>0</v>
      </c>
      <c r="AA778">
        <v>3</v>
      </c>
      <c r="AB778">
        <v>1</v>
      </c>
      <c r="AC778">
        <v>30</v>
      </c>
      <c r="AD778">
        <v>0</v>
      </c>
      <c r="AE778">
        <v>6</v>
      </c>
      <c r="AF778">
        <v>2</v>
      </c>
      <c r="AG778">
        <v>11</v>
      </c>
      <c r="AH778">
        <v>30</v>
      </c>
      <c r="AI778">
        <v>0</v>
      </c>
      <c r="AJ778">
        <v>22</v>
      </c>
      <c r="AK778">
        <v>0</v>
      </c>
      <c r="AL778">
        <v>0</v>
      </c>
      <c r="AM778">
        <v>35</v>
      </c>
      <c r="AN778">
        <v>145</v>
      </c>
      <c r="AO778">
        <v>122</v>
      </c>
      <c r="AQ778" t="str">
        <f t="shared" si="12"/>
        <v>Forward</v>
      </c>
    </row>
    <row r="779" spans="1:43" x14ac:dyDescent="0.35">
      <c r="A779" t="s">
        <v>508</v>
      </c>
      <c r="B779" t="s">
        <v>46</v>
      </c>
      <c r="C779" t="s">
        <v>1645</v>
      </c>
      <c r="D779">
        <v>1990</v>
      </c>
      <c r="E779">
        <v>28</v>
      </c>
      <c r="F779" t="s">
        <v>117</v>
      </c>
      <c r="G779" t="s">
        <v>45</v>
      </c>
      <c r="H779">
        <v>3150000</v>
      </c>
      <c r="I779">
        <v>3600000</v>
      </c>
      <c r="J779" t="s">
        <v>42</v>
      </c>
      <c r="K779">
        <v>16</v>
      </c>
      <c r="L779">
        <v>587</v>
      </c>
      <c r="M779">
        <v>2</v>
      </c>
      <c r="N779">
        <v>208</v>
      </c>
      <c r="O779">
        <v>0</v>
      </c>
      <c r="P779">
        <v>1</v>
      </c>
      <c r="Q779">
        <v>0</v>
      </c>
      <c r="R779">
        <v>11</v>
      </c>
      <c r="S779">
        <v>1</v>
      </c>
      <c r="T779">
        <v>17</v>
      </c>
      <c r="U779">
        <v>5</v>
      </c>
      <c r="V779">
        <v>1</v>
      </c>
      <c r="W779">
        <v>10</v>
      </c>
      <c r="X779">
        <v>2</v>
      </c>
      <c r="Y779">
        <v>0</v>
      </c>
      <c r="Z779">
        <v>0</v>
      </c>
      <c r="AA779">
        <v>4</v>
      </c>
      <c r="AB779">
        <v>1</v>
      </c>
      <c r="AC779">
        <v>12</v>
      </c>
      <c r="AD779">
        <v>0</v>
      </c>
      <c r="AE779">
        <v>3</v>
      </c>
      <c r="AF779">
        <v>0</v>
      </c>
      <c r="AG779">
        <v>3</v>
      </c>
      <c r="AH779">
        <v>5</v>
      </c>
      <c r="AI779">
        <v>0</v>
      </c>
      <c r="AJ779">
        <v>14</v>
      </c>
      <c r="AK779">
        <v>0</v>
      </c>
      <c r="AL779">
        <v>0</v>
      </c>
      <c r="AM779">
        <v>14</v>
      </c>
      <c r="AN779">
        <v>44</v>
      </c>
      <c r="AO779">
        <v>39</v>
      </c>
      <c r="AQ779" t="str">
        <f t="shared" si="12"/>
        <v>Forward</v>
      </c>
    </row>
    <row r="780" spans="1:43" x14ac:dyDescent="0.35">
      <c r="A780" t="s">
        <v>509</v>
      </c>
      <c r="B780" t="s">
        <v>46</v>
      </c>
      <c r="C780" t="s">
        <v>1646</v>
      </c>
      <c r="D780">
        <v>1997</v>
      </c>
      <c r="E780">
        <v>21</v>
      </c>
      <c r="F780" t="s">
        <v>80</v>
      </c>
      <c r="G780" t="s">
        <v>51</v>
      </c>
      <c r="H780">
        <v>19800000</v>
      </c>
      <c r="I780">
        <v>31500000</v>
      </c>
      <c r="J780" t="s">
        <v>52</v>
      </c>
      <c r="K780">
        <v>16</v>
      </c>
      <c r="L780">
        <v>1060</v>
      </c>
      <c r="M780">
        <v>0</v>
      </c>
      <c r="N780">
        <v>787</v>
      </c>
      <c r="O780">
        <v>0</v>
      </c>
      <c r="P780">
        <v>2</v>
      </c>
      <c r="Q780">
        <v>0</v>
      </c>
      <c r="R780">
        <v>4</v>
      </c>
      <c r="S780">
        <v>1</v>
      </c>
      <c r="T780">
        <v>5</v>
      </c>
      <c r="U780">
        <v>1</v>
      </c>
      <c r="V780">
        <v>0</v>
      </c>
      <c r="W780">
        <v>17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0</v>
      </c>
      <c r="AE780">
        <v>7</v>
      </c>
      <c r="AF780">
        <v>5</v>
      </c>
      <c r="AG780">
        <v>14</v>
      </c>
      <c r="AH780">
        <v>12</v>
      </c>
      <c r="AI780">
        <v>0</v>
      </c>
      <c r="AJ780">
        <v>17</v>
      </c>
      <c r="AK780">
        <v>0</v>
      </c>
      <c r="AL780">
        <v>0</v>
      </c>
      <c r="AM780">
        <v>39</v>
      </c>
      <c r="AN780">
        <v>24</v>
      </c>
      <c r="AO780">
        <v>19</v>
      </c>
      <c r="AQ780" t="str">
        <f t="shared" si="12"/>
        <v>Defensive Forward</v>
      </c>
    </row>
    <row r="781" spans="1:43" x14ac:dyDescent="0.35">
      <c r="A781" t="s">
        <v>509</v>
      </c>
      <c r="B781" t="s">
        <v>43</v>
      </c>
      <c r="C781" t="s">
        <v>1647</v>
      </c>
      <c r="D781">
        <v>1997</v>
      </c>
      <c r="E781">
        <v>20</v>
      </c>
      <c r="F781" t="s">
        <v>99</v>
      </c>
      <c r="G781" t="s">
        <v>51</v>
      </c>
      <c r="H781">
        <v>3600000</v>
      </c>
      <c r="I781">
        <v>19800000</v>
      </c>
      <c r="J781" t="s">
        <v>52</v>
      </c>
      <c r="K781">
        <v>23</v>
      </c>
      <c r="L781">
        <v>1901</v>
      </c>
      <c r="M781">
        <v>0</v>
      </c>
      <c r="N781">
        <v>1337</v>
      </c>
      <c r="O781">
        <v>2</v>
      </c>
      <c r="P781">
        <v>3</v>
      </c>
      <c r="Q781">
        <v>0</v>
      </c>
      <c r="R781">
        <v>2</v>
      </c>
      <c r="S781">
        <v>0</v>
      </c>
      <c r="T781">
        <v>0</v>
      </c>
      <c r="U781">
        <v>0</v>
      </c>
      <c r="V781">
        <v>0</v>
      </c>
      <c r="W781">
        <v>26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45</v>
      </c>
      <c r="AF781">
        <v>8</v>
      </c>
      <c r="AG781">
        <v>34</v>
      </c>
      <c r="AH781">
        <v>15</v>
      </c>
      <c r="AI781">
        <v>1</v>
      </c>
      <c r="AJ781">
        <v>58</v>
      </c>
      <c r="AK781">
        <v>0</v>
      </c>
      <c r="AL781">
        <v>0</v>
      </c>
      <c r="AM781">
        <v>48</v>
      </c>
      <c r="AN781">
        <v>0</v>
      </c>
      <c r="AO781">
        <v>31</v>
      </c>
      <c r="AQ781" t="str">
        <f t="shared" si="12"/>
        <v>Defensive Forward</v>
      </c>
    </row>
    <row r="782" spans="1:43" x14ac:dyDescent="0.35">
      <c r="A782" t="s">
        <v>510</v>
      </c>
      <c r="B782" t="s">
        <v>46</v>
      </c>
      <c r="C782" t="s">
        <v>1648</v>
      </c>
      <c r="D782">
        <v>1995</v>
      </c>
      <c r="E782">
        <v>23</v>
      </c>
      <c r="F782" t="s">
        <v>169</v>
      </c>
      <c r="G782" t="s">
        <v>51</v>
      </c>
      <c r="H782">
        <v>2200000</v>
      </c>
      <c r="I782">
        <v>2200000</v>
      </c>
      <c r="J782" t="s">
        <v>55</v>
      </c>
      <c r="K782">
        <v>29</v>
      </c>
      <c r="L782">
        <v>1822</v>
      </c>
      <c r="M782">
        <v>3</v>
      </c>
      <c r="N782">
        <v>308</v>
      </c>
      <c r="O782">
        <v>2</v>
      </c>
      <c r="P782">
        <v>2</v>
      </c>
      <c r="Q782">
        <v>0</v>
      </c>
      <c r="R782">
        <v>7</v>
      </c>
      <c r="S782">
        <v>15</v>
      </c>
      <c r="T782">
        <v>46</v>
      </c>
      <c r="U782">
        <v>15</v>
      </c>
      <c r="V782">
        <v>2</v>
      </c>
      <c r="W782">
        <v>0</v>
      </c>
      <c r="X782">
        <v>0</v>
      </c>
      <c r="Y782">
        <v>0</v>
      </c>
      <c r="Z782">
        <v>0</v>
      </c>
      <c r="AA782">
        <v>10</v>
      </c>
      <c r="AB782">
        <v>4</v>
      </c>
      <c r="AC782">
        <v>31</v>
      </c>
      <c r="AD782">
        <v>12</v>
      </c>
      <c r="AE782">
        <v>74</v>
      </c>
      <c r="AF782">
        <v>0</v>
      </c>
      <c r="AG782">
        <v>11</v>
      </c>
      <c r="AH782">
        <v>14</v>
      </c>
      <c r="AI782">
        <v>0</v>
      </c>
      <c r="AJ782">
        <v>26</v>
      </c>
      <c r="AK782">
        <v>0</v>
      </c>
      <c r="AL782">
        <v>0</v>
      </c>
      <c r="AM782">
        <v>8</v>
      </c>
      <c r="AN782">
        <v>11</v>
      </c>
      <c r="AO782">
        <v>33</v>
      </c>
      <c r="AQ782" t="str">
        <f t="shared" si="12"/>
        <v>Midfielder</v>
      </c>
    </row>
    <row r="783" spans="1:43" x14ac:dyDescent="0.35">
      <c r="A783" t="s">
        <v>511</v>
      </c>
      <c r="B783" t="s">
        <v>39</v>
      </c>
      <c r="C783" t="s">
        <v>1649</v>
      </c>
      <c r="D783">
        <v>1992</v>
      </c>
      <c r="E783">
        <v>23</v>
      </c>
      <c r="F783" t="s">
        <v>84</v>
      </c>
      <c r="G783" t="s">
        <v>87</v>
      </c>
      <c r="H783">
        <v>1100000</v>
      </c>
      <c r="I783">
        <v>3600000</v>
      </c>
      <c r="J783" t="s">
        <v>42</v>
      </c>
      <c r="K783">
        <v>21</v>
      </c>
      <c r="L783">
        <v>1924</v>
      </c>
      <c r="M783">
        <v>6</v>
      </c>
      <c r="N783">
        <v>444</v>
      </c>
      <c r="O783">
        <v>2</v>
      </c>
      <c r="P783">
        <v>1</v>
      </c>
      <c r="Q783">
        <v>0</v>
      </c>
      <c r="R783">
        <v>7</v>
      </c>
      <c r="S783">
        <v>18</v>
      </c>
      <c r="T783">
        <v>54</v>
      </c>
      <c r="U783">
        <v>20</v>
      </c>
      <c r="V783">
        <v>1</v>
      </c>
      <c r="W783">
        <v>9</v>
      </c>
      <c r="X783">
        <v>0</v>
      </c>
      <c r="Y783">
        <v>0</v>
      </c>
      <c r="Z783">
        <v>0</v>
      </c>
      <c r="AA783">
        <v>16</v>
      </c>
      <c r="AB783">
        <v>2</v>
      </c>
      <c r="AC783">
        <v>2</v>
      </c>
      <c r="AD783">
        <v>1</v>
      </c>
      <c r="AE783">
        <v>24</v>
      </c>
      <c r="AF783">
        <v>1</v>
      </c>
      <c r="AG783">
        <v>9</v>
      </c>
      <c r="AH783">
        <v>37</v>
      </c>
      <c r="AI783">
        <v>0</v>
      </c>
      <c r="AJ783">
        <v>29</v>
      </c>
      <c r="AK783">
        <v>0</v>
      </c>
      <c r="AL783">
        <v>0</v>
      </c>
      <c r="AM783">
        <v>12</v>
      </c>
      <c r="AN783">
        <v>30</v>
      </c>
      <c r="AO783">
        <v>51</v>
      </c>
      <c r="AQ783" t="str">
        <f t="shared" si="12"/>
        <v>Forward</v>
      </c>
    </row>
    <row r="784" spans="1:43" x14ac:dyDescent="0.35">
      <c r="A784" t="s">
        <v>511</v>
      </c>
      <c r="B784" t="s">
        <v>47</v>
      </c>
      <c r="C784" t="s">
        <v>1650</v>
      </c>
      <c r="D784">
        <v>1992</v>
      </c>
      <c r="E784">
        <v>24</v>
      </c>
      <c r="F784" t="s">
        <v>84</v>
      </c>
      <c r="G784" t="s">
        <v>87</v>
      </c>
      <c r="H784">
        <v>3600000</v>
      </c>
      <c r="I784">
        <v>7200000</v>
      </c>
      <c r="J784" t="s">
        <v>42</v>
      </c>
      <c r="K784">
        <v>36</v>
      </c>
      <c r="L784">
        <v>2719</v>
      </c>
      <c r="M784">
        <v>16</v>
      </c>
      <c r="N784">
        <v>715</v>
      </c>
      <c r="O784">
        <v>2</v>
      </c>
      <c r="P784">
        <v>1</v>
      </c>
      <c r="Q784">
        <v>0</v>
      </c>
      <c r="R784">
        <v>5</v>
      </c>
      <c r="S784">
        <v>13</v>
      </c>
      <c r="T784">
        <v>67</v>
      </c>
      <c r="U784">
        <v>31</v>
      </c>
      <c r="V784">
        <v>2</v>
      </c>
      <c r="W784">
        <v>25</v>
      </c>
      <c r="X784">
        <v>0</v>
      </c>
      <c r="Y784">
        <v>2</v>
      </c>
      <c r="Z784">
        <v>0</v>
      </c>
      <c r="AA784">
        <v>5</v>
      </c>
      <c r="AB784">
        <v>2</v>
      </c>
      <c r="AC784">
        <v>4</v>
      </c>
      <c r="AD784">
        <v>4</v>
      </c>
      <c r="AE784">
        <v>42</v>
      </c>
      <c r="AF784">
        <v>6</v>
      </c>
      <c r="AG784">
        <v>19</v>
      </c>
      <c r="AH784">
        <v>58</v>
      </c>
      <c r="AI784">
        <v>0</v>
      </c>
      <c r="AJ784">
        <v>49</v>
      </c>
      <c r="AK784">
        <v>0</v>
      </c>
      <c r="AL784">
        <v>0</v>
      </c>
      <c r="AM784">
        <v>39</v>
      </c>
      <c r="AN784">
        <v>39</v>
      </c>
      <c r="AO784">
        <v>69</v>
      </c>
      <c r="AQ784" t="str">
        <f t="shared" si="12"/>
        <v>Forward</v>
      </c>
    </row>
    <row r="785" spans="1:43" x14ac:dyDescent="0.35">
      <c r="A785" t="s">
        <v>511</v>
      </c>
      <c r="B785" t="s">
        <v>43</v>
      </c>
      <c r="C785" t="s">
        <v>1651</v>
      </c>
      <c r="D785">
        <v>1992</v>
      </c>
      <c r="E785">
        <v>25</v>
      </c>
      <c r="F785" t="s">
        <v>84</v>
      </c>
      <c r="G785" t="s">
        <v>87</v>
      </c>
      <c r="H785">
        <v>7200000</v>
      </c>
      <c r="I785">
        <v>9000000</v>
      </c>
      <c r="J785" t="s">
        <v>42</v>
      </c>
      <c r="K785">
        <v>33</v>
      </c>
      <c r="L785">
        <v>2453</v>
      </c>
      <c r="M785">
        <v>8</v>
      </c>
      <c r="N785">
        <v>689</v>
      </c>
      <c r="O785">
        <v>3</v>
      </c>
      <c r="P785">
        <v>3</v>
      </c>
      <c r="Q785">
        <v>0</v>
      </c>
      <c r="R785">
        <v>6</v>
      </c>
      <c r="S785">
        <v>9</v>
      </c>
      <c r="T785">
        <v>51</v>
      </c>
      <c r="U785">
        <v>21</v>
      </c>
      <c r="V785">
        <v>1</v>
      </c>
      <c r="W785">
        <v>9</v>
      </c>
      <c r="X785">
        <v>0</v>
      </c>
      <c r="Y785">
        <v>2</v>
      </c>
      <c r="Z785">
        <v>0</v>
      </c>
      <c r="AA785">
        <v>4</v>
      </c>
      <c r="AB785">
        <v>5</v>
      </c>
      <c r="AC785">
        <v>30</v>
      </c>
      <c r="AD785">
        <v>0</v>
      </c>
      <c r="AE785">
        <v>34</v>
      </c>
      <c r="AF785">
        <v>3</v>
      </c>
      <c r="AG785">
        <v>4</v>
      </c>
      <c r="AH785">
        <v>45</v>
      </c>
      <c r="AI785">
        <v>0</v>
      </c>
      <c r="AJ785">
        <v>36</v>
      </c>
      <c r="AK785">
        <v>0</v>
      </c>
      <c r="AL785">
        <v>0</v>
      </c>
      <c r="AM785">
        <v>14</v>
      </c>
      <c r="AN785">
        <v>68</v>
      </c>
      <c r="AO785">
        <v>82</v>
      </c>
      <c r="AQ785" t="str">
        <f t="shared" si="12"/>
        <v>Forward</v>
      </c>
    </row>
    <row r="786" spans="1:43" x14ac:dyDescent="0.35">
      <c r="A786" t="s">
        <v>511</v>
      </c>
      <c r="B786" t="s">
        <v>46</v>
      </c>
      <c r="C786" t="s">
        <v>1652</v>
      </c>
      <c r="D786">
        <v>1992</v>
      </c>
      <c r="E786">
        <v>26</v>
      </c>
      <c r="F786" t="s">
        <v>84</v>
      </c>
      <c r="G786" t="s">
        <v>87</v>
      </c>
      <c r="H786">
        <v>9000000</v>
      </c>
      <c r="I786">
        <v>18000000</v>
      </c>
      <c r="J786" t="s">
        <v>42</v>
      </c>
      <c r="K786">
        <v>35</v>
      </c>
      <c r="L786">
        <v>2970</v>
      </c>
      <c r="M786">
        <v>12</v>
      </c>
      <c r="N786">
        <v>802</v>
      </c>
      <c r="O786">
        <v>3</v>
      </c>
      <c r="P786">
        <v>3</v>
      </c>
      <c r="Q786">
        <v>0</v>
      </c>
      <c r="R786">
        <v>1</v>
      </c>
      <c r="S786">
        <v>14</v>
      </c>
      <c r="T786">
        <v>72</v>
      </c>
      <c r="U786">
        <v>23</v>
      </c>
      <c r="V786">
        <v>1</v>
      </c>
      <c r="W786">
        <v>9</v>
      </c>
      <c r="X786">
        <v>1</v>
      </c>
      <c r="Y786">
        <v>5</v>
      </c>
      <c r="Z786">
        <v>0</v>
      </c>
      <c r="AA786">
        <v>7</v>
      </c>
      <c r="AB786">
        <v>11</v>
      </c>
      <c r="AC786">
        <v>49</v>
      </c>
      <c r="AD786">
        <v>1</v>
      </c>
      <c r="AE786">
        <v>43</v>
      </c>
      <c r="AF786">
        <v>5</v>
      </c>
      <c r="AG786">
        <v>7</v>
      </c>
      <c r="AH786">
        <v>53</v>
      </c>
      <c r="AI786">
        <v>0</v>
      </c>
      <c r="AJ786">
        <v>30</v>
      </c>
      <c r="AK786">
        <v>0</v>
      </c>
      <c r="AL786">
        <v>0</v>
      </c>
      <c r="AM786">
        <v>13</v>
      </c>
      <c r="AN786">
        <v>89</v>
      </c>
      <c r="AO786">
        <v>119</v>
      </c>
      <c r="AQ786" t="str">
        <f t="shared" si="12"/>
        <v>Forward</v>
      </c>
    </row>
    <row r="787" spans="1:43" x14ac:dyDescent="0.35">
      <c r="A787" t="s">
        <v>512</v>
      </c>
      <c r="B787" t="s">
        <v>47</v>
      </c>
      <c r="C787" t="s">
        <v>1653</v>
      </c>
      <c r="D787">
        <v>1985</v>
      </c>
      <c r="E787">
        <v>31</v>
      </c>
      <c r="F787" t="s">
        <v>66</v>
      </c>
      <c r="G787" t="s">
        <v>202</v>
      </c>
      <c r="H787">
        <v>1100000</v>
      </c>
      <c r="I787">
        <v>1650000</v>
      </c>
      <c r="J787" t="s">
        <v>52</v>
      </c>
      <c r="K787">
        <v>21</v>
      </c>
      <c r="L787">
        <v>813</v>
      </c>
      <c r="M787">
        <v>1</v>
      </c>
      <c r="N787">
        <v>358</v>
      </c>
      <c r="O787">
        <v>0</v>
      </c>
      <c r="P787">
        <v>0</v>
      </c>
      <c r="Q787">
        <v>0</v>
      </c>
      <c r="R787">
        <v>15</v>
      </c>
      <c r="S787">
        <v>5</v>
      </c>
      <c r="T787">
        <v>6</v>
      </c>
      <c r="U787">
        <v>1</v>
      </c>
      <c r="V787">
        <v>0</v>
      </c>
      <c r="W787">
        <v>6</v>
      </c>
      <c r="X787">
        <v>0</v>
      </c>
      <c r="Y787">
        <v>0</v>
      </c>
      <c r="Z787">
        <v>0</v>
      </c>
      <c r="AA787">
        <v>0</v>
      </c>
      <c r="AB787">
        <v>2</v>
      </c>
      <c r="AC787">
        <v>0</v>
      </c>
      <c r="AD787">
        <v>0</v>
      </c>
      <c r="AE787">
        <v>11</v>
      </c>
      <c r="AF787">
        <v>0</v>
      </c>
      <c r="AG787">
        <v>18</v>
      </c>
      <c r="AH787">
        <v>5</v>
      </c>
      <c r="AI787">
        <v>0</v>
      </c>
      <c r="AJ787">
        <v>19</v>
      </c>
      <c r="AK787">
        <v>0</v>
      </c>
      <c r="AL787">
        <v>0</v>
      </c>
      <c r="AM787">
        <v>22</v>
      </c>
      <c r="AN787">
        <v>10</v>
      </c>
      <c r="AO787">
        <v>7</v>
      </c>
      <c r="AQ787" t="str">
        <f t="shared" si="12"/>
        <v>Defensive Forward</v>
      </c>
    </row>
    <row r="788" spans="1:43" x14ac:dyDescent="0.35">
      <c r="A788" t="s">
        <v>513</v>
      </c>
      <c r="B788" t="s">
        <v>39</v>
      </c>
      <c r="C788" t="s">
        <v>1654</v>
      </c>
      <c r="D788">
        <v>1987</v>
      </c>
      <c r="E788">
        <v>28</v>
      </c>
      <c r="F788" t="s">
        <v>66</v>
      </c>
      <c r="G788" t="s">
        <v>167</v>
      </c>
      <c r="H788">
        <v>34100000</v>
      </c>
      <c r="I788">
        <v>33000000</v>
      </c>
      <c r="J788" t="s">
        <v>55</v>
      </c>
      <c r="K788">
        <v>17</v>
      </c>
      <c r="L788">
        <v>766</v>
      </c>
      <c r="M788">
        <v>0</v>
      </c>
      <c r="N788">
        <v>264</v>
      </c>
      <c r="O788">
        <v>0</v>
      </c>
      <c r="P788">
        <v>1</v>
      </c>
      <c r="Q788">
        <v>0</v>
      </c>
      <c r="R788">
        <v>10</v>
      </c>
      <c r="S788">
        <v>4</v>
      </c>
      <c r="T788">
        <v>5</v>
      </c>
      <c r="U788">
        <v>1</v>
      </c>
      <c r="V788">
        <v>0</v>
      </c>
      <c r="W788">
        <v>5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29</v>
      </c>
      <c r="AF788">
        <v>1</v>
      </c>
      <c r="AG788">
        <v>16</v>
      </c>
      <c r="AH788">
        <v>10</v>
      </c>
      <c r="AI788">
        <v>0</v>
      </c>
      <c r="AJ788">
        <v>15</v>
      </c>
      <c r="AK788">
        <v>0</v>
      </c>
      <c r="AL788">
        <v>0</v>
      </c>
      <c r="AM788">
        <v>13</v>
      </c>
      <c r="AN788">
        <v>2</v>
      </c>
      <c r="AO788">
        <v>3</v>
      </c>
      <c r="AQ788" t="str">
        <f t="shared" si="12"/>
        <v>Midfielder</v>
      </c>
    </row>
    <row r="789" spans="1:43" x14ac:dyDescent="0.35">
      <c r="A789" t="s">
        <v>514</v>
      </c>
      <c r="B789" t="s">
        <v>46</v>
      </c>
      <c r="C789" t="s">
        <v>1655</v>
      </c>
      <c r="D789">
        <v>1998</v>
      </c>
      <c r="E789">
        <v>20</v>
      </c>
      <c r="F789" t="s">
        <v>191</v>
      </c>
      <c r="G789" t="s">
        <v>262</v>
      </c>
      <c r="H789">
        <v>4500000</v>
      </c>
      <c r="I789">
        <v>13500000</v>
      </c>
      <c r="J789" t="s">
        <v>52</v>
      </c>
      <c r="K789">
        <v>12</v>
      </c>
      <c r="L789">
        <v>890</v>
      </c>
      <c r="M789">
        <v>1</v>
      </c>
      <c r="N789">
        <v>586</v>
      </c>
      <c r="O789">
        <v>0</v>
      </c>
      <c r="P789">
        <v>3</v>
      </c>
      <c r="Q789">
        <v>1</v>
      </c>
      <c r="R789">
        <v>2</v>
      </c>
      <c r="S789">
        <v>1</v>
      </c>
      <c r="T789">
        <v>4</v>
      </c>
      <c r="U789">
        <v>1</v>
      </c>
      <c r="V789">
        <v>0</v>
      </c>
      <c r="W789">
        <v>27</v>
      </c>
      <c r="X789">
        <v>1</v>
      </c>
      <c r="Y789">
        <v>0</v>
      </c>
      <c r="Z789">
        <v>0</v>
      </c>
      <c r="AA789">
        <v>0</v>
      </c>
      <c r="AB789">
        <v>1</v>
      </c>
      <c r="AC789">
        <v>3</v>
      </c>
      <c r="AD789">
        <v>0</v>
      </c>
      <c r="AE789">
        <v>2</v>
      </c>
      <c r="AF789">
        <v>5</v>
      </c>
      <c r="AG789">
        <v>10</v>
      </c>
      <c r="AH789">
        <v>16</v>
      </c>
      <c r="AI789">
        <v>1</v>
      </c>
      <c r="AJ789">
        <v>31</v>
      </c>
      <c r="AK789">
        <v>1</v>
      </c>
      <c r="AL789">
        <v>0</v>
      </c>
      <c r="AM789">
        <v>48</v>
      </c>
      <c r="AN789">
        <v>25</v>
      </c>
      <c r="AO789">
        <v>19</v>
      </c>
      <c r="AQ789" t="str">
        <f t="shared" si="12"/>
        <v>Defensive Forward</v>
      </c>
    </row>
    <row r="790" spans="1:43" x14ac:dyDescent="0.35">
      <c r="A790" t="s">
        <v>515</v>
      </c>
      <c r="B790" t="s">
        <v>39</v>
      </c>
      <c r="C790" t="s">
        <v>1656</v>
      </c>
      <c r="D790">
        <v>1988</v>
      </c>
      <c r="E790">
        <v>27</v>
      </c>
      <c r="F790" t="s">
        <v>129</v>
      </c>
      <c r="G790" t="s">
        <v>45</v>
      </c>
      <c r="H790">
        <v>31400000</v>
      </c>
      <c r="I790">
        <v>27900000</v>
      </c>
      <c r="J790" t="s">
        <v>42</v>
      </c>
      <c r="K790">
        <v>38</v>
      </c>
      <c r="L790">
        <v>2898</v>
      </c>
      <c r="M790">
        <v>6</v>
      </c>
      <c r="N790">
        <v>1803</v>
      </c>
      <c r="O790">
        <v>5</v>
      </c>
      <c r="P790">
        <v>4</v>
      </c>
      <c r="Q790">
        <v>1</v>
      </c>
      <c r="R790">
        <v>4</v>
      </c>
      <c r="S790">
        <v>15</v>
      </c>
      <c r="T790">
        <v>57</v>
      </c>
      <c r="U790">
        <v>22</v>
      </c>
      <c r="V790">
        <v>1</v>
      </c>
      <c r="W790">
        <v>3</v>
      </c>
      <c r="X790">
        <v>0</v>
      </c>
      <c r="Y790">
        <v>1</v>
      </c>
      <c r="Z790">
        <v>1</v>
      </c>
      <c r="AA790">
        <v>9</v>
      </c>
      <c r="AB790">
        <v>7</v>
      </c>
      <c r="AC790">
        <v>0</v>
      </c>
      <c r="AD790">
        <v>49</v>
      </c>
      <c r="AE790">
        <v>98</v>
      </c>
      <c r="AF790">
        <v>0</v>
      </c>
      <c r="AG790">
        <v>23</v>
      </c>
      <c r="AH790">
        <v>22</v>
      </c>
      <c r="AI790">
        <v>0</v>
      </c>
      <c r="AJ790">
        <v>30</v>
      </c>
      <c r="AK790">
        <v>0</v>
      </c>
      <c r="AL790">
        <v>0</v>
      </c>
      <c r="AM790">
        <v>19</v>
      </c>
      <c r="AN790">
        <v>4</v>
      </c>
      <c r="AO790">
        <v>14</v>
      </c>
      <c r="AQ790" t="str">
        <f t="shared" si="12"/>
        <v>Forward</v>
      </c>
    </row>
    <row r="791" spans="1:43" x14ac:dyDescent="0.35">
      <c r="A791" t="s">
        <v>515</v>
      </c>
      <c r="B791" t="s">
        <v>47</v>
      </c>
      <c r="C791" t="s">
        <v>1657</v>
      </c>
      <c r="D791">
        <v>1988</v>
      </c>
      <c r="E791">
        <v>28</v>
      </c>
      <c r="F791" t="s">
        <v>129</v>
      </c>
      <c r="G791" t="s">
        <v>45</v>
      </c>
      <c r="H791">
        <v>33000000</v>
      </c>
      <c r="I791">
        <v>33000000</v>
      </c>
      <c r="J791" t="s">
        <v>55</v>
      </c>
      <c r="K791">
        <v>25</v>
      </c>
      <c r="L791">
        <v>1628</v>
      </c>
      <c r="M791">
        <v>6</v>
      </c>
      <c r="N791">
        <v>990</v>
      </c>
      <c r="O791">
        <v>3</v>
      </c>
      <c r="P791">
        <v>3</v>
      </c>
      <c r="Q791">
        <v>0</v>
      </c>
      <c r="R791">
        <v>6</v>
      </c>
      <c r="S791">
        <v>18</v>
      </c>
      <c r="T791">
        <v>40</v>
      </c>
      <c r="U791">
        <v>21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9</v>
      </c>
      <c r="AB791">
        <v>6</v>
      </c>
      <c r="AC791">
        <v>5</v>
      </c>
      <c r="AD791">
        <v>49</v>
      </c>
      <c r="AE791">
        <v>93</v>
      </c>
      <c r="AF791">
        <v>0</v>
      </c>
      <c r="AG791">
        <v>12</v>
      </c>
      <c r="AH791">
        <v>10</v>
      </c>
      <c r="AI791">
        <v>0</v>
      </c>
      <c r="AJ791">
        <v>22</v>
      </c>
      <c r="AK791">
        <v>0</v>
      </c>
      <c r="AL791">
        <v>0</v>
      </c>
      <c r="AM791">
        <v>8</v>
      </c>
      <c r="AN791">
        <v>4</v>
      </c>
      <c r="AO791">
        <v>6</v>
      </c>
      <c r="AQ791" t="str">
        <f t="shared" si="12"/>
        <v>Midfielder</v>
      </c>
    </row>
    <row r="792" spans="1:43" x14ac:dyDescent="0.35">
      <c r="A792" t="s">
        <v>515</v>
      </c>
      <c r="B792" t="s">
        <v>43</v>
      </c>
      <c r="C792" t="s">
        <v>1658</v>
      </c>
      <c r="D792">
        <v>1988</v>
      </c>
      <c r="E792">
        <v>29</v>
      </c>
      <c r="F792" t="s">
        <v>129</v>
      </c>
      <c r="G792" t="s">
        <v>45</v>
      </c>
      <c r="H792">
        <v>33000000</v>
      </c>
      <c r="I792">
        <v>22000000</v>
      </c>
      <c r="J792" t="s">
        <v>55</v>
      </c>
      <c r="K792">
        <v>28</v>
      </c>
      <c r="L792">
        <v>1930</v>
      </c>
      <c r="M792">
        <v>3</v>
      </c>
      <c r="N792">
        <v>1215</v>
      </c>
      <c r="O792">
        <v>5</v>
      </c>
      <c r="P792">
        <v>1</v>
      </c>
      <c r="Q792">
        <v>0</v>
      </c>
      <c r="R792">
        <v>5</v>
      </c>
      <c r="S792">
        <v>16</v>
      </c>
      <c r="T792">
        <v>28</v>
      </c>
      <c r="U792">
        <v>10</v>
      </c>
      <c r="V792">
        <v>2</v>
      </c>
      <c r="W792">
        <v>0</v>
      </c>
      <c r="X792">
        <v>0</v>
      </c>
      <c r="Y792">
        <v>0</v>
      </c>
      <c r="Z792">
        <v>1</v>
      </c>
      <c r="AA792">
        <v>18</v>
      </c>
      <c r="AB792">
        <v>4</v>
      </c>
      <c r="AC792">
        <v>18</v>
      </c>
      <c r="AD792">
        <v>54</v>
      </c>
      <c r="AE792">
        <v>111</v>
      </c>
      <c r="AF792">
        <v>0</v>
      </c>
      <c r="AG792">
        <v>15</v>
      </c>
      <c r="AH792">
        <v>12</v>
      </c>
      <c r="AI792">
        <v>0</v>
      </c>
      <c r="AJ792">
        <v>18</v>
      </c>
      <c r="AK792">
        <v>1</v>
      </c>
      <c r="AL792">
        <v>0</v>
      </c>
      <c r="AM792">
        <v>7</v>
      </c>
      <c r="AN792">
        <v>3</v>
      </c>
      <c r="AO792">
        <v>8</v>
      </c>
      <c r="AQ792" t="str">
        <f t="shared" si="12"/>
        <v>Midfielder</v>
      </c>
    </row>
    <row r="793" spans="1:43" x14ac:dyDescent="0.35">
      <c r="A793" t="s">
        <v>515</v>
      </c>
      <c r="B793" t="s">
        <v>46</v>
      </c>
      <c r="C793" t="s">
        <v>1659</v>
      </c>
      <c r="D793">
        <v>1988</v>
      </c>
      <c r="E793">
        <v>30</v>
      </c>
      <c r="F793" t="s">
        <v>129</v>
      </c>
      <c r="G793" t="s">
        <v>45</v>
      </c>
      <c r="H793">
        <v>6300000</v>
      </c>
      <c r="I793">
        <v>4500000</v>
      </c>
      <c r="J793" t="s">
        <v>55</v>
      </c>
      <c r="K793">
        <v>22</v>
      </c>
      <c r="L793">
        <v>1293</v>
      </c>
      <c r="M793">
        <v>3</v>
      </c>
      <c r="N793">
        <v>700</v>
      </c>
      <c r="O793">
        <v>2</v>
      </c>
      <c r="P793">
        <v>3</v>
      </c>
      <c r="Q793">
        <v>0</v>
      </c>
      <c r="R793">
        <v>6</v>
      </c>
      <c r="S793">
        <v>11</v>
      </c>
      <c r="T793">
        <v>19</v>
      </c>
      <c r="U793">
        <v>6</v>
      </c>
      <c r="V793">
        <v>0</v>
      </c>
      <c r="W793">
        <v>0</v>
      </c>
      <c r="X793">
        <v>0</v>
      </c>
      <c r="Y793">
        <v>0</v>
      </c>
      <c r="Z793">
        <v>1</v>
      </c>
      <c r="AA793">
        <v>8</v>
      </c>
      <c r="AB793">
        <v>6</v>
      </c>
      <c r="AC793">
        <v>13</v>
      </c>
      <c r="AD793">
        <v>35</v>
      </c>
      <c r="AE793">
        <v>67</v>
      </c>
      <c r="AF793">
        <v>1</v>
      </c>
      <c r="AG793">
        <v>6</v>
      </c>
      <c r="AH793">
        <v>10</v>
      </c>
      <c r="AI793">
        <v>0</v>
      </c>
      <c r="AJ793">
        <v>9</v>
      </c>
      <c r="AK793">
        <v>0</v>
      </c>
      <c r="AL793">
        <v>0</v>
      </c>
      <c r="AM793">
        <v>5</v>
      </c>
      <c r="AN793">
        <v>2</v>
      </c>
      <c r="AO793">
        <v>6</v>
      </c>
      <c r="AQ793" t="str">
        <f t="shared" si="12"/>
        <v>Midfielder</v>
      </c>
    </row>
    <row r="794" spans="1:43" x14ac:dyDescent="0.35">
      <c r="A794" t="s">
        <v>516</v>
      </c>
      <c r="B794" t="s">
        <v>39</v>
      </c>
      <c r="C794" t="s">
        <v>1660</v>
      </c>
      <c r="D794">
        <v>1993</v>
      </c>
      <c r="E794">
        <v>22</v>
      </c>
      <c r="F794" t="s">
        <v>220</v>
      </c>
      <c r="G794" t="s">
        <v>45</v>
      </c>
      <c r="H794">
        <v>1100000</v>
      </c>
      <c r="I794">
        <v>4400000</v>
      </c>
      <c r="J794" t="s">
        <v>55</v>
      </c>
      <c r="K794">
        <v>12</v>
      </c>
      <c r="L794">
        <v>161</v>
      </c>
      <c r="M794">
        <v>0</v>
      </c>
      <c r="N794">
        <v>48</v>
      </c>
      <c r="O794">
        <v>0</v>
      </c>
      <c r="P794">
        <v>0</v>
      </c>
      <c r="Q794">
        <v>0</v>
      </c>
      <c r="R794">
        <v>12</v>
      </c>
      <c r="S794">
        <v>0</v>
      </c>
      <c r="T794">
        <v>5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1</v>
      </c>
      <c r="AB794">
        <v>1</v>
      </c>
      <c r="AC794">
        <v>0</v>
      </c>
      <c r="AD794">
        <v>0</v>
      </c>
      <c r="AE794">
        <v>2</v>
      </c>
      <c r="AF794">
        <v>1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4</v>
      </c>
      <c r="AQ794" t="str">
        <f t="shared" si="12"/>
        <v>Midfielder</v>
      </c>
    </row>
    <row r="795" spans="1:43" x14ac:dyDescent="0.35">
      <c r="A795" t="s">
        <v>517</v>
      </c>
      <c r="B795" t="s">
        <v>46</v>
      </c>
      <c r="C795" t="s">
        <v>1661</v>
      </c>
      <c r="D795">
        <v>1997</v>
      </c>
      <c r="E795">
        <v>20</v>
      </c>
      <c r="F795" t="s">
        <v>58</v>
      </c>
      <c r="G795" t="s">
        <v>271</v>
      </c>
      <c r="H795">
        <v>1650000</v>
      </c>
      <c r="I795">
        <v>3150000</v>
      </c>
      <c r="J795" t="s">
        <v>42</v>
      </c>
      <c r="K795">
        <v>21</v>
      </c>
      <c r="L795">
        <v>1415</v>
      </c>
      <c r="M795">
        <v>1</v>
      </c>
      <c r="N795">
        <v>715</v>
      </c>
      <c r="O795">
        <v>0</v>
      </c>
      <c r="P795">
        <v>4</v>
      </c>
      <c r="Q795">
        <v>0</v>
      </c>
      <c r="R795">
        <v>5</v>
      </c>
      <c r="S795">
        <v>7</v>
      </c>
      <c r="T795">
        <v>19</v>
      </c>
      <c r="U795">
        <v>8</v>
      </c>
      <c r="V795">
        <v>1</v>
      </c>
      <c r="W795">
        <v>1</v>
      </c>
      <c r="X795">
        <v>1</v>
      </c>
      <c r="Y795">
        <v>0</v>
      </c>
      <c r="Z795">
        <v>0</v>
      </c>
      <c r="AA795">
        <v>1</v>
      </c>
      <c r="AB795">
        <v>6</v>
      </c>
      <c r="AC795">
        <v>11</v>
      </c>
      <c r="AD795">
        <v>16</v>
      </c>
      <c r="AE795">
        <v>34</v>
      </c>
      <c r="AF795">
        <v>1</v>
      </c>
      <c r="AG795">
        <v>23</v>
      </c>
      <c r="AH795">
        <v>33</v>
      </c>
      <c r="AI795">
        <v>0</v>
      </c>
      <c r="AJ795">
        <v>46</v>
      </c>
      <c r="AK795">
        <v>1</v>
      </c>
      <c r="AL795">
        <v>0</v>
      </c>
      <c r="AM795">
        <v>11</v>
      </c>
      <c r="AN795">
        <v>17</v>
      </c>
      <c r="AO795">
        <v>22</v>
      </c>
      <c r="AQ795" t="str">
        <f t="shared" si="12"/>
        <v>Forward</v>
      </c>
    </row>
    <row r="796" spans="1:43" x14ac:dyDescent="0.35">
      <c r="A796" t="s">
        <v>518</v>
      </c>
      <c r="B796" t="s">
        <v>39</v>
      </c>
      <c r="C796" t="s">
        <v>1662</v>
      </c>
      <c r="D796">
        <v>1989</v>
      </c>
      <c r="E796">
        <v>25</v>
      </c>
      <c r="F796" t="s">
        <v>84</v>
      </c>
      <c r="G796" t="s">
        <v>51</v>
      </c>
      <c r="H796">
        <v>4400000</v>
      </c>
      <c r="I796">
        <v>4950000</v>
      </c>
      <c r="J796" t="s">
        <v>55</v>
      </c>
      <c r="K796">
        <v>21</v>
      </c>
      <c r="L796">
        <v>1440</v>
      </c>
      <c r="M796">
        <v>3</v>
      </c>
      <c r="N796">
        <v>662</v>
      </c>
      <c r="O796">
        <v>2</v>
      </c>
      <c r="P796">
        <v>1</v>
      </c>
      <c r="Q796">
        <v>0</v>
      </c>
      <c r="R796">
        <v>4</v>
      </c>
      <c r="S796">
        <v>9</v>
      </c>
      <c r="T796">
        <v>44</v>
      </c>
      <c r="U796">
        <v>10</v>
      </c>
      <c r="V796">
        <v>2</v>
      </c>
      <c r="W796">
        <v>2</v>
      </c>
      <c r="X796">
        <v>0</v>
      </c>
      <c r="Y796">
        <v>0</v>
      </c>
      <c r="Z796">
        <v>0</v>
      </c>
      <c r="AA796">
        <v>3</v>
      </c>
      <c r="AB796">
        <v>4</v>
      </c>
      <c r="AC796">
        <v>2</v>
      </c>
      <c r="AD796">
        <v>45</v>
      </c>
      <c r="AE796">
        <v>96</v>
      </c>
      <c r="AF796">
        <v>1</v>
      </c>
      <c r="AG796">
        <v>18</v>
      </c>
      <c r="AH796">
        <v>11</v>
      </c>
      <c r="AI796">
        <v>0</v>
      </c>
      <c r="AJ796">
        <v>29</v>
      </c>
      <c r="AK796">
        <v>0</v>
      </c>
      <c r="AL796">
        <v>0</v>
      </c>
      <c r="AM796">
        <v>11</v>
      </c>
      <c r="AN796">
        <v>14</v>
      </c>
      <c r="AO796">
        <v>29</v>
      </c>
      <c r="AQ796" t="str">
        <f t="shared" si="12"/>
        <v>Midfielder</v>
      </c>
    </row>
    <row r="797" spans="1:43" x14ac:dyDescent="0.35">
      <c r="A797" t="s">
        <v>518</v>
      </c>
      <c r="B797" t="s">
        <v>47</v>
      </c>
      <c r="C797" t="s">
        <v>1663</v>
      </c>
      <c r="D797">
        <v>1989</v>
      </c>
      <c r="E797">
        <v>26</v>
      </c>
      <c r="F797" t="s">
        <v>84</v>
      </c>
      <c r="G797" t="s">
        <v>51</v>
      </c>
      <c r="H797">
        <v>4950000</v>
      </c>
      <c r="I797">
        <v>4950000</v>
      </c>
      <c r="J797" t="s">
        <v>55</v>
      </c>
      <c r="K797">
        <v>21</v>
      </c>
      <c r="L797">
        <v>1476</v>
      </c>
      <c r="M797">
        <v>7</v>
      </c>
      <c r="N797">
        <v>615</v>
      </c>
      <c r="O797">
        <v>5</v>
      </c>
      <c r="P797">
        <v>1</v>
      </c>
      <c r="Q797">
        <v>0</v>
      </c>
      <c r="R797">
        <v>3</v>
      </c>
      <c r="S797">
        <v>12</v>
      </c>
      <c r="T797">
        <v>42</v>
      </c>
      <c r="U797">
        <v>18</v>
      </c>
      <c r="V797">
        <v>3</v>
      </c>
      <c r="W797">
        <v>5</v>
      </c>
      <c r="X797">
        <v>0</v>
      </c>
      <c r="Y797">
        <v>2</v>
      </c>
      <c r="Z797">
        <v>0</v>
      </c>
      <c r="AA797">
        <v>5</v>
      </c>
      <c r="AB797">
        <v>7</v>
      </c>
      <c r="AC797">
        <v>1</v>
      </c>
      <c r="AD797">
        <v>30</v>
      </c>
      <c r="AE797">
        <v>70</v>
      </c>
      <c r="AF797">
        <v>4</v>
      </c>
      <c r="AG797">
        <v>8</v>
      </c>
      <c r="AH797">
        <v>8</v>
      </c>
      <c r="AI797">
        <v>0</v>
      </c>
      <c r="AJ797">
        <v>14</v>
      </c>
      <c r="AK797">
        <v>0</v>
      </c>
      <c r="AL797">
        <v>0</v>
      </c>
      <c r="AM797">
        <v>14</v>
      </c>
      <c r="AN797">
        <v>15</v>
      </c>
      <c r="AO797">
        <v>34</v>
      </c>
      <c r="AQ797" t="str">
        <f t="shared" si="12"/>
        <v>Midfielder</v>
      </c>
    </row>
    <row r="798" spans="1:43" x14ac:dyDescent="0.35">
      <c r="A798" t="s">
        <v>518</v>
      </c>
      <c r="B798" t="s">
        <v>46</v>
      </c>
      <c r="C798" t="s">
        <v>1664</v>
      </c>
      <c r="D798">
        <v>1989</v>
      </c>
      <c r="E798">
        <v>28</v>
      </c>
      <c r="F798" t="s">
        <v>84</v>
      </c>
      <c r="G798" t="s">
        <v>51</v>
      </c>
      <c r="H798">
        <v>4950000</v>
      </c>
      <c r="I798">
        <v>4950000</v>
      </c>
      <c r="J798" t="s">
        <v>55</v>
      </c>
      <c r="K798">
        <v>23</v>
      </c>
      <c r="L798">
        <v>1025</v>
      </c>
      <c r="M798">
        <v>2</v>
      </c>
      <c r="N798">
        <v>496</v>
      </c>
      <c r="O798">
        <v>3</v>
      </c>
      <c r="P798">
        <v>0</v>
      </c>
      <c r="Q798">
        <v>0</v>
      </c>
      <c r="R798">
        <v>12</v>
      </c>
      <c r="S798">
        <v>8</v>
      </c>
      <c r="T798">
        <v>34</v>
      </c>
      <c r="U798">
        <v>10</v>
      </c>
      <c r="V798">
        <v>0</v>
      </c>
      <c r="W798">
        <v>8</v>
      </c>
      <c r="X798">
        <v>0</v>
      </c>
      <c r="Y798">
        <v>0</v>
      </c>
      <c r="Z798">
        <v>0</v>
      </c>
      <c r="AA798">
        <v>3</v>
      </c>
      <c r="AB798">
        <v>4</v>
      </c>
      <c r="AC798">
        <v>24</v>
      </c>
      <c r="AD798">
        <v>26</v>
      </c>
      <c r="AE798">
        <v>37</v>
      </c>
      <c r="AF798">
        <v>1</v>
      </c>
      <c r="AG798">
        <v>2</v>
      </c>
      <c r="AH798">
        <v>6</v>
      </c>
      <c r="AI798">
        <v>0</v>
      </c>
      <c r="AJ798">
        <v>12</v>
      </c>
      <c r="AK798">
        <v>0</v>
      </c>
      <c r="AL798">
        <v>0</v>
      </c>
      <c r="AM798">
        <v>15</v>
      </c>
      <c r="AN798">
        <v>10</v>
      </c>
      <c r="AO798">
        <v>13</v>
      </c>
      <c r="AQ798" t="str">
        <f t="shared" si="12"/>
        <v>Midfielder</v>
      </c>
    </row>
    <row r="799" spans="1:43" x14ac:dyDescent="0.35">
      <c r="A799" t="s">
        <v>518</v>
      </c>
      <c r="B799" t="s">
        <v>43</v>
      </c>
      <c r="C799" t="s">
        <v>1665</v>
      </c>
      <c r="D799">
        <v>1989</v>
      </c>
      <c r="E799">
        <v>28</v>
      </c>
      <c r="F799" t="s">
        <v>84</v>
      </c>
      <c r="G799" t="s">
        <v>51</v>
      </c>
      <c r="H799">
        <v>350000</v>
      </c>
      <c r="I799">
        <v>750000</v>
      </c>
      <c r="J799" t="s">
        <v>55</v>
      </c>
      <c r="K799">
        <v>19</v>
      </c>
      <c r="L799">
        <v>1296</v>
      </c>
      <c r="M799">
        <v>5</v>
      </c>
      <c r="N799">
        <v>489</v>
      </c>
      <c r="O799">
        <v>2</v>
      </c>
      <c r="P799">
        <v>1</v>
      </c>
      <c r="Q799">
        <v>0</v>
      </c>
      <c r="R799">
        <v>2</v>
      </c>
      <c r="S799">
        <v>12</v>
      </c>
      <c r="T799">
        <v>45</v>
      </c>
      <c r="U799">
        <v>20</v>
      </c>
      <c r="V799">
        <v>1</v>
      </c>
      <c r="W799">
        <v>4</v>
      </c>
      <c r="X799">
        <v>0</v>
      </c>
      <c r="Y799">
        <v>1</v>
      </c>
      <c r="Z799">
        <v>1</v>
      </c>
      <c r="AA799">
        <v>0</v>
      </c>
      <c r="AB799">
        <v>4</v>
      </c>
      <c r="AC799">
        <v>25</v>
      </c>
      <c r="AD799">
        <v>38</v>
      </c>
      <c r="AE799">
        <v>71</v>
      </c>
      <c r="AF799">
        <v>6</v>
      </c>
      <c r="AG799">
        <v>6</v>
      </c>
      <c r="AH799">
        <v>6</v>
      </c>
      <c r="AI799">
        <v>0</v>
      </c>
      <c r="AJ799">
        <v>16</v>
      </c>
      <c r="AK799">
        <v>0</v>
      </c>
      <c r="AL799">
        <v>0</v>
      </c>
      <c r="AM799">
        <v>11</v>
      </c>
      <c r="AN799">
        <v>10</v>
      </c>
      <c r="AO799">
        <v>25</v>
      </c>
      <c r="AQ799" t="str">
        <f t="shared" si="12"/>
        <v>Midfielder</v>
      </c>
    </row>
    <row r="800" spans="1:43" x14ac:dyDescent="0.35">
      <c r="A800" t="s">
        <v>519</v>
      </c>
      <c r="B800" t="s">
        <v>46</v>
      </c>
      <c r="C800" t="s">
        <v>1666</v>
      </c>
      <c r="D800">
        <v>1993</v>
      </c>
      <c r="E800">
        <v>25</v>
      </c>
      <c r="F800" t="s">
        <v>169</v>
      </c>
      <c r="G800" t="s">
        <v>51</v>
      </c>
      <c r="H800">
        <v>4050000</v>
      </c>
      <c r="I800">
        <v>6300000</v>
      </c>
      <c r="J800" t="s">
        <v>55</v>
      </c>
      <c r="K800">
        <v>13</v>
      </c>
      <c r="L800">
        <v>366</v>
      </c>
      <c r="M800">
        <v>1</v>
      </c>
      <c r="N800">
        <v>88</v>
      </c>
      <c r="O800">
        <v>0</v>
      </c>
      <c r="P800">
        <v>1</v>
      </c>
      <c r="Q800">
        <v>0</v>
      </c>
      <c r="R800">
        <v>10</v>
      </c>
      <c r="S800">
        <v>1</v>
      </c>
      <c r="T800">
        <v>5</v>
      </c>
      <c r="U800">
        <v>3</v>
      </c>
      <c r="V800">
        <v>1</v>
      </c>
      <c r="W800">
        <v>1</v>
      </c>
      <c r="X800">
        <v>0</v>
      </c>
      <c r="Y800">
        <v>0</v>
      </c>
      <c r="Z800">
        <v>0</v>
      </c>
      <c r="AA800">
        <v>1</v>
      </c>
      <c r="AB800">
        <v>0</v>
      </c>
      <c r="AC800">
        <v>2</v>
      </c>
      <c r="AD800">
        <v>0</v>
      </c>
      <c r="AE800">
        <v>15</v>
      </c>
      <c r="AF800">
        <v>0</v>
      </c>
      <c r="AG800">
        <v>3</v>
      </c>
      <c r="AH800">
        <v>4</v>
      </c>
      <c r="AI800">
        <v>0</v>
      </c>
      <c r="AJ800">
        <v>12</v>
      </c>
      <c r="AK800">
        <v>0</v>
      </c>
      <c r="AL800">
        <v>0</v>
      </c>
      <c r="AM800">
        <v>4</v>
      </c>
      <c r="AN800">
        <v>3</v>
      </c>
      <c r="AO800">
        <v>9</v>
      </c>
      <c r="AQ800" t="str">
        <f t="shared" si="12"/>
        <v>Midfielder</v>
      </c>
    </row>
    <row r="801" spans="1:43" x14ac:dyDescent="0.35">
      <c r="A801" t="s">
        <v>520</v>
      </c>
      <c r="B801" t="s">
        <v>47</v>
      </c>
      <c r="C801" t="s">
        <v>1667</v>
      </c>
      <c r="D801">
        <v>1988</v>
      </c>
      <c r="E801">
        <v>28</v>
      </c>
      <c r="F801" t="s">
        <v>71</v>
      </c>
      <c r="G801" t="s">
        <v>397</v>
      </c>
      <c r="H801">
        <v>1800000</v>
      </c>
      <c r="I801">
        <v>3150000</v>
      </c>
      <c r="J801" t="s">
        <v>55</v>
      </c>
      <c r="K801">
        <v>15</v>
      </c>
      <c r="L801">
        <v>916</v>
      </c>
      <c r="M801">
        <v>0</v>
      </c>
      <c r="N801">
        <v>251</v>
      </c>
      <c r="O801">
        <v>4</v>
      </c>
      <c r="P801">
        <v>1</v>
      </c>
      <c r="Q801">
        <v>0</v>
      </c>
      <c r="R801">
        <v>3</v>
      </c>
      <c r="S801">
        <v>3</v>
      </c>
      <c r="T801">
        <v>24</v>
      </c>
      <c r="U801">
        <v>7</v>
      </c>
      <c r="V801">
        <v>1</v>
      </c>
      <c r="W801">
        <v>3</v>
      </c>
      <c r="X801">
        <v>0</v>
      </c>
      <c r="Y801">
        <v>0</v>
      </c>
      <c r="Z801">
        <v>0</v>
      </c>
      <c r="AA801">
        <v>6</v>
      </c>
      <c r="AB801">
        <v>0</v>
      </c>
      <c r="AC801">
        <v>1</v>
      </c>
      <c r="AD801">
        <v>44</v>
      </c>
      <c r="AE801">
        <v>84</v>
      </c>
      <c r="AF801">
        <v>0</v>
      </c>
      <c r="AG801">
        <v>8</v>
      </c>
      <c r="AH801">
        <v>12</v>
      </c>
      <c r="AI801">
        <v>0</v>
      </c>
      <c r="AJ801">
        <v>4</v>
      </c>
      <c r="AK801">
        <v>0</v>
      </c>
      <c r="AL801">
        <v>0</v>
      </c>
      <c r="AM801">
        <v>6</v>
      </c>
      <c r="AN801">
        <v>1</v>
      </c>
      <c r="AO801">
        <v>11</v>
      </c>
      <c r="AQ801" t="str">
        <f t="shared" si="12"/>
        <v>Midfielder</v>
      </c>
    </row>
    <row r="802" spans="1:43" x14ac:dyDescent="0.35">
      <c r="A802" t="s">
        <v>521</v>
      </c>
      <c r="B802" t="s">
        <v>46</v>
      </c>
      <c r="C802" t="s">
        <v>1668</v>
      </c>
      <c r="D802">
        <v>1997</v>
      </c>
      <c r="E802">
        <v>20</v>
      </c>
      <c r="F802" t="s">
        <v>58</v>
      </c>
      <c r="G802" t="s">
        <v>51</v>
      </c>
      <c r="H802">
        <v>1000000</v>
      </c>
      <c r="I802">
        <v>4500000</v>
      </c>
      <c r="J802" t="s">
        <v>42</v>
      </c>
      <c r="K802">
        <v>13</v>
      </c>
      <c r="L802">
        <v>874</v>
      </c>
      <c r="M802">
        <v>4</v>
      </c>
      <c r="N802">
        <v>212</v>
      </c>
      <c r="O802">
        <v>0</v>
      </c>
      <c r="P802">
        <v>0</v>
      </c>
      <c r="Q802">
        <v>0</v>
      </c>
      <c r="R802">
        <v>4</v>
      </c>
      <c r="S802">
        <v>1</v>
      </c>
      <c r="T802">
        <v>21</v>
      </c>
      <c r="U802">
        <v>12</v>
      </c>
      <c r="V802">
        <v>0</v>
      </c>
      <c r="W802">
        <v>0</v>
      </c>
      <c r="X802">
        <v>1</v>
      </c>
      <c r="Y802">
        <v>0</v>
      </c>
      <c r="Z802">
        <v>0</v>
      </c>
      <c r="AA802">
        <v>4</v>
      </c>
      <c r="AB802">
        <v>0</v>
      </c>
      <c r="AC802">
        <v>9</v>
      </c>
      <c r="AD802">
        <v>0</v>
      </c>
      <c r="AE802">
        <v>9</v>
      </c>
      <c r="AF802">
        <v>0</v>
      </c>
      <c r="AG802">
        <v>2</v>
      </c>
      <c r="AH802">
        <v>8</v>
      </c>
      <c r="AI802">
        <v>0</v>
      </c>
      <c r="AJ802">
        <v>5</v>
      </c>
      <c r="AK802">
        <v>0</v>
      </c>
      <c r="AL802">
        <v>0</v>
      </c>
      <c r="AM802">
        <v>0</v>
      </c>
      <c r="AN802">
        <v>10</v>
      </c>
      <c r="AO802">
        <v>49</v>
      </c>
      <c r="AQ802" t="str">
        <f t="shared" si="12"/>
        <v>Forward</v>
      </c>
    </row>
    <row r="803" spans="1:43" x14ac:dyDescent="0.35">
      <c r="A803" t="s">
        <v>522</v>
      </c>
      <c r="B803" t="s">
        <v>39</v>
      </c>
      <c r="C803" t="s">
        <v>1669</v>
      </c>
      <c r="D803">
        <v>1996</v>
      </c>
      <c r="E803">
        <v>18</v>
      </c>
      <c r="F803" t="s">
        <v>114</v>
      </c>
      <c r="G803" t="s">
        <v>105</v>
      </c>
      <c r="H803">
        <v>110000</v>
      </c>
      <c r="I803">
        <v>6300000</v>
      </c>
      <c r="J803" t="s">
        <v>42</v>
      </c>
      <c r="K803">
        <v>26</v>
      </c>
      <c r="L803">
        <v>751</v>
      </c>
      <c r="M803">
        <v>8</v>
      </c>
      <c r="N803">
        <v>346</v>
      </c>
      <c r="O803">
        <v>1</v>
      </c>
      <c r="P803">
        <v>1</v>
      </c>
      <c r="Q803">
        <v>0</v>
      </c>
      <c r="R803">
        <v>19</v>
      </c>
      <c r="S803">
        <v>5</v>
      </c>
      <c r="T803">
        <v>28</v>
      </c>
      <c r="U803">
        <v>12</v>
      </c>
      <c r="V803">
        <v>0</v>
      </c>
      <c r="W803">
        <v>3</v>
      </c>
      <c r="X803">
        <v>1</v>
      </c>
      <c r="Y803">
        <v>0</v>
      </c>
      <c r="Z803">
        <v>0</v>
      </c>
      <c r="AA803">
        <v>3</v>
      </c>
      <c r="AB803">
        <v>0</v>
      </c>
      <c r="AC803">
        <v>0</v>
      </c>
      <c r="AD803">
        <v>1</v>
      </c>
      <c r="AE803">
        <v>10</v>
      </c>
      <c r="AF803">
        <v>0</v>
      </c>
      <c r="AG803">
        <v>3</v>
      </c>
      <c r="AH803">
        <v>17</v>
      </c>
      <c r="AI803">
        <v>0</v>
      </c>
      <c r="AJ803">
        <v>14</v>
      </c>
      <c r="AK803">
        <v>0</v>
      </c>
      <c r="AL803">
        <v>0</v>
      </c>
      <c r="AM803">
        <v>6</v>
      </c>
      <c r="AN803">
        <v>14</v>
      </c>
      <c r="AO803">
        <v>49</v>
      </c>
      <c r="AQ803" t="str">
        <f t="shared" si="12"/>
        <v>Forward</v>
      </c>
    </row>
    <row r="804" spans="1:43" x14ac:dyDescent="0.35">
      <c r="A804" t="s">
        <v>522</v>
      </c>
      <c r="B804" t="s">
        <v>47</v>
      </c>
      <c r="C804" t="s">
        <v>1670</v>
      </c>
      <c r="D804">
        <v>1996</v>
      </c>
      <c r="E804">
        <v>19</v>
      </c>
      <c r="F804" t="s">
        <v>114</v>
      </c>
      <c r="G804" t="s">
        <v>105</v>
      </c>
      <c r="H804">
        <v>6300000</v>
      </c>
      <c r="I804">
        <v>13500000</v>
      </c>
      <c r="J804" t="s">
        <v>42</v>
      </c>
      <c r="K804">
        <v>20</v>
      </c>
      <c r="L804">
        <v>527</v>
      </c>
      <c r="M804">
        <v>4</v>
      </c>
      <c r="N804">
        <v>192</v>
      </c>
      <c r="O804">
        <v>3</v>
      </c>
      <c r="P804">
        <v>0</v>
      </c>
      <c r="Q804">
        <v>0</v>
      </c>
      <c r="R804">
        <v>15</v>
      </c>
      <c r="S804">
        <v>4</v>
      </c>
      <c r="T804">
        <v>22</v>
      </c>
      <c r="U804">
        <v>7</v>
      </c>
      <c r="V804">
        <v>0</v>
      </c>
      <c r="W804">
        <v>2</v>
      </c>
      <c r="X804">
        <v>0</v>
      </c>
      <c r="Y804">
        <v>0</v>
      </c>
      <c r="Z804">
        <v>0</v>
      </c>
      <c r="AA804">
        <v>6</v>
      </c>
      <c r="AB804">
        <v>3</v>
      </c>
      <c r="AC804">
        <v>3</v>
      </c>
      <c r="AD804">
        <v>0</v>
      </c>
      <c r="AE804">
        <v>4</v>
      </c>
      <c r="AF804">
        <v>0</v>
      </c>
      <c r="AG804">
        <v>0</v>
      </c>
      <c r="AH804">
        <v>8</v>
      </c>
      <c r="AI804">
        <v>0</v>
      </c>
      <c r="AJ804">
        <v>6</v>
      </c>
      <c r="AK804">
        <v>0</v>
      </c>
      <c r="AL804">
        <v>0</v>
      </c>
      <c r="AM804">
        <v>2</v>
      </c>
      <c r="AN804">
        <v>5</v>
      </c>
      <c r="AO804">
        <v>25</v>
      </c>
      <c r="AQ804" t="str">
        <f t="shared" si="12"/>
        <v>Forward</v>
      </c>
    </row>
    <row r="805" spans="1:43" x14ac:dyDescent="0.35">
      <c r="A805" t="s">
        <v>522</v>
      </c>
      <c r="B805" t="s">
        <v>43</v>
      </c>
      <c r="C805" t="s">
        <v>1671</v>
      </c>
      <c r="D805">
        <v>1996</v>
      </c>
      <c r="E805">
        <v>21</v>
      </c>
      <c r="F805" t="s">
        <v>99</v>
      </c>
      <c r="G805" t="s">
        <v>105</v>
      </c>
      <c r="H805">
        <v>13500000</v>
      </c>
      <c r="I805">
        <v>13500000</v>
      </c>
      <c r="J805" t="s">
        <v>42</v>
      </c>
      <c r="K805">
        <v>21</v>
      </c>
      <c r="L805">
        <v>824</v>
      </c>
      <c r="M805">
        <v>3</v>
      </c>
      <c r="N805">
        <v>246</v>
      </c>
      <c r="O805">
        <v>3</v>
      </c>
      <c r="P805">
        <v>2</v>
      </c>
      <c r="Q805">
        <v>0</v>
      </c>
      <c r="R805">
        <v>14</v>
      </c>
      <c r="S805">
        <v>7</v>
      </c>
      <c r="T805">
        <v>29</v>
      </c>
      <c r="U805">
        <v>11</v>
      </c>
      <c r="V805">
        <v>2</v>
      </c>
      <c r="W805">
        <v>3</v>
      </c>
      <c r="X805">
        <v>1</v>
      </c>
      <c r="Y805">
        <v>0</v>
      </c>
      <c r="Z805">
        <v>0</v>
      </c>
      <c r="AA805">
        <v>4</v>
      </c>
      <c r="AB805">
        <v>9</v>
      </c>
      <c r="AC805">
        <v>18</v>
      </c>
      <c r="AD805">
        <v>0</v>
      </c>
      <c r="AE805">
        <v>5</v>
      </c>
      <c r="AF805">
        <v>2</v>
      </c>
      <c r="AG805">
        <v>3</v>
      </c>
      <c r="AH805">
        <v>17</v>
      </c>
      <c r="AI805">
        <v>0</v>
      </c>
      <c r="AJ805">
        <v>9</v>
      </c>
      <c r="AK805">
        <v>0</v>
      </c>
      <c r="AL805">
        <v>0</v>
      </c>
      <c r="AM805">
        <v>4</v>
      </c>
      <c r="AN805">
        <v>6</v>
      </c>
      <c r="AO805">
        <v>18</v>
      </c>
      <c r="AQ805" t="str">
        <f t="shared" si="12"/>
        <v>Forward</v>
      </c>
    </row>
    <row r="806" spans="1:43" x14ac:dyDescent="0.35">
      <c r="A806" t="s">
        <v>522</v>
      </c>
      <c r="B806" t="s">
        <v>46</v>
      </c>
      <c r="C806" t="s">
        <v>1672</v>
      </c>
      <c r="D806">
        <v>1996</v>
      </c>
      <c r="E806">
        <v>21</v>
      </c>
      <c r="F806" t="s">
        <v>99</v>
      </c>
      <c r="G806" t="s">
        <v>105</v>
      </c>
      <c r="H806">
        <v>13500000</v>
      </c>
      <c r="I806">
        <v>10800000</v>
      </c>
      <c r="J806" t="s">
        <v>42</v>
      </c>
      <c r="K806">
        <v>30</v>
      </c>
      <c r="L806">
        <v>930</v>
      </c>
      <c r="M806">
        <v>1</v>
      </c>
      <c r="N806">
        <v>276</v>
      </c>
      <c r="O806">
        <v>3</v>
      </c>
      <c r="P806">
        <v>2</v>
      </c>
      <c r="Q806">
        <v>0</v>
      </c>
      <c r="R806">
        <v>21</v>
      </c>
      <c r="S806">
        <v>6</v>
      </c>
      <c r="T806">
        <v>18</v>
      </c>
      <c r="U806">
        <v>6</v>
      </c>
      <c r="V806">
        <v>0</v>
      </c>
      <c r="W806">
        <v>1</v>
      </c>
      <c r="X806">
        <v>0</v>
      </c>
      <c r="Y806">
        <v>0</v>
      </c>
      <c r="Z806">
        <v>0</v>
      </c>
      <c r="AA806">
        <v>8</v>
      </c>
      <c r="AB806">
        <v>7</v>
      </c>
      <c r="AC806">
        <v>12</v>
      </c>
      <c r="AD806">
        <v>0</v>
      </c>
      <c r="AE806">
        <v>6</v>
      </c>
      <c r="AF806">
        <v>0</v>
      </c>
      <c r="AG806">
        <v>2</v>
      </c>
      <c r="AH806">
        <v>14</v>
      </c>
      <c r="AI806">
        <v>0</v>
      </c>
      <c r="AJ806">
        <v>6</v>
      </c>
      <c r="AK806">
        <v>0</v>
      </c>
      <c r="AL806">
        <v>0</v>
      </c>
      <c r="AM806">
        <v>2</v>
      </c>
      <c r="AN806">
        <v>14</v>
      </c>
      <c r="AO806">
        <v>36</v>
      </c>
      <c r="AQ806" t="str">
        <f t="shared" si="12"/>
        <v>Forward</v>
      </c>
    </row>
    <row r="807" spans="1:43" x14ac:dyDescent="0.35">
      <c r="A807" t="s">
        <v>523</v>
      </c>
      <c r="B807" t="s">
        <v>46</v>
      </c>
      <c r="C807" t="s">
        <v>1673</v>
      </c>
      <c r="D807">
        <v>1993</v>
      </c>
      <c r="E807">
        <v>24</v>
      </c>
      <c r="F807" t="s">
        <v>66</v>
      </c>
      <c r="G807" t="s">
        <v>484</v>
      </c>
      <c r="H807">
        <v>6600000</v>
      </c>
      <c r="I807">
        <v>8800000</v>
      </c>
      <c r="J807" t="s">
        <v>55</v>
      </c>
      <c r="K807">
        <v>17</v>
      </c>
      <c r="L807">
        <v>755</v>
      </c>
      <c r="M807">
        <v>1</v>
      </c>
      <c r="N807">
        <v>236</v>
      </c>
      <c r="O807">
        <v>2</v>
      </c>
      <c r="P807">
        <v>0</v>
      </c>
      <c r="Q807">
        <v>0</v>
      </c>
      <c r="R807">
        <v>8</v>
      </c>
      <c r="S807">
        <v>9</v>
      </c>
      <c r="T807">
        <v>12</v>
      </c>
      <c r="U807">
        <v>4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1</v>
      </c>
      <c r="AB807">
        <v>0</v>
      </c>
      <c r="AC807">
        <v>8</v>
      </c>
      <c r="AD807">
        <v>5</v>
      </c>
      <c r="AE807">
        <v>10</v>
      </c>
      <c r="AF807">
        <v>0</v>
      </c>
      <c r="AG807">
        <v>8</v>
      </c>
      <c r="AH807">
        <v>13</v>
      </c>
      <c r="AI807">
        <v>0</v>
      </c>
      <c r="AJ807">
        <v>16</v>
      </c>
      <c r="AK807">
        <v>0</v>
      </c>
      <c r="AL807">
        <v>0</v>
      </c>
      <c r="AM807">
        <v>4</v>
      </c>
      <c r="AN807">
        <v>20</v>
      </c>
      <c r="AO807">
        <v>18</v>
      </c>
      <c r="AQ807" t="str">
        <f t="shared" si="12"/>
        <v>Midfielder</v>
      </c>
    </row>
    <row r="808" spans="1:43" x14ac:dyDescent="0.35">
      <c r="A808" t="s">
        <v>524</v>
      </c>
      <c r="B808" t="s">
        <v>39</v>
      </c>
      <c r="C808" t="s">
        <v>1674</v>
      </c>
      <c r="D808">
        <v>1996</v>
      </c>
      <c r="E808">
        <v>19</v>
      </c>
      <c r="F808" t="s">
        <v>44</v>
      </c>
      <c r="G808" t="s">
        <v>154</v>
      </c>
      <c r="H808">
        <v>11000000</v>
      </c>
      <c r="I808">
        <v>11000000</v>
      </c>
      <c r="J808" t="s">
        <v>55</v>
      </c>
      <c r="K808">
        <v>14</v>
      </c>
      <c r="L808">
        <v>550</v>
      </c>
      <c r="M808">
        <v>1</v>
      </c>
      <c r="N808">
        <v>290</v>
      </c>
      <c r="O808">
        <v>0</v>
      </c>
      <c r="P808">
        <v>0</v>
      </c>
      <c r="Q808">
        <v>0</v>
      </c>
      <c r="R808">
        <v>10</v>
      </c>
      <c r="S808">
        <v>3</v>
      </c>
      <c r="T808">
        <v>13</v>
      </c>
      <c r="U808">
        <v>3</v>
      </c>
      <c r="V808">
        <v>0</v>
      </c>
      <c r="W808">
        <v>3</v>
      </c>
      <c r="X808">
        <v>0</v>
      </c>
      <c r="Y808">
        <v>0</v>
      </c>
      <c r="Z808">
        <v>0</v>
      </c>
      <c r="AA808">
        <v>2</v>
      </c>
      <c r="AB808">
        <v>2</v>
      </c>
      <c r="AC808">
        <v>0</v>
      </c>
      <c r="AD808">
        <v>2</v>
      </c>
      <c r="AE808">
        <v>12</v>
      </c>
      <c r="AF808">
        <v>0</v>
      </c>
      <c r="AG808">
        <v>13</v>
      </c>
      <c r="AH808">
        <v>6</v>
      </c>
      <c r="AI808">
        <v>0</v>
      </c>
      <c r="AJ808">
        <v>14</v>
      </c>
      <c r="AK808">
        <v>0</v>
      </c>
      <c r="AL808">
        <v>0</v>
      </c>
      <c r="AM808">
        <v>6</v>
      </c>
      <c r="AN808">
        <v>6</v>
      </c>
      <c r="AO808">
        <v>8</v>
      </c>
      <c r="AQ808" t="str">
        <f t="shared" si="12"/>
        <v>Midfielder</v>
      </c>
    </row>
    <row r="809" spans="1:43" x14ac:dyDescent="0.35">
      <c r="A809" t="s">
        <v>524</v>
      </c>
      <c r="B809" t="s">
        <v>46</v>
      </c>
      <c r="C809" t="s">
        <v>1675</v>
      </c>
      <c r="D809">
        <v>1996</v>
      </c>
      <c r="E809">
        <v>22</v>
      </c>
      <c r="F809" t="s">
        <v>117</v>
      </c>
      <c r="G809" t="s">
        <v>154</v>
      </c>
      <c r="H809">
        <v>7700000</v>
      </c>
      <c r="I809">
        <v>11000000</v>
      </c>
      <c r="J809" t="s">
        <v>55</v>
      </c>
      <c r="K809">
        <v>25</v>
      </c>
      <c r="L809">
        <v>1343</v>
      </c>
      <c r="M809">
        <v>1</v>
      </c>
      <c r="N809">
        <v>462</v>
      </c>
      <c r="O809">
        <v>1</v>
      </c>
      <c r="P809">
        <v>1</v>
      </c>
      <c r="Q809">
        <v>0</v>
      </c>
      <c r="R809">
        <v>11</v>
      </c>
      <c r="S809">
        <v>7</v>
      </c>
      <c r="T809">
        <v>31</v>
      </c>
      <c r="U809">
        <v>6</v>
      </c>
      <c r="V809">
        <v>2</v>
      </c>
      <c r="W809">
        <v>7</v>
      </c>
      <c r="X809">
        <v>0</v>
      </c>
      <c r="Y809">
        <v>0</v>
      </c>
      <c r="Z809">
        <v>0</v>
      </c>
      <c r="AA809">
        <v>5</v>
      </c>
      <c r="AB809">
        <v>1</v>
      </c>
      <c r="AC809">
        <v>25</v>
      </c>
      <c r="AD809">
        <v>5</v>
      </c>
      <c r="AE809">
        <v>28</v>
      </c>
      <c r="AF809">
        <v>0</v>
      </c>
      <c r="AG809">
        <v>32</v>
      </c>
      <c r="AH809">
        <v>19</v>
      </c>
      <c r="AI809">
        <v>0</v>
      </c>
      <c r="AJ809">
        <v>30</v>
      </c>
      <c r="AK809">
        <v>0</v>
      </c>
      <c r="AL809">
        <v>0</v>
      </c>
      <c r="AM809">
        <v>19</v>
      </c>
      <c r="AN809">
        <v>7</v>
      </c>
      <c r="AO809">
        <v>15</v>
      </c>
      <c r="AQ809" t="str">
        <f t="shared" si="12"/>
        <v>Midfielder</v>
      </c>
    </row>
    <row r="810" spans="1:43" x14ac:dyDescent="0.35">
      <c r="A810" t="s">
        <v>524</v>
      </c>
      <c r="B810" t="s">
        <v>43</v>
      </c>
      <c r="C810" t="s">
        <v>1676</v>
      </c>
      <c r="D810">
        <v>1996</v>
      </c>
      <c r="E810">
        <v>21</v>
      </c>
      <c r="F810" t="s">
        <v>117</v>
      </c>
      <c r="G810" t="s">
        <v>154</v>
      </c>
      <c r="H810">
        <v>49500000</v>
      </c>
      <c r="I810">
        <v>66000000</v>
      </c>
      <c r="J810" t="s">
        <v>55</v>
      </c>
      <c r="K810">
        <v>13</v>
      </c>
      <c r="L810">
        <v>1030</v>
      </c>
      <c r="M810">
        <v>2</v>
      </c>
      <c r="N810">
        <v>351</v>
      </c>
      <c r="O810">
        <v>2</v>
      </c>
      <c r="P810">
        <v>1</v>
      </c>
      <c r="Q810">
        <v>0</v>
      </c>
      <c r="R810">
        <v>0</v>
      </c>
      <c r="S810">
        <v>7</v>
      </c>
      <c r="T810">
        <v>23</v>
      </c>
      <c r="U810">
        <v>5</v>
      </c>
      <c r="V810">
        <v>3</v>
      </c>
      <c r="W810">
        <v>5</v>
      </c>
      <c r="X810">
        <v>0</v>
      </c>
      <c r="Y810">
        <v>0</v>
      </c>
      <c r="Z810">
        <v>0</v>
      </c>
      <c r="AA810">
        <v>0</v>
      </c>
      <c r="AB810">
        <v>2</v>
      </c>
      <c r="AC810">
        <v>18</v>
      </c>
      <c r="AD810">
        <v>22</v>
      </c>
      <c r="AE810">
        <v>38</v>
      </c>
      <c r="AF810">
        <v>1</v>
      </c>
      <c r="AG810">
        <v>14</v>
      </c>
      <c r="AH810">
        <v>15</v>
      </c>
      <c r="AI810">
        <v>0</v>
      </c>
      <c r="AJ810">
        <v>31</v>
      </c>
      <c r="AK810">
        <v>0</v>
      </c>
      <c r="AL810">
        <v>0</v>
      </c>
      <c r="AM810">
        <v>9</v>
      </c>
      <c r="AN810">
        <v>2</v>
      </c>
      <c r="AO810">
        <v>17</v>
      </c>
      <c r="AQ810" t="str">
        <f t="shared" si="12"/>
        <v>Midfielder</v>
      </c>
    </row>
    <row r="811" spans="1:43" x14ac:dyDescent="0.35">
      <c r="A811" t="s">
        <v>525</v>
      </c>
      <c r="B811" t="s">
        <v>46</v>
      </c>
      <c r="C811" t="s">
        <v>1677</v>
      </c>
      <c r="D811">
        <v>1994</v>
      </c>
      <c r="E811">
        <v>24</v>
      </c>
      <c r="F811" t="s">
        <v>169</v>
      </c>
      <c r="G811" t="s">
        <v>152</v>
      </c>
      <c r="H811">
        <v>8800000</v>
      </c>
      <c r="I811">
        <v>6300000</v>
      </c>
      <c r="J811" t="s">
        <v>42</v>
      </c>
      <c r="K811">
        <v>19</v>
      </c>
      <c r="L811">
        <v>746</v>
      </c>
      <c r="M811">
        <v>1</v>
      </c>
      <c r="N811">
        <v>136</v>
      </c>
      <c r="O811">
        <v>1</v>
      </c>
      <c r="P811">
        <v>1</v>
      </c>
      <c r="Q811">
        <v>0</v>
      </c>
      <c r="R811">
        <v>12</v>
      </c>
      <c r="S811">
        <v>5</v>
      </c>
      <c r="T811">
        <v>17</v>
      </c>
      <c r="U811">
        <v>8</v>
      </c>
      <c r="V811">
        <v>0</v>
      </c>
      <c r="W811">
        <v>5</v>
      </c>
      <c r="X811">
        <v>0</v>
      </c>
      <c r="Y811">
        <v>0</v>
      </c>
      <c r="Z811">
        <v>0</v>
      </c>
      <c r="AA811">
        <v>4</v>
      </c>
      <c r="AB811">
        <v>0</v>
      </c>
      <c r="AC811">
        <v>9</v>
      </c>
      <c r="AD811">
        <v>0</v>
      </c>
      <c r="AE811">
        <v>7</v>
      </c>
      <c r="AF811">
        <v>2</v>
      </c>
      <c r="AG811">
        <v>2</v>
      </c>
      <c r="AH811">
        <v>13</v>
      </c>
      <c r="AI811">
        <v>0</v>
      </c>
      <c r="AJ811">
        <v>3</v>
      </c>
      <c r="AK811">
        <v>0</v>
      </c>
      <c r="AL811">
        <v>0</v>
      </c>
      <c r="AM811">
        <v>5</v>
      </c>
      <c r="AN811">
        <v>41</v>
      </c>
      <c r="AO811">
        <v>75</v>
      </c>
      <c r="AQ811" t="str">
        <f t="shared" si="12"/>
        <v>Forward</v>
      </c>
    </row>
    <row r="812" spans="1:43" x14ac:dyDescent="0.35">
      <c r="A812" t="s">
        <v>526</v>
      </c>
      <c r="B812" t="s">
        <v>39</v>
      </c>
      <c r="C812" t="s">
        <v>1678</v>
      </c>
      <c r="D812">
        <v>1991</v>
      </c>
      <c r="E812">
        <v>24</v>
      </c>
      <c r="F812" t="s">
        <v>114</v>
      </c>
      <c r="G812" t="s">
        <v>95</v>
      </c>
      <c r="H812">
        <v>66000000</v>
      </c>
      <c r="I812">
        <v>71500000</v>
      </c>
      <c r="J812" t="s">
        <v>55</v>
      </c>
      <c r="K812">
        <v>25</v>
      </c>
      <c r="L812">
        <v>2003</v>
      </c>
      <c r="M812">
        <v>7</v>
      </c>
      <c r="N812">
        <v>1127</v>
      </c>
      <c r="O812">
        <v>9</v>
      </c>
      <c r="P812">
        <v>2</v>
      </c>
      <c r="Q812">
        <v>0</v>
      </c>
      <c r="R812">
        <v>3</v>
      </c>
      <c r="S812">
        <v>4</v>
      </c>
      <c r="T812">
        <v>49</v>
      </c>
      <c r="U812">
        <v>25</v>
      </c>
      <c r="V812">
        <v>1</v>
      </c>
      <c r="W812">
        <v>9</v>
      </c>
      <c r="X812">
        <v>0</v>
      </c>
      <c r="Y812">
        <v>0</v>
      </c>
      <c r="Z812">
        <v>0</v>
      </c>
      <c r="AA812">
        <v>8</v>
      </c>
      <c r="AB812">
        <v>15</v>
      </c>
      <c r="AC812">
        <v>3</v>
      </c>
      <c r="AD812">
        <v>89</v>
      </c>
      <c r="AE812">
        <v>181</v>
      </c>
      <c r="AF812">
        <v>0</v>
      </c>
      <c r="AG812">
        <v>18</v>
      </c>
      <c r="AH812">
        <v>16</v>
      </c>
      <c r="AI812">
        <v>0</v>
      </c>
      <c r="AJ812">
        <v>28</v>
      </c>
      <c r="AK812">
        <v>0</v>
      </c>
      <c r="AL812">
        <v>0</v>
      </c>
      <c r="AM812">
        <v>13</v>
      </c>
      <c r="AN812">
        <v>12</v>
      </c>
      <c r="AO812">
        <v>29</v>
      </c>
      <c r="AQ812" t="str">
        <f t="shared" si="12"/>
        <v>Midfielder</v>
      </c>
    </row>
    <row r="813" spans="1:43" x14ac:dyDescent="0.35">
      <c r="A813" t="s">
        <v>526</v>
      </c>
      <c r="B813" t="s">
        <v>47</v>
      </c>
      <c r="C813" t="s">
        <v>1679</v>
      </c>
      <c r="D813">
        <v>1991</v>
      </c>
      <c r="E813">
        <v>25</v>
      </c>
      <c r="F813" t="s">
        <v>114</v>
      </c>
      <c r="G813" t="s">
        <v>95</v>
      </c>
      <c r="H813">
        <v>71500000</v>
      </c>
      <c r="I813">
        <v>165000000</v>
      </c>
      <c r="J813" t="s">
        <v>55</v>
      </c>
      <c r="K813">
        <v>36</v>
      </c>
      <c r="L813">
        <v>2883</v>
      </c>
      <c r="M813">
        <v>6</v>
      </c>
      <c r="N813">
        <v>1801</v>
      </c>
      <c r="O813">
        <v>18</v>
      </c>
      <c r="P813">
        <v>4</v>
      </c>
      <c r="Q813">
        <v>0</v>
      </c>
      <c r="R813">
        <v>3</v>
      </c>
      <c r="S813">
        <v>11</v>
      </c>
      <c r="T813">
        <v>86</v>
      </c>
      <c r="U813">
        <v>21</v>
      </c>
      <c r="V813">
        <v>9</v>
      </c>
      <c r="W813">
        <v>3</v>
      </c>
      <c r="X813">
        <v>0</v>
      </c>
      <c r="Y813">
        <v>0</v>
      </c>
      <c r="Z813">
        <v>1</v>
      </c>
      <c r="AA813">
        <v>2</v>
      </c>
      <c r="AB813">
        <v>31</v>
      </c>
      <c r="AC813">
        <v>3</v>
      </c>
      <c r="AD813">
        <v>137</v>
      </c>
      <c r="AE813">
        <v>275</v>
      </c>
      <c r="AF813">
        <v>1</v>
      </c>
      <c r="AG813">
        <v>24</v>
      </c>
      <c r="AH813">
        <v>37</v>
      </c>
      <c r="AI813">
        <v>0</v>
      </c>
      <c r="AJ813">
        <v>50</v>
      </c>
      <c r="AK813">
        <v>0</v>
      </c>
      <c r="AL813">
        <v>0</v>
      </c>
      <c r="AM813">
        <v>8</v>
      </c>
      <c r="AN813">
        <v>14</v>
      </c>
      <c r="AO813">
        <v>27</v>
      </c>
      <c r="AQ813" t="str">
        <f t="shared" si="12"/>
        <v>Midfielder</v>
      </c>
    </row>
    <row r="814" spans="1:43" x14ac:dyDescent="0.35">
      <c r="A814" t="s">
        <v>526</v>
      </c>
      <c r="B814" t="s">
        <v>43</v>
      </c>
      <c r="C814" t="s">
        <v>1680</v>
      </c>
      <c r="D814">
        <v>1991</v>
      </c>
      <c r="E814">
        <v>26</v>
      </c>
      <c r="F814" t="s">
        <v>114</v>
      </c>
      <c r="G814" t="s">
        <v>95</v>
      </c>
      <c r="H814">
        <v>165000000</v>
      </c>
      <c r="I814">
        <v>143000000</v>
      </c>
      <c r="J814" t="s">
        <v>55</v>
      </c>
      <c r="K814">
        <v>37</v>
      </c>
      <c r="L814">
        <v>3083</v>
      </c>
      <c r="M814">
        <v>8</v>
      </c>
      <c r="N814">
        <v>2693</v>
      </c>
      <c r="O814">
        <v>16</v>
      </c>
      <c r="P814">
        <v>2</v>
      </c>
      <c r="Q814">
        <v>0</v>
      </c>
      <c r="R814">
        <v>1</v>
      </c>
      <c r="S814">
        <v>13</v>
      </c>
      <c r="T814">
        <v>94</v>
      </c>
      <c r="U814">
        <v>39</v>
      </c>
      <c r="V814">
        <v>4</v>
      </c>
      <c r="W814">
        <v>3</v>
      </c>
      <c r="X814">
        <v>0</v>
      </c>
      <c r="Y814">
        <v>0</v>
      </c>
      <c r="Z814">
        <v>1</v>
      </c>
      <c r="AA814">
        <v>2</v>
      </c>
      <c r="AB814">
        <v>41</v>
      </c>
      <c r="AC814">
        <v>55</v>
      </c>
      <c r="AD814">
        <v>151</v>
      </c>
      <c r="AE814">
        <v>248</v>
      </c>
      <c r="AF814">
        <v>2</v>
      </c>
      <c r="AG814">
        <v>25</v>
      </c>
      <c r="AH814">
        <v>30</v>
      </c>
      <c r="AI814">
        <v>0</v>
      </c>
      <c r="AJ814">
        <v>62</v>
      </c>
      <c r="AK814">
        <v>0</v>
      </c>
      <c r="AL814">
        <v>0</v>
      </c>
      <c r="AM814">
        <v>12</v>
      </c>
      <c r="AN814">
        <v>15</v>
      </c>
      <c r="AO814">
        <v>16</v>
      </c>
      <c r="AQ814" t="str">
        <f t="shared" si="12"/>
        <v>Midfielder</v>
      </c>
    </row>
    <row r="815" spans="1:43" x14ac:dyDescent="0.35">
      <c r="A815" t="s">
        <v>526</v>
      </c>
      <c r="B815" t="s">
        <v>46</v>
      </c>
      <c r="C815" t="s">
        <v>1681</v>
      </c>
      <c r="D815">
        <v>1991</v>
      </c>
      <c r="E815">
        <v>27</v>
      </c>
      <c r="F815" t="s">
        <v>114</v>
      </c>
      <c r="G815" t="s">
        <v>95</v>
      </c>
      <c r="H815">
        <v>3600000</v>
      </c>
      <c r="I815">
        <v>2700000</v>
      </c>
      <c r="J815" t="s">
        <v>55</v>
      </c>
      <c r="K815">
        <v>19</v>
      </c>
      <c r="L815">
        <v>974</v>
      </c>
      <c r="M815">
        <v>2</v>
      </c>
      <c r="N815">
        <v>725</v>
      </c>
      <c r="O815">
        <v>2</v>
      </c>
      <c r="P815">
        <v>2</v>
      </c>
      <c r="Q815">
        <v>0</v>
      </c>
      <c r="R815">
        <v>8</v>
      </c>
      <c r="S815">
        <v>7</v>
      </c>
      <c r="T815">
        <v>31</v>
      </c>
      <c r="U815">
        <v>12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1</v>
      </c>
      <c r="AB815">
        <v>10</v>
      </c>
      <c r="AC815">
        <v>19</v>
      </c>
      <c r="AD815">
        <v>51</v>
      </c>
      <c r="AE815">
        <v>91</v>
      </c>
      <c r="AF815">
        <v>1</v>
      </c>
      <c r="AG815">
        <v>3</v>
      </c>
      <c r="AH815">
        <v>10</v>
      </c>
      <c r="AI815">
        <v>0</v>
      </c>
      <c r="AJ815">
        <v>22</v>
      </c>
      <c r="AK815">
        <v>0</v>
      </c>
      <c r="AL815">
        <v>0</v>
      </c>
      <c r="AM815">
        <v>2</v>
      </c>
      <c r="AN815">
        <v>6</v>
      </c>
      <c r="AO815">
        <v>11</v>
      </c>
      <c r="AQ815" t="str">
        <f t="shared" si="12"/>
        <v>Midfielder</v>
      </c>
    </row>
    <row r="816" spans="1:43" x14ac:dyDescent="0.35">
      <c r="A816" t="s">
        <v>527</v>
      </c>
      <c r="B816" t="s">
        <v>43</v>
      </c>
      <c r="C816" t="s">
        <v>1682</v>
      </c>
      <c r="D816">
        <v>1990</v>
      </c>
      <c r="E816">
        <v>27</v>
      </c>
      <c r="F816" t="s">
        <v>56</v>
      </c>
      <c r="G816" t="s">
        <v>260</v>
      </c>
      <c r="H816">
        <v>550000</v>
      </c>
      <c r="I816">
        <v>2750000</v>
      </c>
      <c r="J816" t="s">
        <v>52</v>
      </c>
      <c r="K816">
        <v>16</v>
      </c>
      <c r="L816">
        <v>1440</v>
      </c>
      <c r="M816">
        <v>1</v>
      </c>
      <c r="N816">
        <v>541</v>
      </c>
      <c r="O816">
        <v>2</v>
      </c>
      <c r="P816">
        <v>1</v>
      </c>
      <c r="Q816">
        <v>0</v>
      </c>
      <c r="R816">
        <v>0</v>
      </c>
      <c r="S816">
        <v>0</v>
      </c>
      <c r="T816">
        <v>10</v>
      </c>
      <c r="U816">
        <v>2</v>
      </c>
      <c r="V816">
        <v>1</v>
      </c>
      <c r="W816">
        <v>76</v>
      </c>
      <c r="X816">
        <v>1</v>
      </c>
      <c r="Y816">
        <v>0</v>
      </c>
      <c r="Z816">
        <v>0</v>
      </c>
      <c r="AA816">
        <v>0</v>
      </c>
      <c r="AB816">
        <v>0</v>
      </c>
      <c r="AC816">
        <v>8</v>
      </c>
      <c r="AD816">
        <v>0</v>
      </c>
      <c r="AE816">
        <v>2</v>
      </c>
      <c r="AF816">
        <v>14</v>
      </c>
      <c r="AG816">
        <v>19</v>
      </c>
      <c r="AH816">
        <v>15</v>
      </c>
      <c r="AI816">
        <v>0</v>
      </c>
      <c r="AJ816">
        <v>32</v>
      </c>
      <c r="AK816">
        <v>1</v>
      </c>
      <c r="AL816">
        <v>1</v>
      </c>
      <c r="AM816">
        <v>127</v>
      </c>
      <c r="AN816">
        <v>80</v>
      </c>
      <c r="AO816">
        <v>58</v>
      </c>
      <c r="AQ816" t="str">
        <f t="shared" si="12"/>
        <v>Defensive Forward</v>
      </c>
    </row>
    <row r="817" spans="1:43" x14ac:dyDescent="0.35">
      <c r="A817" t="s">
        <v>528</v>
      </c>
      <c r="B817" t="s">
        <v>46</v>
      </c>
      <c r="C817" t="s">
        <v>1683</v>
      </c>
      <c r="D817">
        <v>1988</v>
      </c>
      <c r="E817">
        <v>29</v>
      </c>
      <c r="F817" t="s">
        <v>74</v>
      </c>
      <c r="G817" t="s">
        <v>108</v>
      </c>
      <c r="H817">
        <v>16500000</v>
      </c>
      <c r="I817">
        <v>14300000</v>
      </c>
      <c r="J817" t="s">
        <v>55</v>
      </c>
      <c r="K817">
        <v>15</v>
      </c>
      <c r="L817">
        <v>842</v>
      </c>
      <c r="M817">
        <v>0</v>
      </c>
      <c r="N817">
        <v>578</v>
      </c>
      <c r="O817">
        <v>0</v>
      </c>
      <c r="P817">
        <v>4</v>
      </c>
      <c r="Q817">
        <v>1</v>
      </c>
      <c r="R817">
        <v>5</v>
      </c>
      <c r="S817">
        <v>5</v>
      </c>
      <c r="T817">
        <v>4</v>
      </c>
      <c r="U817">
        <v>0</v>
      </c>
      <c r="V817">
        <v>0</v>
      </c>
      <c r="W817">
        <v>7</v>
      </c>
      <c r="X817">
        <v>0</v>
      </c>
      <c r="Y817">
        <v>0</v>
      </c>
      <c r="Z817">
        <v>0</v>
      </c>
      <c r="AA817">
        <v>0</v>
      </c>
      <c r="AB817">
        <v>2</v>
      </c>
      <c r="AC817">
        <v>4</v>
      </c>
      <c r="AD817">
        <v>0</v>
      </c>
      <c r="AE817">
        <v>1</v>
      </c>
      <c r="AF817">
        <v>2</v>
      </c>
      <c r="AG817">
        <v>9</v>
      </c>
      <c r="AH817">
        <v>12</v>
      </c>
      <c r="AI817">
        <v>0</v>
      </c>
      <c r="AJ817">
        <v>15</v>
      </c>
      <c r="AK817">
        <v>0</v>
      </c>
      <c r="AL817">
        <v>0</v>
      </c>
      <c r="AM817">
        <v>20</v>
      </c>
      <c r="AN817">
        <v>19</v>
      </c>
      <c r="AO817">
        <v>4</v>
      </c>
      <c r="AQ817" t="str">
        <f t="shared" si="12"/>
        <v>Midfielder</v>
      </c>
    </row>
    <row r="818" spans="1:43" x14ac:dyDescent="0.35">
      <c r="A818" t="s">
        <v>529</v>
      </c>
      <c r="B818" t="s">
        <v>39</v>
      </c>
      <c r="C818" t="s">
        <v>1684</v>
      </c>
      <c r="D818">
        <v>1987</v>
      </c>
      <c r="E818">
        <v>27</v>
      </c>
      <c r="F818" t="s">
        <v>54</v>
      </c>
      <c r="G818" t="s">
        <v>95</v>
      </c>
      <c r="H818">
        <v>14300000</v>
      </c>
      <c r="I818">
        <v>14300000</v>
      </c>
      <c r="J818" t="s">
        <v>55</v>
      </c>
      <c r="K818">
        <v>11</v>
      </c>
      <c r="L818">
        <v>1003</v>
      </c>
      <c r="M818">
        <v>4</v>
      </c>
      <c r="N818">
        <v>329</v>
      </c>
      <c r="O818">
        <v>2</v>
      </c>
      <c r="P818">
        <v>0</v>
      </c>
      <c r="Q818">
        <v>2</v>
      </c>
      <c r="R818">
        <v>13</v>
      </c>
      <c r="S818">
        <v>4</v>
      </c>
      <c r="T818">
        <v>41</v>
      </c>
      <c r="U818">
        <v>16</v>
      </c>
      <c r="V818">
        <v>0</v>
      </c>
      <c r="W818">
        <v>1</v>
      </c>
      <c r="X818">
        <v>0</v>
      </c>
      <c r="Y818">
        <v>0</v>
      </c>
      <c r="Z818">
        <v>0</v>
      </c>
      <c r="AA818">
        <v>7</v>
      </c>
      <c r="AB818">
        <v>2</v>
      </c>
      <c r="AC818">
        <v>3</v>
      </c>
      <c r="AD818">
        <v>24</v>
      </c>
      <c r="AE818">
        <v>45</v>
      </c>
      <c r="AF818">
        <v>1</v>
      </c>
      <c r="AG818">
        <v>9</v>
      </c>
      <c r="AH818">
        <v>14</v>
      </c>
      <c r="AI818">
        <v>0</v>
      </c>
      <c r="AJ818">
        <v>14</v>
      </c>
      <c r="AK818">
        <v>0</v>
      </c>
      <c r="AL818">
        <v>0</v>
      </c>
      <c r="AM818">
        <v>6</v>
      </c>
      <c r="AN818">
        <v>6</v>
      </c>
      <c r="AO818">
        <v>15</v>
      </c>
      <c r="AQ818" t="str">
        <f t="shared" si="12"/>
        <v>Midfielder</v>
      </c>
    </row>
    <row r="819" spans="1:43" x14ac:dyDescent="0.35">
      <c r="A819" t="s">
        <v>529</v>
      </c>
      <c r="B819" t="s">
        <v>47</v>
      </c>
      <c r="C819" t="s">
        <v>1685</v>
      </c>
      <c r="D819">
        <v>1987</v>
      </c>
      <c r="E819">
        <v>28</v>
      </c>
      <c r="F819" t="s">
        <v>54</v>
      </c>
      <c r="G819" t="s">
        <v>95</v>
      </c>
      <c r="H819">
        <v>11000000</v>
      </c>
      <c r="I819">
        <v>8250000</v>
      </c>
      <c r="J819" t="s">
        <v>55</v>
      </c>
      <c r="K819">
        <v>35</v>
      </c>
      <c r="L819">
        <v>2080</v>
      </c>
      <c r="M819">
        <v>4</v>
      </c>
      <c r="N819">
        <v>720</v>
      </c>
      <c r="O819">
        <v>6</v>
      </c>
      <c r="P819">
        <v>2</v>
      </c>
      <c r="Q819">
        <v>0</v>
      </c>
      <c r="R819">
        <v>12</v>
      </c>
      <c r="S819">
        <v>18</v>
      </c>
      <c r="T819">
        <v>61</v>
      </c>
      <c r="U819">
        <v>23</v>
      </c>
      <c r="V819">
        <v>0</v>
      </c>
      <c r="W819">
        <v>7</v>
      </c>
      <c r="X819">
        <v>0</v>
      </c>
      <c r="Y819">
        <v>0</v>
      </c>
      <c r="Z819">
        <v>0</v>
      </c>
      <c r="AA819">
        <v>4</v>
      </c>
      <c r="AB819">
        <v>1</v>
      </c>
      <c r="AC819">
        <v>1</v>
      </c>
      <c r="AD819">
        <v>84</v>
      </c>
      <c r="AE819">
        <v>136</v>
      </c>
      <c r="AF819">
        <v>0</v>
      </c>
      <c r="AG819">
        <v>7</v>
      </c>
      <c r="AH819">
        <v>27</v>
      </c>
      <c r="AI819">
        <v>0</v>
      </c>
      <c r="AJ819">
        <v>18</v>
      </c>
      <c r="AK819">
        <v>0</v>
      </c>
      <c r="AL819">
        <v>0</v>
      </c>
      <c r="AM819">
        <v>11</v>
      </c>
      <c r="AN819">
        <v>17</v>
      </c>
      <c r="AO819">
        <v>38</v>
      </c>
      <c r="AQ819" t="str">
        <f t="shared" si="12"/>
        <v>Midfielder</v>
      </c>
    </row>
    <row r="820" spans="1:43" x14ac:dyDescent="0.35">
      <c r="A820" t="s">
        <v>530</v>
      </c>
      <c r="B820" t="s">
        <v>39</v>
      </c>
      <c r="C820" t="s">
        <v>1686</v>
      </c>
      <c r="D820">
        <v>1992</v>
      </c>
      <c r="E820">
        <v>22</v>
      </c>
      <c r="F820" t="s">
        <v>191</v>
      </c>
      <c r="G820" t="s">
        <v>112</v>
      </c>
      <c r="H820">
        <v>6750000</v>
      </c>
      <c r="I820">
        <v>6300000</v>
      </c>
      <c r="J820" t="s">
        <v>52</v>
      </c>
      <c r="K820">
        <v>10</v>
      </c>
      <c r="L820">
        <v>812</v>
      </c>
      <c r="M820">
        <v>0</v>
      </c>
      <c r="N820">
        <v>541</v>
      </c>
      <c r="O820">
        <v>0</v>
      </c>
      <c r="P820">
        <v>2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30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9</v>
      </c>
      <c r="AG820">
        <v>20</v>
      </c>
      <c r="AH820">
        <v>12</v>
      </c>
      <c r="AI820">
        <v>0</v>
      </c>
      <c r="AJ820">
        <v>5</v>
      </c>
      <c r="AK820">
        <v>0</v>
      </c>
      <c r="AL820">
        <v>0</v>
      </c>
      <c r="AM820">
        <v>49</v>
      </c>
      <c r="AN820">
        <v>9</v>
      </c>
      <c r="AO820">
        <v>8</v>
      </c>
      <c r="AQ820" t="str">
        <f t="shared" si="12"/>
        <v>Defensive Forward</v>
      </c>
    </row>
    <row r="821" spans="1:43" x14ac:dyDescent="0.35">
      <c r="A821" t="s">
        <v>530</v>
      </c>
      <c r="B821" t="s">
        <v>43</v>
      </c>
      <c r="C821" t="s">
        <v>1687</v>
      </c>
      <c r="D821">
        <v>1992</v>
      </c>
      <c r="E821">
        <v>25</v>
      </c>
      <c r="F821" t="s">
        <v>184</v>
      </c>
      <c r="G821" t="s">
        <v>112</v>
      </c>
      <c r="H821">
        <v>10800000</v>
      </c>
      <c r="I821">
        <v>9000000</v>
      </c>
      <c r="J821" t="s">
        <v>52</v>
      </c>
      <c r="K821">
        <v>17</v>
      </c>
      <c r="L821">
        <v>1321</v>
      </c>
      <c r="M821">
        <v>0</v>
      </c>
      <c r="N821">
        <v>504</v>
      </c>
      <c r="O821">
        <v>0</v>
      </c>
      <c r="P821">
        <v>5</v>
      </c>
      <c r="Q821">
        <v>0</v>
      </c>
      <c r="R821">
        <v>3</v>
      </c>
      <c r="S821">
        <v>1</v>
      </c>
      <c r="T821">
        <v>0</v>
      </c>
      <c r="U821">
        <v>0</v>
      </c>
      <c r="V821">
        <v>0</v>
      </c>
      <c r="W821">
        <v>40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2</v>
      </c>
      <c r="AF821">
        <v>12</v>
      </c>
      <c r="AG821">
        <v>30</v>
      </c>
      <c r="AH821">
        <v>20</v>
      </c>
      <c r="AI821">
        <v>1</v>
      </c>
      <c r="AJ821">
        <v>24</v>
      </c>
      <c r="AK821">
        <v>0</v>
      </c>
      <c r="AL821">
        <v>0</v>
      </c>
      <c r="AM821">
        <v>78</v>
      </c>
      <c r="AN821">
        <v>19</v>
      </c>
      <c r="AO821">
        <v>24</v>
      </c>
      <c r="AQ821" t="str">
        <f t="shared" si="12"/>
        <v>Defensive Forward</v>
      </c>
    </row>
    <row r="822" spans="1:43" x14ac:dyDescent="0.35">
      <c r="A822" t="s">
        <v>531</v>
      </c>
      <c r="B822" t="s">
        <v>39</v>
      </c>
      <c r="C822" t="s">
        <v>1688</v>
      </c>
      <c r="D822">
        <v>1989</v>
      </c>
      <c r="E822">
        <v>26</v>
      </c>
      <c r="F822" t="s">
        <v>40</v>
      </c>
      <c r="G822" t="s">
        <v>258</v>
      </c>
      <c r="H822">
        <v>8250000</v>
      </c>
      <c r="I822">
        <v>7700000</v>
      </c>
      <c r="J822" t="s">
        <v>55</v>
      </c>
      <c r="K822">
        <v>28</v>
      </c>
      <c r="L822">
        <v>1849</v>
      </c>
      <c r="M822">
        <v>2</v>
      </c>
      <c r="N822">
        <v>1170</v>
      </c>
      <c r="O822">
        <v>1</v>
      </c>
      <c r="P822">
        <v>4</v>
      </c>
      <c r="Q822">
        <v>0</v>
      </c>
      <c r="R822">
        <v>7</v>
      </c>
      <c r="S822">
        <v>8</v>
      </c>
      <c r="T822">
        <v>24</v>
      </c>
      <c r="U822">
        <v>7</v>
      </c>
      <c r="V822">
        <v>1</v>
      </c>
      <c r="W822">
        <v>8</v>
      </c>
      <c r="X822">
        <v>0</v>
      </c>
      <c r="Y822">
        <v>0</v>
      </c>
      <c r="Z822">
        <v>0</v>
      </c>
      <c r="AA822">
        <v>1</v>
      </c>
      <c r="AB822">
        <v>5</v>
      </c>
      <c r="AC822">
        <v>0</v>
      </c>
      <c r="AD822">
        <v>5</v>
      </c>
      <c r="AE822">
        <v>11</v>
      </c>
      <c r="AF822">
        <v>4</v>
      </c>
      <c r="AG822">
        <v>28</v>
      </c>
      <c r="AH822">
        <v>19</v>
      </c>
      <c r="AI822">
        <v>0</v>
      </c>
      <c r="AJ822">
        <v>32</v>
      </c>
      <c r="AK822">
        <v>0</v>
      </c>
      <c r="AL822">
        <v>0</v>
      </c>
      <c r="AM822">
        <v>18</v>
      </c>
      <c r="AN822">
        <v>17</v>
      </c>
      <c r="AO822">
        <v>17</v>
      </c>
      <c r="AQ822" t="str">
        <f t="shared" si="12"/>
        <v>Midfielder</v>
      </c>
    </row>
    <row r="823" spans="1:43" x14ac:dyDescent="0.35">
      <c r="A823" t="s">
        <v>531</v>
      </c>
      <c r="B823" t="s">
        <v>47</v>
      </c>
      <c r="C823" t="s">
        <v>1689</v>
      </c>
      <c r="D823">
        <v>1989</v>
      </c>
      <c r="E823">
        <v>27</v>
      </c>
      <c r="F823" t="s">
        <v>40</v>
      </c>
      <c r="G823" t="s">
        <v>258</v>
      </c>
      <c r="H823">
        <v>7700000</v>
      </c>
      <c r="I823">
        <v>7700000</v>
      </c>
      <c r="J823" t="s">
        <v>55</v>
      </c>
      <c r="K823">
        <v>23</v>
      </c>
      <c r="L823">
        <v>1287</v>
      </c>
      <c r="M823">
        <v>0</v>
      </c>
      <c r="N823">
        <v>687</v>
      </c>
      <c r="O823">
        <v>1</v>
      </c>
      <c r="P823">
        <v>3</v>
      </c>
      <c r="Q823">
        <v>0</v>
      </c>
      <c r="R823">
        <v>10</v>
      </c>
      <c r="S823">
        <v>6</v>
      </c>
      <c r="T823">
        <v>9</v>
      </c>
      <c r="U823">
        <v>1</v>
      </c>
      <c r="V823">
        <v>0</v>
      </c>
      <c r="W823">
        <v>6</v>
      </c>
      <c r="X823">
        <v>0</v>
      </c>
      <c r="Y823">
        <v>0</v>
      </c>
      <c r="Z823">
        <v>0</v>
      </c>
      <c r="AA823">
        <v>1</v>
      </c>
      <c r="AB823">
        <v>0</v>
      </c>
      <c r="AC823">
        <v>0</v>
      </c>
      <c r="AD823">
        <v>1</v>
      </c>
      <c r="AE823">
        <v>9</v>
      </c>
      <c r="AF823">
        <v>3</v>
      </c>
      <c r="AG823">
        <v>21</v>
      </c>
      <c r="AH823">
        <v>18</v>
      </c>
      <c r="AI823">
        <v>0</v>
      </c>
      <c r="AJ823">
        <v>25</v>
      </c>
      <c r="AK823">
        <v>0</v>
      </c>
      <c r="AL823">
        <v>0</v>
      </c>
      <c r="AM823">
        <v>19</v>
      </c>
      <c r="AN823">
        <v>7</v>
      </c>
      <c r="AO823">
        <v>6</v>
      </c>
      <c r="AQ823" t="str">
        <f t="shared" si="12"/>
        <v>Midfielder</v>
      </c>
    </row>
    <row r="824" spans="1:43" x14ac:dyDescent="0.35">
      <c r="A824" t="s">
        <v>531</v>
      </c>
      <c r="B824" t="s">
        <v>43</v>
      </c>
      <c r="C824" t="s">
        <v>1690</v>
      </c>
      <c r="D824">
        <v>1989</v>
      </c>
      <c r="E824">
        <v>28</v>
      </c>
      <c r="F824" t="s">
        <v>40</v>
      </c>
      <c r="G824" t="s">
        <v>258</v>
      </c>
      <c r="H824">
        <v>7700000</v>
      </c>
      <c r="I824">
        <v>6600000</v>
      </c>
      <c r="J824" t="s">
        <v>55</v>
      </c>
      <c r="K824">
        <v>25</v>
      </c>
      <c r="L824">
        <v>1869</v>
      </c>
      <c r="M824">
        <v>2</v>
      </c>
      <c r="N824">
        <v>836</v>
      </c>
      <c r="O824">
        <v>2</v>
      </c>
      <c r="P824">
        <v>2</v>
      </c>
      <c r="Q824">
        <v>0</v>
      </c>
      <c r="R824">
        <v>4</v>
      </c>
      <c r="S824">
        <v>5</v>
      </c>
      <c r="T824">
        <v>20</v>
      </c>
      <c r="U824">
        <v>6</v>
      </c>
      <c r="V824">
        <v>0</v>
      </c>
      <c r="W824">
        <v>5</v>
      </c>
      <c r="X824">
        <v>0</v>
      </c>
      <c r="Y824">
        <v>0</v>
      </c>
      <c r="Z824">
        <v>0</v>
      </c>
      <c r="AA824">
        <v>0</v>
      </c>
      <c r="AB824">
        <v>1</v>
      </c>
      <c r="AC824">
        <v>14</v>
      </c>
      <c r="AD824">
        <v>42</v>
      </c>
      <c r="AE824">
        <v>62</v>
      </c>
      <c r="AF824">
        <v>1</v>
      </c>
      <c r="AG824">
        <v>32</v>
      </c>
      <c r="AH824">
        <v>10</v>
      </c>
      <c r="AI824">
        <v>0</v>
      </c>
      <c r="AJ824">
        <v>25</v>
      </c>
      <c r="AK824">
        <v>0</v>
      </c>
      <c r="AL824">
        <v>0</v>
      </c>
      <c r="AM824">
        <v>20</v>
      </c>
      <c r="AN824">
        <v>5</v>
      </c>
      <c r="AO824">
        <v>21</v>
      </c>
      <c r="AQ824" t="str">
        <f t="shared" si="12"/>
        <v>Midfielder</v>
      </c>
    </row>
    <row r="825" spans="1:43" x14ac:dyDescent="0.35">
      <c r="A825" t="s">
        <v>531</v>
      </c>
      <c r="B825" t="s">
        <v>46</v>
      </c>
      <c r="C825" t="s">
        <v>1691</v>
      </c>
      <c r="D825">
        <v>1989</v>
      </c>
      <c r="E825">
        <v>29</v>
      </c>
      <c r="F825" t="s">
        <v>117</v>
      </c>
      <c r="G825" t="s">
        <v>258</v>
      </c>
      <c r="H825">
        <v>4500000</v>
      </c>
      <c r="I825">
        <v>4500000</v>
      </c>
      <c r="J825" t="s">
        <v>55</v>
      </c>
      <c r="K825">
        <v>18</v>
      </c>
      <c r="L825">
        <v>1302</v>
      </c>
      <c r="M825">
        <v>0</v>
      </c>
      <c r="N825">
        <v>597</v>
      </c>
      <c r="O825">
        <v>1</v>
      </c>
      <c r="P825">
        <v>2</v>
      </c>
      <c r="Q825">
        <v>0</v>
      </c>
      <c r="R825">
        <v>4</v>
      </c>
      <c r="S825">
        <v>4</v>
      </c>
      <c r="T825">
        <v>9</v>
      </c>
      <c r="U825">
        <v>2</v>
      </c>
      <c r="V825">
        <v>1</v>
      </c>
      <c r="W825">
        <v>9</v>
      </c>
      <c r="X825">
        <v>0</v>
      </c>
      <c r="Y825">
        <v>0</v>
      </c>
      <c r="Z825">
        <v>0</v>
      </c>
      <c r="AA825">
        <v>0</v>
      </c>
      <c r="AB825">
        <v>2</v>
      </c>
      <c r="AC825">
        <v>7</v>
      </c>
      <c r="AD825">
        <v>38</v>
      </c>
      <c r="AE825">
        <v>54</v>
      </c>
      <c r="AF825">
        <v>1</v>
      </c>
      <c r="AG825">
        <v>19</v>
      </c>
      <c r="AH825">
        <v>11</v>
      </c>
      <c r="AI825">
        <v>0</v>
      </c>
      <c r="AJ825">
        <v>14</v>
      </c>
      <c r="AK825">
        <v>0</v>
      </c>
      <c r="AL825">
        <v>0</v>
      </c>
      <c r="AM825">
        <v>19</v>
      </c>
      <c r="AN825">
        <v>14</v>
      </c>
      <c r="AO825">
        <v>14</v>
      </c>
      <c r="AQ825" t="str">
        <f t="shared" si="12"/>
        <v>Midfielder</v>
      </c>
    </row>
    <row r="826" spans="1:43" x14ac:dyDescent="0.35">
      <c r="A826" t="s">
        <v>532</v>
      </c>
      <c r="B826" t="s">
        <v>43</v>
      </c>
      <c r="C826" t="s">
        <v>1692</v>
      </c>
      <c r="D826">
        <v>1989</v>
      </c>
      <c r="E826">
        <v>28</v>
      </c>
      <c r="F826" t="s">
        <v>103</v>
      </c>
      <c r="G826" t="s">
        <v>51</v>
      </c>
      <c r="H826">
        <v>9000000</v>
      </c>
      <c r="I826">
        <v>7200000</v>
      </c>
      <c r="J826" t="s">
        <v>52</v>
      </c>
      <c r="K826">
        <v>33</v>
      </c>
      <c r="L826">
        <v>2830</v>
      </c>
      <c r="M826">
        <v>0</v>
      </c>
      <c r="N826">
        <v>1014</v>
      </c>
      <c r="O826">
        <v>1</v>
      </c>
      <c r="P826">
        <v>3</v>
      </c>
      <c r="Q826">
        <v>0</v>
      </c>
      <c r="R826">
        <v>1</v>
      </c>
      <c r="S826">
        <v>5</v>
      </c>
      <c r="T826">
        <v>9</v>
      </c>
      <c r="U826">
        <v>1</v>
      </c>
      <c r="V826">
        <v>0</v>
      </c>
      <c r="W826">
        <v>41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8</v>
      </c>
      <c r="AD826">
        <v>4</v>
      </c>
      <c r="AE826">
        <v>74</v>
      </c>
      <c r="AF826">
        <v>12</v>
      </c>
      <c r="AG826">
        <v>48</v>
      </c>
      <c r="AH826">
        <v>22</v>
      </c>
      <c r="AI826">
        <v>0</v>
      </c>
      <c r="AJ826">
        <v>41</v>
      </c>
      <c r="AK826">
        <v>0</v>
      </c>
      <c r="AL826">
        <v>0</v>
      </c>
      <c r="AM826">
        <v>82</v>
      </c>
      <c r="AN826">
        <v>42</v>
      </c>
      <c r="AO826">
        <v>39</v>
      </c>
      <c r="AQ826" t="str">
        <f t="shared" si="12"/>
        <v>Defensive Forward</v>
      </c>
    </row>
    <row r="827" spans="1:43" x14ac:dyDescent="0.35">
      <c r="A827" t="s">
        <v>532</v>
      </c>
      <c r="B827" t="s">
        <v>47</v>
      </c>
      <c r="C827" t="s">
        <v>1693</v>
      </c>
      <c r="D827">
        <v>1989</v>
      </c>
      <c r="E827">
        <v>26</v>
      </c>
      <c r="F827" t="s">
        <v>61</v>
      </c>
      <c r="G827" t="s">
        <v>51</v>
      </c>
      <c r="H827">
        <v>11700000</v>
      </c>
      <c r="I827">
        <v>9000000</v>
      </c>
      <c r="J827" t="s">
        <v>52</v>
      </c>
      <c r="K827">
        <v>11</v>
      </c>
      <c r="L827">
        <v>702</v>
      </c>
      <c r="M827">
        <v>0</v>
      </c>
      <c r="N827">
        <v>372</v>
      </c>
      <c r="O827">
        <v>1</v>
      </c>
      <c r="P827">
        <v>3</v>
      </c>
      <c r="Q827">
        <v>0</v>
      </c>
      <c r="R827">
        <v>3</v>
      </c>
      <c r="S827">
        <v>3</v>
      </c>
      <c r="T827">
        <v>5</v>
      </c>
      <c r="U827">
        <v>2</v>
      </c>
      <c r="V827">
        <v>1</v>
      </c>
      <c r="W827">
        <v>25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31</v>
      </c>
      <c r="AF827">
        <v>0</v>
      </c>
      <c r="AG827">
        <v>10</v>
      </c>
      <c r="AH827">
        <v>11</v>
      </c>
      <c r="AI827">
        <v>0</v>
      </c>
      <c r="AJ827">
        <v>12</v>
      </c>
      <c r="AK827">
        <v>0</v>
      </c>
      <c r="AL827">
        <v>0</v>
      </c>
      <c r="AM827">
        <v>34</v>
      </c>
      <c r="AN827">
        <v>20</v>
      </c>
      <c r="AO827">
        <v>25</v>
      </c>
      <c r="AQ827" t="str">
        <f t="shared" si="12"/>
        <v>Defensive Forward</v>
      </c>
    </row>
    <row r="828" spans="1:43" x14ac:dyDescent="0.35">
      <c r="A828" t="s">
        <v>532</v>
      </c>
      <c r="B828" t="s">
        <v>39</v>
      </c>
      <c r="C828" t="s">
        <v>1694</v>
      </c>
      <c r="D828">
        <v>1989</v>
      </c>
      <c r="E828">
        <v>25</v>
      </c>
      <c r="F828" t="s">
        <v>61</v>
      </c>
      <c r="G828" t="s">
        <v>51</v>
      </c>
      <c r="H828">
        <v>11700000</v>
      </c>
      <c r="I828">
        <v>11700000</v>
      </c>
      <c r="J828" t="s">
        <v>52</v>
      </c>
      <c r="K828">
        <v>15</v>
      </c>
      <c r="L828">
        <v>381</v>
      </c>
      <c r="M828">
        <v>1</v>
      </c>
      <c r="N828">
        <v>198</v>
      </c>
      <c r="O828">
        <v>0</v>
      </c>
      <c r="P828">
        <v>0</v>
      </c>
      <c r="Q828">
        <v>0</v>
      </c>
      <c r="R828">
        <v>12</v>
      </c>
      <c r="S828">
        <v>2</v>
      </c>
      <c r="T828">
        <v>5</v>
      </c>
      <c r="U828">
        <v>1</v>
      </c>
      <c r="V828">
        <v>0</v>
      </c>
      <c r="W828">
        <v>5</v>
      </c>
      <c r="X828">
        <v>0</v>
      </c>
      <c r="Y828">
        <v>0</v>
      </c>
      <c r="Z828">
        <v>0</v>
      </c>
      <c r="AA828">
        <v>2</v>
      </c>
      <c r="AB828">
        <v>2</v>
      </c>
      <c r="AC828">
        <v>0</v>
      </c>
      <c r="AD828">
        <v>1</v>
      </c>
      <c r="AE828">
        <v>9</v>
      </c>
      <c r="AF828">
        <v>0</v>
      </c>
      <c r="AG828">
        <v>11</v>
      </c>
      <c r="AH828">
        <v>3</v>
      </c>
      <c r="AI828">
        <v>0</v>
      </c>
      <c r="AJ828">
        <v>12</v>
      </c>
      <c r="AK828">
        <v>0</v>
      </c>
      <c r="AL828">
        <v>0</v>
      </c>
      <c r="AM828">
        <v>10</v>
      </c>
      <c r="AN828">
        <v>8</v>
      </c>
      <c r="AO828">
        <v>13</v>
      </c>
      <c r="AQ828" t="str">
        <f t="shared" si="12"/>
        <v>Defensive Forward</v>
      </c>
    </row>
    <row r="829" spans="1:43" x14ac:dyDescent="0.35">
      <c r="A829" t="s">
        <v>533</v>
      </c>
      <c r="B829" t="s">
        <v>39</v>
      </c>
      <c r="C829" t="s">
        <v>1695</v>
      </c>
      <c r="D829">
        <v>1984</v>
      </c>
      <c r="E829">
        <v>30</v>
      </c>
      <c r="F829" t="s">
        <v>89</v>
      </c>
      <c r="G829" t="s">
        <v>51</v>
      </c>
      <c r="H829">
        <v>1350000</v>
      </c>
      <c r="I829">
        <v>1100000</v>
      </c>
      <c r="J829" t="s">
        <v>52</v>
      </c>
      <c r="K829">
        <v>11</v>
      </c>
      <c r="L829">
        <v>723</v>
      </c>
      <c r="M829">
        <v>0</v>
      </c>
      <c r="N829">
        <v>269</v>
      </c>
      <c r="O829">
        <v>1</v>
      </c>
      <c r="P829">
        <v>4</v>
      </c>
      <c r="Q829">
        <v>0</v>
      </c>
      <c r="R829">
        <v>3</v>
      </c>
      <c r="S829">
        <v>3</v>
      </c>
      <c r="T829">
        <v>7</v>
      </c>
      <c r="U829">
        <v>2</v>
      </c>
      <c r="V829">
        <v>0</v>
      </c>
      <c r="W829">
        <v>12</v>
      </c>
      <c r="X829">
        <v>0</v>
      </c>
      <c r="Y829">
        <v>0</v>
      </c>
      <c r="Z829">
        <v>0</v>
      </c>
      <c r="AA829">
        <v>0</v>
      </c>
      <c r="AB829">
        <v>1</v>
      </c>
      <c r="AC829">
        <v>1</v>
      </c>
      <c r="AD829">
        <v>0</v>
      </c>
      <c r="AE829">
        <v>21</v>
      </c>
      <c r="AF829">
        <v>3</v>
      </c>
      <c r="AG829">
        <v>12</v>
      </c>
      <c r="AH829">
        <v>18</v>
      </c>
      <c r="AI829">
        <v>0</v>
      </c>
      <c r="AJ829">
        <v>18</v>
      </c>
      <c r="AK829">
        <v>0</v>
      </c>
      <c r="AL829">
        <v>0</v>
      </c>
      <c r="AM829">
        <v>20</v>
      </c>
      <c r="AN829">
        <v>9</v>
      </c>
      <c r="AO829">
        <v>9</v>
      </c>
      <c r="AQ829" t="str">
        <f t="shared" si="12"/>
        <v>Defensive Forward</v>
      </c>
    </row>
    <row r="830" spans="1:43" x14ac:dyDescent="0.35">
      <c r="A830" t="s">
        <v>534</v>
      </c>
      <c r="B830" t="s">
        <v>43</v>
      </c>
      <c r="C830" t="s">
        <v>1696</v>
      </c>
      <c r="D830">
        <v>1990</v>
      </c>
      <c r="E830">
        <v>27</v>
      </c>
      <c r="F830" t="s">
        <v>191</v>
      </c>
      <c r="G830" t="s">
        <v>51</v>
      </c>
      <c r="H830">
        <v>9000000</v>
      </c>
      <c r="I830">
        <v>18000000</v>
      </c>
      <c r="J830" t="s">
        <v>52</v>
      </c>
      <c r="K830">
        <v>24</v>
      </c>
      <c r="L830">
        <v>1913</v>
      </c>
      <c r="M830">
        <v>0</v>
      </c>
      <c r="N830">
        <v>1266</v>
      </c>
      <c r="O830">
        <v>5</v>
      </c>
      <c r="P830">
        <v>1</v>
      </c>
      <c r="Q830">
        <v>0</v>
      </c>
      <c r="R830">
        <v>3</v>
      </c>
      <c r="S830">
        <v>3</v>
      </c>
      <c r="T830">
        <v>1</v>
      </c>
      <c r="U830">
        <v>1</v>
      </c>
      <c r="V830">
        <v>0</v>
      </c>
      <c r="W830">
        <v>23</v>
      </c>
      <c r="X830">
        <v>0</v>
      </c>
      <c r="Y830">
        <v>0</v>
      </c>
      <c r="Z830">
        <v>0</v>
      </c>
      <c r="AA830">
        <v>3</v>
      </c>
      <c r="AB830">
        <v>5</v>
      </c>
      <c r="AC830">
        <v>0</v>
      </c>
      <c r="AD830">
        <v>28</v>
      </c>
      <c r="AE830">
        <v>122</v>
      </c>
      <c r="AF830">
        <v>6</v>
      </c>
      <c r="AG830">
        <v>20</v>
      </c>
      <c r="AH830">
        <v>18</v>
      </c>
      <c r="AI830">
        <v>0</v>
      </c>
      <c r="AJ830">
        <v>52</v>
      </c>
      <c r="AK830">
        <v>0</v>
      </c>
      <c r="AL830">
        <v>0</v>
      </c>
      <c r="AM830">
        <v>45</v>
      </c>
      <c r="AN830">
        <v>36</v>
      </c>
      <c r="AO830">
        <v>29</v>
      </c>
      <c r="AQ830" t="str">
        <f t="shared" si="12"/>
        <v>Defensive Forward</v>
      </c>
    </row>
    <row r="831" spans="1:43" x14ac:dyDescent="0.35">
      <c r="A831" t="s">
        <v>534</v>
      </c>
      <c r="B831" t="s">
        <v>46</v>
      </c>
      <c r="C831" t="s">
        <v>1697</v>
      </c>
      <c r="D831">
        <v>1990</v>
      </c>
      <c r="E831">
        <v>27</v>
      </c>
      <c r="F831" t="s">
        <v>191</v>
      </c>
      <c r="G831" t="s">
        <v>51</v>
      </c>
      <c r="H831">
        <v>18000000</v>
      </c>
      <c r="I831">
        <v>31500000</v>
      </c>
      <c r="J831" t="s">
        <v>52</v>
      </c>
      <c r="K831">
        <v>27</v>
      </c>
      <c r="L831">
        <v>2278</v>
      </c>
      <c r="M831">
        <v>0</v>
      </c>
      <c r="N831">
        <v>1542</v>
      </c>
      <c r="O831">
        <v>3</v>
      </c>
      <c r="P831">
        <v>2</v>
      </c>
      <c r="Q831">
        <v>0</v>
      </c>
      <c r="R831">
        <v>0</v>
      </c>
      <c r="S831">
        <v>3</v>
      </c>
      <c r="T831">
        <v>8</v>
      </c>
      <c r="U831">
        <v>3</v>
      </c>
      <c r="V831">
        <v>0</v>
      </c>
      <c r="W831">
        <v>30</v>
      </c>
      <c r="X831">
        <v>0</v>
      </c>
      <c r="Y831">
        <v>0</v>
      </c>
      <c r="Z831">
        <v>1</v>
      </c>
      <c r="AA831">
        <v>6</v>
      </c>
      <c r="AB831">
        <v>3</v>
      </c>
      <c r="AC831">
        <v>5</v>
      </c>
      <c r="AD831">
        <v>73</v>
      </c>
      <c r="AE831">
        <v>185</v>
      </c>
      <c r="AF831">
        <v>5</v>
      </c>
      <c r="AG831">
        <v>23</v>
      </c>
      <c r="AH831">
        <v>20</v>
      </c>
      <c r="AI831">
        <v>0</v>
      </c>
      <c r="AJ831">
        <v>67</v>
      </c>
      <c r="AK831">
        <v>2</v>
      </c>
      <c r="AL831">
        <v>1</v>
      </c>
      <c r="AM831">
        <v>61</v>
      </c>
      <c r="AN831">
        <v>31</v>
      </c>
      <c r="AO831">
        <v>28</v>
      </c>
      <c r="AQ831" t="str">
        <f t="shared" si="12"/>
        <v>Defensive Forward</v>
      </c>
    </row>
    <row r="832" spans="1:43" x14ac:dyDescent="0.35">
      <c r="A832" t="s">
        <v>534</v>
      </c>
      <c r="B832" t="s">
        <v>47</v>
      </c>
      <c r="C832" t="s">
        <v>1698</v>
      </c>
      <c r="D832">
        <v>1990</v>
      </c>
      <c r="E832">
        <v>25</v>
      </c>
      <c r="F832" t="s">
        <v>191</v>
      </c>
      <c r="G832" t="s">
        <v>51</v>
      </c>
      <c r="H832">
        <v>5400000</v>
      </c>
      <c r="I832">
        <v>9000000</v>
      </c>
      <c r="J832" t="s">
        <v>52</v>
      </c>
      <c r="K832">
        <v>12</v>
      </c>
      <c r="L832">
        <v>566</v>
      </c>
      <c r="M832">
        <v>0</v>
      </c>
      <c r="N832">
        <v>346</v>
      </c>
      <c r="O832">
        <v>5</v>
      </c>
      <c r="P832">
        <v>1</v>
      </c>
      <c r="Q832">
        <v>0</v>
      </c>
      <c r="R832">
        <v>6</v>
      </c>
      <c r="S832">
        <v>2</v>
      </c>
      <c r="T832">
        <v>3</v>
      </c>
      <c r="U832">
        <v>0</v>
      </c>
      <c r="V832">
        <v>0</v>
      </c>
      <c r="W832">
        <v>4</v>
      </c>
      <c r="X832">
        <v>0</v>
      </c>
      <c r="Y832">
        <v>0</v>
      </c>
      <c r="Z832">
        <v>0</v>
      </c>
      <c r="AA832">
        <v>1</v>
      </c>
      <c r="AB832">
        <v>0</v>
      </c>
      <c r="AC832">
        <v>0</v>
      </c>
      <c r="AD832">
        <v>1</v>
      </c>
      <c r="AE832">
        <v>29</v>
      </c>
      <c r="AF832">
        <v>3</v>
      </c>
      <c r="AG832">
        <v>7</v>
      </c>
      <c r="AH832">
        <v>8</v>
      </c>
      <c r="AI832">
        <v>0</v>
      </c>
      <c r="AJ832">
        <v>17</v>
      </c>
      <c r="AK832">
        <v>0</v>
      </c>
      <c r="AL832">
        <v>0</v>
      </c>
      <c r="AM832">
        <v>13</v>
      </c>
      <c r="AN832">
        <v>4</v>
      </c>
      <c r="AO832">
        <v>5</v>
      </c>
      <c r="AQ832" t="str">
        <f t="shared" si="12"/>
        <v>Defensive Forward</v>
      </c>
    </row>
    <row r="833" spans="1:43" x14ac:dyDescent="0.35">
      <c r="A833" t="s">
        <v>535</v>
      </c>
      <c r="B833" t="s">
        <v>46</v>
      </c>
      <c r="C833" t="s">
        <v>1699</v>
      </c>
      <c r="D833">
        <v>1991</v>
      </c>
      <c r="E833">
        <v>27</v>
      </c>
      <c r="F833" t="s">
        <v>66</v>
      </c>
      <c r="G833" t="s">
        <v>45</v>
      </c>
      <c r="H833">
        <v>15400000</v>
      </c>
      <c r="I833">
        <v>11000000</v>
      </c>
      <c r="J833" t="s">
        <v>55</v>
      </c>
      <c r="K833">
        <v>29</v>
      </c>
      <c r="L833">
        <v>2046</v>
      </c>
      <c r="M833">
        <v>1</v>
      </c>
      <c r="N833">
        <v>925</v>
      </c>
      <c r="O833">
        <v>1</v>
      </c>
      <c r="P833">
        <v>0</v>
      </c>
      <c r="Q833">
        <v>0</v>
      </c>
      <c r="R833">
        <v>7</v>
      </c>
      <c r="S833">
        <v>3</v>
      </c>
      <c r="T833">
        <v>6</v>
      </c>
      <c r="U833">
        <v>2</v>
      </c>
      <c r="V833">
        <v>0</v>
      </c>
      <c r="W833">
        <v>29</v>
      </c>
      <c r="X833">
        <v>0</v>
      </c>
      <c r="Y833">
        <v>0</v>
      </c>
      <c r="Z833">
        <v>0</v>
      </c>
      <c r="AA833">
        <v>3</v>
      </c>
      <c r="AB833">
        <v>0</v>
      </c>
      <c r="AC833">
        <v>4</v>
      </c>
      <c r="AD833">
        <v>7</v>
      </c>
      <c r="AE833">
        <v>64</v>
      </c>
      <c r="AF833">
        <v>6</v>
      </c>
      <c r="AG833">
        <v>36</v>
      </c>
      <c r="AH833">
        <v>12</v>
      </c>
      <c r="AI833">
        <v>0</v>
      </c>
      <c r="AJ833">
        <v>48</v>
      </c>
      <c r="AK833">
        <v>0</v>
      </c>
      <c r="AL833">
        <v>0</v>
      </c>
      <c r="AM833">
        <v>63</v>
      </c>
      <c r="AN833">
        <v>13</v>
      </c>
      <c r="AO833">
        <v>12</v>
      </c>
      <c r="AQ833" t="str">
        <f t="shared" si="12"/>
        <v>Midfielder</v>
      </c>
    </row>
    <row r="834" spans="1:43" x14ac:dyDescent="0.35">
      <c r="A834" t="s">
        <v>535</v>
      </c>
      <c r="B834" t="s">
        <v>43</v>
      </c>
      <c r="C834" t="s">
        <v>1700</v>
      </c>
      <c r="D834">
        <v>1991</v>
      </c>
      <c r="E834">
        <v>26</v>
      </c>
      <c r="F834" t="s">
        <v>66</v>
      </c>
      <c r="G834" t="s">
        <v>45</v>
      </c>
      <c r="H834">
        <v>4400000</v>
      </c>
      <c r="I834">
        <v>5500000</v>
      </c>
      <c r="J834" t="s">
        <v>52</v>
      </c>
      <c r="K834">
        <v>23</v>
      </c>
      <c r="L834">
        <v>1714</v>
      </c>
      <c r="M834">
        <v>1</v>
      </c>
      <c r="N834">
        <v>794</v>
      </c>
      <c r="O834">
        <v>1</v>
      </c>
      <c r="P834">
        <v>2</v>
      </c>
      <c r="Q834">
        <v>0</v>
      </c>
      <c r="R834">
        <v>4</v>
      </c>
      <c r="S834">
        <v>6</v>
      </c>
      <c r="T834">
        <v>9</v>
      </c>
      <c r="U834">
        <v>3</v>
      </c>
      <c r="V834">
        <v>0</v>
      </c>
      <c r="W834">
        <v>14</v>
      </c>
      <c r="X834">
        <v>0</v>
      </c>
      <c r="Y834">
        <v>0</v>
      </c>
      <c r="Z834">
        <v>0</v>
      </c>
      <c r="AA834">
        <v>2</v>
      </c>
      <c r="AB834">
        <v>1</v>
      </c>
      <c r="AC834">
        <v>6</v>
      </c>
      <c r="AD834">
        <v>1</v>
      </c>
      <c r="AE834">
        <v>60</v>
      </c>
      <c r="AF834">
        <v>2</v>
      </c>
      <c r="AG834">
        <v>34</v>
      </c>
      <c r="AH834">
        <v>7</v>
      </c>
      <c r="AI834">
        <v>0</v>
      </c>
      <c r="AJ834">
        <v>36</v>
      </c>
      <c r="AK834">
        <v>0</v>
      </c>
      <c r="AL834">
        <v>0</v>
      </c>
      <c r="AM834">
        <v>30</v>
      </c>
      <c r="AN834">
        <v>10</v>
      </c>
      <c r="AO834">
        <v>16</v>
      </c>
      <c r="AQ834" t="str">
        <f t="shared" ref="AQ834:AQ897" si="13">IF(J834 = "FW", REPLACE(J834,1,2,"Forward"),IF(J834 = "DF", "Defensive Forward", "Midfielder"))</f>
        <v>Defensive Forward</v>
      </c>
    </row>
    <row r="835" spans="1:43" x14ac:dyDescent="0.35">
      <c r="A835" t="s">
        <v>536</v>
      </c>
      <c r="B835" t="s">
        <v>39</v>
      </c>
      <c r="C835" t="s">
        <v>1701</v>
      </c>
      <c r="D835">
        <v>1981</v>
      </c>
      <c r="E835">
        <v>34</v>
      </c>
      <c r="F835" t="s">
        <v>80</v>
      </c>
      <c r="G835" t="s">
        <v>172</v>
      </c>
      <c r="H835">
        <v>1800000</v>
      </c>
      <c r="I835">
        <v>1500000</v>
      </c>
      <c r="J835" t="s">
        <v>52</v>
      </c>
      <c r="K835">
        <v>14</v>
      </c>
      <c r="L835">
        <v>859</v>
      </c>
      <c r="M835">
        <v>1</v>
      </c>
      <c r="N835">
        <v>465</v>
      </c>
      <c r="O835">
        <v>0</v>
      </c>
      <c r="P835">
        <v>1</v>
      </c>
      <c r="Q835">
        <v>0</v>
      </c>
      <c r="R835">
        <v>5</v>
      </c>
      <c r="S835">
        <v>3</v>
      </c>
      <c r="T835">
        <v>4</v>
      </c>
      <c r="U835">
        <v>2</v>
      </c>
      <c r="V835">
        <v>0</v>
      </c>
      <c r="W835">
        <v>13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3</v>
      </c>
      <c r="AG835">
        <v>25</v>
      </c>
      <c r="AH835">
        <v>2</v>
      </c>
      <c r="AI835">
        <v>1</v>
      </c>
      <c r="AJ835">
        <v>22</v>
      </c>
      <c r="AK835">
        <v>0</v>
      </c>
      <c r="AL835">
        <v>0</v>
      </c>
      <c r="AM835">
        <v>45</v>
      </c>
      <c r="AN835">
        <v>9</v>
      </c>
      <c r="AO835">
        <v>14</v>
      </c>
      <c r="AQ835" t="str">
        <f t="shared" si="13"/>
        <v>Defensive Forward</v>
      </c>
    </row>
    <row r="836" spans="1:43" x14ac:dyDescent="0.35">
      <c r="A836" t="s">
        <v>537</v>
      </c>
      <c r="B836" t="s">
        <v>43</v>
      </c>
      <c r="C836" t="s">
        <v>1702</v>
      </c>
      <c r="D836">
        <v>1994</v>
      </c>
      <c r="E836">
        <v>23</v>
      </c>
      <c r="F836" t="s">
        <v>184</v>
      </c>
      <c r="G836" t="s">
        <v>67</v>
      </c>
      <c r="H836">
        <v>13500000</v>
      </c>
      <c r="I836">
        <v>13500000</v>
      </c>
      <c r="J836" t="s">
        <v>52</v>
      </c>
      <c r="K836">
        <v>34</v>
      </c>
      <c r="L836">
        <v>2888</v>
      </c>
      <c r="M836">
        <v>1</v>
      </c>
      <c r="N836">
        <v>1021</v>
      </c>
      <c r="O836">
        <v>0</v>
      </c>
      <c r="P836">
        <v>1</v>
      </c>
      <c r="Q836">
        <v>0</v>
      </c>
      <c r="R836">
        <v>2</v>
      </c>
      <c r="S836">
        <v>1</v>
      </c>
      <c r="T836">
        <v>20</v>
      </c>
      <c r="U836">
        <v>8</v>
      </c>
      <c r="V836">
        <v>0</v>
      </c>
      <c r="W836">
        <v>136</v>
      </c>
      <c r="X836">
        <v>1</v>
      </c>
      <c r="Y836">
        <v>0</v>
      </c>
      <c r="Z836">
        <v>0</v>
      </c>
      <c r="AA836">
        <v>0</v>
      </c>
      <c r="AB836">
        <v>0</v>
      </c>
      <c r="AC836">
        <v>12</v>
      </c>
      <c r="AD836">
        <v>0</v>
      </c>
      <c r="AE836">
        <v>11</v>
      </c>
      <c r="AF836">
        <v>23</v>
      </c>
      <c r="AG836">
        <v>61</v>
      </c>
      <c r="AH836">
        <v>19</v>
      </c>
      <c r="AI836">
        <v>2</v>
      </c>
      <c r="AJ836">
        <v>50</v>
      </c>
      <c r="AK836">
        <v>0</v>
      </c>
      <c r="AL836">
        <v>0</v>
      </c>
      <c r="AM836">
        <v>231</v>
      </c>
      <c r="AN836">
        <v>109</v>
      </c>
      <c r="AO836">
        <v>31</v>
      </c>
      <c r="AQ836" t="str">
        <f t="shared" si="13"/>
        <v>Defensive Forward</v>
      </c>
    </row>
    <row r="837" spans="1:43" x14ac:dyDescent="0.35">
      <c r="A837" t="s">
        <v>537</v>
      </c>
      <c r="B837" t="s">
        <v>39</v>
      </c>
      <c r="C837" t="s">
        <v>1703</v>
      </c>
      <c r="D837">
        <v>1994</v>
      </c>
      <c r="E837">
        <v>20</v>
      </c>
      <c r="F837" t="s">
        <v>44</v>
      </c>
      <c r="G837" t="s">
        <v>67</v>
      </c>
      <c r="H837">
        <v>10800000</v>
      </c>
      <c r="I837">
        <v>15300000</v>
      </c>
      <c r="J837" t="s">
        <v>52</v>
      </c>
      <c r="K837">
        <v>23</v>
      </c>
      <c r="L837">
        <v>1918</v>
      </c>
      <c r="M837">
        <v>0</v>
      </c>
      <c r="N837">
        <v>736</v>
      </c>
      <c r="O837">
        <v>0</v>
      </c>
      <c r="P837">
        <v>0</v>
      </c>
      <c r="Q837">
        <v>0</v>
      </c>
      <c r="R837">
        <v>2</v>
      </c>
      <c r="S837">
        <v>0</v>
      </c>
      <c r="T837">
        <v>17</v>
      </c>
      <c r="U837">
        <v>2</v>
      </c>
      <c r="V837">
        <v>1</v>
      </c>
      <c r="W837">
        <v>68</v>
      </c>
      <c r="X837">
        <v>0</v>
      </c>
      <c r="Y837">
        <v>0</v>
      </c>
      <c r="Z837">
        <v>0</v>
      </c>
      <c r="AA837">
        <v>2</v>
      </c>
      <c r="AB837">
        <v>0</v>
      </c>
      <c r="AC837">
        <v>0</v>
      </c>
      <c r="AD837">
        <v>0</v>
      </c>
      <c r="AE837">
        <v>4</v>
      </c>
      <c r="AF837">
        <v>10</v>
      </c>
      <c r="AG837">
        <v>36</v>
      </c>
      <c r="AH837">
        <v>9</v>
      </c>
      <c r="AI837">
        <v>0</v>
      </c>
      <c r="AJ837">
        <v>30</v>
      </c>
      <c r="AK837">
        <v>0</v>
      </c>
      <c r="AL837">
        <v>0</v>
      </c>
      <c r="AM837">
        <v>123</v>
      </c>
      <c r="AN837">
        <v>67</v>
      </c>
      <c r="AO837">
        <v>28</v>
      </c>
      <c r="AQ837" t="str">
        <f t="shared" si="13"/>
        <v>Defensive Forward</v>
      </c>
    </row>
    <row r="838" spans="1:43" x14ac:dyDescent="0.35">
      <c r="A838" t="s">
        <v>537</v>
      </c>
      <c r="B838" t="s">
        <v>46</v>
      </c>
      <c r="C838" t="s">
        <v>1704</v>
      </c>
      <c r="D838">
        <v>1994</v>
      </c>
      <c r="E838">
        <v>23</v>
      </c>
      <c r="F838" t="s">
        <v>54</v>
      </c>
      <c r="G838" t="s">
        <v>67</v>
      </c>
      <c r="H838">
        <v>13500000</v>
      </c>
      <c r="I838">
        <v>22500000</v>
      </c>
      <c r="J838" t="s">
        <v>52</v>
      </c>
      <c r="K838">
        <v>32</v>
      </c>
      <c r="L838">
        <v>2612</v>
      </c>
      <c r="M838">
        <v>2</v>
      </c>
      <c r="N838">
        <v>1442</v>
      </c>
      <c r="O838">
        <v>2</v>
      </c>
      <c r="P838">
        <v>3</v>
      </c>
      <c r="Q838">
        <v>0</v>
      </c>
      <c r="R838">
        <v>3</v>
      </c>
      <c r="S838">
        <v>0</v>
      </c>
      <c r="T838">
        <v>19</v>
      </c>
      <c r="U838">
        <v>3</v>
      </c>
      <c r="V838">
        <v>0</v>
      </c>
      <c r="W838">
        <v>63</v>
      </c>
      <c r="X838">
        <v>2</v>
      </c>
      <c r="Y838">
        <v>0</v>
      </c>
      <c r="Z838">
        <v>0</v>
      </c>
      <c r="AA838">
        <v>2</v>
      </c>
      <c r="AB838">
        <v>0</v>
      </c>
      <c r="AC838">
        <v>16</v>
      </c>
      <c r="AD838">
        <v>0</v>
      </c>
      <c r="AE838">
        <v>2</v>
      </c>
      <c r="AF838">
        <v>12</v>
      </c>
      <c r="AG838">
        <v>54</v>
      </c>
      <c r="AH838">
        <v>20</v>
      </c>
      <c r="AI838">
        <v>0</v>
      </c>
      <c r="AJ838">
        <v>32</v>
      </c>
      <c r="AK838">
        <v>0</v>
      </c>
      <c r="AL838">
        <v>0</v>
      </c>
      <c r="AM838">
        <v>120</v>
      </c>
      <c r="AN838">
        <v>98</v>
      </c>
      <c r="AO838">
        <v>52</v>
      </c>
      <c r="AQ838" t="str">
        <f t="shared" si="13"/>
        <v>Defensive Forward</v>
      </c>
    </row>
    <row r="839" spans="1:43" x14ac:dyDescent="0.35">
      <c r="A839" t="s">
        <v>538</v>
      </c>
      <c r="B839" t="s">
        <v>47</v>
      </c>
      <c r="C839" t="s">
        <v>1705</v>
      </c>
      <c r="D839">
        <v>1988</v>
      </c>
      <c r="E839">
        <v>27</v>
      </c>
      <c r="F839" t="s">
        <v>40</v>
      </c>
      <c r="G839" t="s">
        <v>51</v>
      </c>
      <c r="H839">
        <v>4500000</v>
      </c>
      <c r="I839">
        <v>4500000</v>
      </c>
      <c r="J839" t="s">
        <v>52</v>
      </c>
      <c r="K839">
        <v>31</v>
      </c>
      <c r="L839">
        <v>2718</v>
      </c>
      <c r="M839">
        <v>0</v>
      </c>
      <c r="N839">
        <v>1392</v>
      </c>
      <c r="O839">
        <v>0</v>
      </c>
      <c r="P839">
        <v>5</v>
      </c>
      <c r="Q839">
        <v>0</v>
      </c>
      <c r="R839">
        <v>0</v>
      </c>
      <c r="S839">
        <v>4</v>
      </c>
      <c r="T839">
        <v>20</v>
      </c>
      <c r="U839">
        <v>5</v>
      </c>
      <c r="V839">
        <v>0</v>
      </c>
      <c r="W839">
        <v>54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79</v>
      </c>
      <c r="AF839">
        <v>15</v>
      </c>
      <c r="AG839">
        <v>41</v>
      </c>
      <c r="AH839">
        <v>25</v>
      </c>
      <c r="AI839">
        <v>0</v>
      </c>
      <c r="AJ839">
        <v>76</v>
      </c>
      <c r="AK839">
        <v>0</v>
      </c>
      <c r="AL839">
        <v>0</v>
      </c>
      <c r="AM839">
        <v>115</v>
      </c>
      <c r="AN839">
        <v>65</v>
      </c>
      <c r="AO839">
        <v>38</v>
      </c>
      <c r="AQ839" t="str">
        <f t="shared" si="13"/>
        <v>Defensive Forward</v>
      </c>
    </row>
    <row r="840" spans="1:43" x14ac:dyDescent="0.35">
      <c r="A840" t="s">
        <v>538</v>
      </c>
      <c r="B840" t="s">
        <v>39</v>
      </c>
      <c r="C840" t="s">
        <v>1706</v>
      </c>
      <c r="D840">
        <v>1988</v>
      </c>
      <c r="E840">
        <v>26</v>
      </c>
      <c r="F840" t="s">
        <v>40</v>
      </c>
      <c r="G840" t="s">
        <v>51</v>
      </c>
      <c r="H840">
        <v>4950000</v>
      </c>
      <c r="I840">
        <v>4500000</v>
      </c>
      <c r="J840" t="s">
        <v>52</v>
      </c>
      <c r="K840">
        <v>27</v>
      </c>
      <c r="L840">
        <v>1763</v>
      </c>
      <c r="M840">
        <v>0</v>
      </c>
      <c r="N840">
        <v>1081</v>
      </c>
      <c r="O840">
        <v>3</v>
      </c>
      <c r="P840">
        <v>2</v>
      </c>
      <c r="Q840">
        <v>0</v>
      </c>
      <c r="R840">
        <v>8</v>
      </c>
      <c r="S840">
        <v>1</v>
      </c>
      <c r="T840">
        <v>8</v>
      </c>
      <c r="U840">
        <v>2</v>
      </c>
      <c r="V840">
        <v>0</v>
      </c>
      <c r="W840">
        <v>27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1</v>
      </c>
      <c r="AE840">
        <v>64</v>
      </c>
      <c r="AF840">
        <v>0</v>
      </c>
      <c r="AG840">
        <v>48</v>
      </c>
      <c r="AH840">
        <v>23</v>
      </c>
      <c r="AI840">
        <v>0</v>
      </c>
      <c r="AJ840">
        <v>40</v>
      </c>
      <c r="AK840">
        <v>0</v>
      </c>
      <c r="AL840">
        <v>0</v>
      </c>
      <c r="AM840">
        <v>65</v>
      </c>
      <c r="AN840">
        <v>31</v>
      </c>
      <c r="AO840">
        <v>28</v>
      </c>
      <c r="AQ840" t="str">
        <f t="shared" si="13"/>
        <v>Defensive Forward</v>
      </c>
    </row>
    <row r="841" spans="1:43" x14ac:dyDescent="0.35">
      <c r="A841" t="s">
        <v>538</v>
      </c>
      <c r="B841" t="s">
        <v>43</v>
      </c>
      <c r="C841" t="s">
        <v>1707</v>
      </c>
      <c r="D841">
        <v>1988</v>
      </c>
      <c r="E841">
        <v>29</v>
      </c>
      <c r="F841" t="s">
        <v>40</v>
      </c>
      <c r="G841" t="s">
        <v>51</v>
      </c>
      <c r="H841">
        <v>4500000</v>
      </c>
      <c r="I841">
        <v>4500000</v>
      </c>
      <c r="J841" t="s">
        <v>52</v>
      </c>
      <c r="K841">
        <v>34</v>
      </c>
      <c r="L841">
        <v>3033</v>
      </c>
      <c r="M841">
        <v>0</v>
      </c>
      <c r="N841">
        <v>1638</v>
      </c>
      <c r="O841">
        <v>2</v>
      </c>
      <c r="P841">
        <v>1</v>
      </c>
      <c r="Q841">
        <v>0</v>
      </c>
      <c r="R841">
        <v>0</v>
      </c>
      <c r="S841">
        <v>3</v>
      </c>
      <c r="T841">
        <v>12</v>
      </c>
      <c r="U841">
        <v>1</v>
      </c>
      <c r="V841">
        <v>0</v>
      </c>
      <c r="W841">
        <v>47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11</v>
      </c>
      <c r="AD841">
        <v>0</v>
      </c>
      <c r="AE841">
        <v>62</v>
      </c>
      <c r="AF841">
        <v>13</v>
      </c>
      <c r="AG841">
        <v>60</v>
      </c>
      <c r="AH841">
        <v>31</v>
      </c>
      <c r="AI841">
        <v>1</v>
      </c>
      <c r="AJ841">
        <v>92</v>
      </c>
      <c r="AK841">
        <v>0</v>
      </c>
      <c r="AL841">
        <v>1</v>
      </c>
      <c r="AM841">
        <v>102</v>
      </c>
      <c r="AN841">
        <v>69</v>
      </c>
      <c r="AO841">
        <v>68</v>
      </c>
      <c r="AQ841" t="str">
        <f t="shared" si="13"/>
        <v>Defensive Forward</v>
      </c>
    </row>
    <row r="842" spans="1:43" x14ac:dyDescent="0.35">
      <c r="A842" t="s">
        <v>539</v>
      </c>
      <c r="B842" t="s">
        <v>47</v>
      </c>
      <c r="C842" t="s">
        <v>1708</v>
      </c>
      <c r="D842">
        <v>1990</v>
      </c>
      <c r="E842">
        <v>26</v>
      </c>
      <c r="F842" t="s">
        <v>191</v>
      </c>
      <c r="G842" t="s">
        <v>51</v>
      </c>
      <c r="H842">
        <v>13500000</v>
      </c>
      <c r="I842">
        <v>27000000</v>
      </c>
      <c r="J842" t="s">
        <v>52</v>
      </c>
      <c r="K842">
        <v>33</v>
      </c>
      <c r="L842">
        <v>2704</v>
      </c>
      <c r="M842">
        <v>0</v>
      </c>
      <c r="N842">
        <v>1464</v>
      </c>
      <c r="O842">
        <v>5</v>
      </c>
      <c r="P842">
        <v>8</v>
      </c>
      <c r="Q842">
        <v>0</v>
      </c>
      <c r="R842">
        <v>2</v>
      </c>
      <c r="S842">
        <v>5</v>
      </c>
      <c r="T842">
        <v>19</v>
      </c>
      <c r="U842">
        <v>5</v>
      </c>
      <c r="V842">
        <v>0</v>
      </c>
      <c r="W842">
        <v>46</v>
      </c>
      <c r="X842">
        <v>0</v>
      </c>
      <c r="Y842">
        <v>0</v>
      </c>
      <c r="Z842">
        <v>0</v>
      </c>
      <c r="AA842">
        <v>3</v>
      </c>
      <c r="AB842">
        <v>1</v>
      </c>
      <c r="AC842">
        <v>0</v>
      </c>
      <c r="AD842">
        <v>1</v>
      </c>
      <c r="AE842">
        <v>96</v>
      </c>
      <c r="AF842">
        <v>7</v>
      </c>
      <c r="AG842">
        <v>38</v>
      </c>
      <c r="AH842">
        <v>36</v>
      </c>
      <c r="AI842">
        <v>0</v>
      </c>
      <c r="AJ842">
        <v>72</v>
      </c>
      <c r="AK842">
        <v>0</v>
      </c>
      <c r="AL842">
        <v>0</v>
      </c>
      <c r="AM842">
        <v>94</v>
      </c>
      <c r="AN842">
        <v>60</v>
      </c>
      <c r="AO842">
        <v>28</v>
      </c>
      <c r="AQ842" t="str">
        <f t="shared" si="13"/>
        <v>Defensive Forward</v>
      </c>
    </row>
    <row r="843" spans="1:43" x14ac:dyDescent="0.35">
      <c r="A843" t="s">
        <v>539</v>
      </c>
      <c r="B843" t="s">
        <v>43</v>
      </c>
      <c r="C843" t="s">
        <v>1709</v>
      </c>
      <c r="D843">
        <v>1990</v>
      </c>
      <c r="E843">
        <v>27</v>
      </c>
      <c r="F843" t="s">
        <v>114</v>
      </c>
      <c r="G843" t="s">
        <v>51</v>
      </c>
      <c r="H843">
        <v>27000000</v>
      </c>
      <c r="I843">
        <v>45000000</v>
      </c>
      <c r="J843" t="s">
        <v>52</v>
      </c>
      <c r="K843">
        <v>32</v>
      </c>
      <c r="L843">
        <v>2787</v>
      </c>
      <c r="M843">
        <v>0</v>
      </c>
      <c r="N843">
        <v>2362</v>
      </c>
      <c r="O843">
        <v>6</v>
      </c>
      <c r="P843">
        <v>2</v>
      </c>
      <c r="Q843">
        <v>1</v>
      </c>
      <c r="R843">
        <v>0</v>
      </c>
      <c r="S843">
        <v>2</v>
      </c>
      <c r="T843">
        <v>13</v>
      </c>
      <c r="U843">
        <v>1</v>
      </c>
      <c r="V843">
        <v>0</v>
      </c>
      <c r="W843">
        <v>40</v>
      </c>
      <c r="X843">
        <v>0</v>
      </c>
      <c r="Y843">
        <v>0</v>
      </c>
      <c r="Z843">
        <v>0</v>
      </c>
      <c r="AA843">
        <v>2</v>
      </c>
      <c r="AB843">
        <v>0</v>
      </c>
      <c r="AC843">
        <v>12</v>
      </c>
      <c r="AD843">
        <v>0</v>
      </c>
      <c r="AE843">
        <v>56</v>
      </c>
      <c r="AF843">
        <v>2</v>
      </c>
      <c r="AG843">
        <v>29</v>
      </c>
      <c r="AH843">
        <v>17</v>
      </c>
      <c r="AI843">
        <v>0</v>
      </c>
      <c r="AJ843">
        <v>47</v>
      </c>
      <c r="AK843">
        <v>0</v>
      </c>
      <c r="AL843">
        <v>1</v>
      </c>
      <c r="AM843">
        <v>67</v>
      </c>
      <c r="AN843">
        <v>70</v>
      </c>
      <c r="AO843">
        <v>33</v>
      </c>
      <c r="AQ843" t="str">
        <f t="shared" si="13"/>
        <v>Defensive Forward</v>
      </c>
    </row>
    <row r="844" spans="1:43" x14ac:dyDescent="0.35">
      <c r="A844" t="s">
        <v>539</v>
      </c>
      <c r="B844" t="s">
        <v>39</v>
      </c>
      <c r="C844" t="s">
        <v>1710</v>
      </c>
      <c r="D844">
        <v>1990</v>
      </c>
      <c r="E844">
        <v>25</v>
      </c>
      <c r="F844" t="s">
        <v>191</v>
      </c>
      <c r="G844" t="s">
        <v>51</v>
      </c>
      <c r="H844">
        <v>11700000</v>
      </c>
      <c r="I844">
        <v>13500000</v>
      </c>
      <c r="J844" t="s">
        <v>52</v>
      </c>
      <c r="K844">
        <v>33</v>
      </c>
      <c r="L844">
        <v>2943</v>
      </c>
      <c r="M844">
        <v>1</v>
      </c>
      <c r="N844">
        <v>1250</v>
      </c>
      <c r="O844">
        <v>3</v>
      </c>
      <c r="P844">
        <v>7</v>
      </c>
      <c r="Q844">
        <v>0</v>
      </c>
      <c r="R844">
        <v>0</v>
      </c>
      <c r="S844">
        <v>2</v>
      </c>
      <c r="T844">
        <v>21</v>
      </c>
      <c r="U844">
        <v>7</v>
      </c>
      <c r="V844">
        <v>0</v>
      </c>
      <c r="W844">
        <v>62</v>
      </c>
      <c r="X844">
        <v>0</v>
      </c>
      <c r="Y844">
        <v>0</v>
      </c>
      <c r="Z844">
        <v>0</v>
      </c>
      <c r="AA844">
        <v>3</v>
      </c>
      <c r="AB844">
        <v>0</v>
      </c>
      <c r="AC844">
        <v>0</v>
      </c>
      <c r="AD844">
        <v>0</v>
      </c>
      <c r="AE844">
        <v>78</v>
      </c>
      <c r="AF844">
        <v>5</v>
      </c>
      <c r="AG844">
        <v>92</v>
      </c>
      <c r="AH844">
        <v>29</v>
      </c>
      <c r="AI844">
        <v>0</v>
      </c>
      <c r="AJ844">
        <v>87</v>
      </c>
      <c r="AK844">
        <v>1</v>
      </c>
      <c r="AL844">
        <v>0</v>
      </c>
      <c r="AM844">
        <v>106</v>
      </c>
      <c r="AN844">
        <v>52</v>
      </c>
      <c r="AO844">
        <v>25</v>
      </c>
      <c r="AQ844" t="str">
        <f t="shared" si="13"/>
        <v>Defensive Forward</v>
      </c>
    </row>
    <row r="845" spans="1:43" x14ac:dyDescent="0.35">
      <c r="A845" t="s">
        <v>539</v>
      </c>
      <c r="B845" t="s">
        <v>46</v>
      </c>
      <c r="C845" t="s">
        <v>1711</v>
      </c>
      <c r="D845">
        <v>1990</v>
      </c>
      <c r="E845">
        <v>28</v>
      </c>
      <c r="F845" t="s">
        <v>114</v>
      </c>
      <c r="G845" t="s">
        <v>51</v>
      </c>
      <c r="H845">
        <v>45000000</v>
      </c>
      <c r="I845">
        <v>45000000</v>
      </c>
      <c r="J845" t="s">
        <v>52</v>
      </c>
      <c r="K845">
        <v>33</v>
      </c>
      <c r="L845">
        <v>2777</v>
      </c>
      <c r="M845">
        <v>0</v>
      </c>
      <c r="N845">
        <v>2389</v>
      </c>
      <c r="O845">
        <v>0</v>
      </c>
      <c r="P845">
        <v>3</v>
      </c>
      <c r="Q845">
        <v>0</v>
      </c>
      <c r="R845">
        <v>3</v>
      </c>
      <c r="S845">
        <v>1</v>
      </c>
      <c r="T845">
        <v>21</v>
      </c>
      <c r="U845">
        <v>4</v>
      </c>
      <c r="V845">
        <v>0</v>
      </c>
      <c r="W845">
        <v>25</v>
      </c>
      <c r="X845">
        <v>0</v>
      </c>
      <c r="Y845">
        <v>0</v>
      </c>
      <c r="Z845">
        <v>0</v>
      </c>
      <c r="AA845">
        <v>4</v>
      </c>
      <c r="AB845">
        <v>4</v>
      </c>
      <c r="AC845">
        <v>17</v>
      </c>
      <c r="AD845">
        <v>0</v>
      </c>
      <c r="AE845">
        <v>59</v>
      </c>
      <c r="AF845">
        <v>5</v>
      </c>
      <c r="AG845">
        <v>36</v>
      </c>
      <c r="AH845">
        <v>15</v>
      </c>
      <c r="AI845">
        <v>0</v>
      </c>
      <c r="AJ845">
        <v>40</v>
      </c>
      <c r="AK845">
        <v>0</v>
      </c>
      <c r="AL845">
        <v>0</v>
      </c>
      <c r="AM845">
        <v>50</v>
      </c>
      <c r="AN845">
        <v>45</v>
      </c>
      <c r="AO845">
        <v>25</v>
      </c>
      <c r="AQ845" t="str">
        <f t="shared" si="13"/>
        <v>Defensive Forward</v>
      </c>
    </row>
    <row r="846" spans="1:43" x14ac:dyDescent="0.35">
      <c r="A846" t="s">
        <v>540</v>
      </c>
      <c r="B846" t="s">
        <v>47</v>
      </c>
      <c r="C846" t="s">
        <v>1712</v>
      </c>
      <c r="D846">
        <v>1989</v>
      </c>
      <c r="E846">
        <v>27</v>
      </c>
      <c r="F846" t="s">
        <v>78</v>
      </c>
      <c r="G846" t="s">
        <v>172</v>
      </c>
      <c r="H846">
        <v>5400000</v>
      </c>
      <c r="I846">
        <v>6300000</v>
      </c>
      <c r="J846" t="s">
        <v>52</v>
      </c>
      <c r="K846">
        <v>30</v>
      </c>
      <c r="L846">
        <v>2545</v>
      </c>
      <c r="M846">
        <v>1</v>
      </c>
      <c r="N846">
        <v>787</v>
      </c>
      <c r="O846">
        <v>0</v>
      </c>
      <c r="P846">
        <v>4</v>
      </c>
      <c r="Q846">
        <v>0</v>
      </c>
      <c r="R846">
        <v>1</v>
      </c>
      <c r="S846">
        <v>1</v>
      </c>
      <c r="T846">
        <v>17</v>
      </c>
      <c r="U846">
        <v>4</v>
      </c>
      <c r="V846">
        <v>0</v>
      </c>
      <c r="W846">
        <v>112</v>
      </c>
      <c r="X846">
        <v>0</v>
      </c>
      <c r="Y846">
        <v>0</v>
      </c>
      <c r="Z846">
        <v>0</v>
      </c>
      <c r="AA846">
        <v>2</v>
      </c>
      <c r="AB846">
        <v>1</v>
      </c>
      <c r="AC846">
        <v>0</v>
      </c>
      <c r="AD846">
        <v>0</v>
      </c>
      <c r="AE846">
        <v>3</v>
      </c>
      <c r="AF846">
        <v>22</v>
      </c>
      <c r="AG846">
        <v>44</v>
      </c>
      <c r="AH846">
        <v>14</v>
      </c>
      <c r="AI846">
        <v>0</v>
      </c>
      <c r="AJ846">
        <v>30</v>
      </c>
      <c r="AK846">
        <v>0</v>
      </c>
      <c r="AL846">
        <v>0</v>
      </c>
      <c r="AM846">
        <v>199</v>
      </c>
      <c r="AN846">
        <v>77</v>
      </c>
      <c r="AO846">
        <v>44</v>
      </c>
      <c r="AQ846" t="str">
        <f t="shared" si="13"/>
        <v>Defensive Forward</v>
      </c>
    </row>
    <row r="847" spans="1:43" x14ac:dyDescent="0.35">
      <c r="A847" t="s">
        <v>540</v>
      </c>
      <c r="B847" t="s">
        <v>39</v>
      </c>
      <c r="C847" t="s">
        <v>1713</v>
      </c>
      <c r="D847">
        <v>1989</v>
      </c>
      <c r="E847">
        <v>26</v>
      </c>
      <c r="F847" t="s">
        <v>78</v>
      </c>
      <c r="G847" t="s">
        <v>172</v>
      </c>
      <c r="H847">
        <v>2250000</v>
      </c>
      <c r="I847">
        <v>5400000</v>
      </c>
      <c r="J847" t="s">
        <v>52</v>
      </c>
      <c r="K847">
        <v>15</v>
      </c>
      <c r="L847">
        <v>1315</v>
      </c>
      <c r="M847">
        <v>2</v>
      </c>
      <c r="N847">
        <v>402</v>
      </c>
      <c r="O847">
        <v>1</v>
      </c>
      <c r="P847">
        <v>0</v>
      </c>
      <c r="Q847">
        <v>0</v>
      </c>
      <c r="R847">
        <v>0</v>
      </c>
      <c r="S847">
        <v>1</v>
      </c>
      <c r="T847">
        <v>10</v>
      </c>
      <c r="U847">
        <v>4</v>
      </c>
      <c r="V847">
        <v>0</v>
      </c>
      <c r="W847">
        <v>78</v>
      </c>
      <c r="X847">
        <v>0</v>
      </c>
      <c r="Y847">
        <v>0</v>
      </c>
      <c r="Z847">
        <v>0</v>
      </c>
      <c r="AA847">
        <v>1</v>
      </c>
      <c r="AB847">
        <v>0</v>
      </c>
      <c r="AC847">
        <v>2</v>
      </c>
      <c r="AD847">
        <v>0</v>
      </c>
      <c r="AE847">
        <v>2</v>
      </c>
      <c r="AF847">
        <v>10</v>
      </c>
      <c r="AG847">
        <v>33</v>
      </c>
      <c r="AH847">
        <v>5</v>
      </c>
      <c r="AI847">
        <v>0</v>
      </c>
      <c r="AJ847">
        <v>28</v>
      </c>
      <c r="AK847">
        <v>0</v>
      </c>
      <c r="AL847">
        <v>0</v>
      </c>
      <c r="AM847">
        <v>138</v>
      </c>
      <c r="AN847">
        <v>49</v>
      </c>
      <c r="AO847">
        <v>32</v>
      </c>
      <c r="AQ847" t="str">
        <f t="shared" si="13"/>
        <v>Defensive Forward</v>
      </c>
    </row>
    <row r="848" spans="1:43" x14ac:dyDescent="0.35">
      <c r="A848" t="s">
        <v>541</v>
      </c>
      <c r="B848" t="s">
        <v>43</v>
      </c>
      <c r="C848" t="s">
        <v>1714</v>
      </c>
      <c r="D848">
        <v>1988</v>
      </c>
      <c r="E848">
        <v>29</v>
      </c>
      <c r="F848" t="s">
        <v>58</v>
      </c>
      <c r="G848" t="s">
        <v>95</v>
      </c>
      <c r="H848">
        <v>7150000</v>
      </c>
      <c r="I848">
        <v>4050000</v>
      </c>
      <c r="J848" t="s">
        <v>42</v>
      </c>
      <c r="K848">
        <v>33</v>
      </c>
      <c r="L848">
        <v>1808</v>
      </c>
      <c r="M848">
        <v>6</v>
      </c>
      <c r="N848">
        <v>482</v>
      </c>
      <c r="O848">
        <v>1</v>
      </c>
      <c r="P848">
        <v>1</v>
      </c>
      <c r="Q848">
        <v>0</v>
      </c>
      <c r="R848">
        <v>15</v>
      </c>
      <c r="S848">
        <v>3</v>
      </c>
      <c r="T848">
        <v>25</v>
      </c>
      <c r="U848">
        <v>12</v>
      </c>
      <c r="V848">
        <v>1</v>
      </c>
      <c r="W848">
        <v>24</v>
      </c>
      <c r="X848">
        <v>2</v>
      </c>
      <c r="Y848">
        <v>0</v>
      </c>
      <c r="Z848">
        <v>0</v>
      </c>
      <c r="AA848">
        <v>6</v>
      </c>
      <c r="AB848">
        <v>1</v>
      </c>
      <c r="AC848">
        <v>13</v>
      </c>
      <c r="AD848">
        <v>0</v>
      </c>
      <c r="AE848">
        <v>3</v>
      </c>
      <c r="AF848">
        <v>3</v>
      </c>
      <c r="AG848">
        <v>11</v>
      </c>
      <c r="AH848">
        <v>28</v>
      </c>
      <c r="AI848">
        <v>0</v>
      </c>
      <c r="AJ848">
        <v>14</v>
      </c>
      <c r="AK848">
        <v>0</v>
      </c>
      <c r="AL848">
        <v>0</v>
      </c>
      <c r="AM848">
        <v>35</v>
      </c>
      <c r="AN848">
        <v>127</v>
      </c>
      <c r="AO848">
        <v>144</v>
      </c>
      <c r="AQ848" t="str">
        <f t="shared" si="13"/>
        <v>Forward</v>
      </c>
    </row>
    <row r="849" spans="1:43" x14ac:dyDescent="0.35">
      <c r="A849" t="s">
        <v>541</v>
      </c>
      <c r="B849" t="s">
        <v>46</v>
      </c>
      <c r="C849" t="s">
        <v>1715</v>
      </c>
      <c r="D849">
        <v>1988</v>
      </c>
      <c r="E849">
        <v>29</v>
      </c>
      <c r="F849" t="s">
        <v>58</v>
      </c>
      <c r="G849" t="s">
        <v>95</v>
      </c>
      <c r="H849">
        <v>4050000</v>
      </c>
      <c r="I849">
        <v>3150000</v>
      </c>
      <c r="J849" t="s">
        <v>42</v>
      </c>
      <c r="K849">
        <v>23</v>
      </c>
      <c r="L849">
        <v>1062</v>
      </c>
      <c r="M849">
        <v>0</v>
      </c>
      <c r="N849">
        <v>274</v>
      </c>
      <c r="O849">
        <v>1</v>
      </c>
      <c r="P849">
        <v>1</v>
      </c>
      <c r="Q849">
        <v>0</v>
      </c>
      <c r="R849">
        <v>13</v>
      </c>
      <c r="S849">
        <v>4</v>
      </c>
      <c r="T849">
        <v>30</v>
      </c>
      <c r="U849">
        <v>6</v>
      </c>
      <c r="V849">
        <v>1</v>
      </c>
      <c r="W849">
        <v>6</v>
      </c>
      <c r="X849">
        <v>0</v>
      </c>
      <c r="Y849">
        <v>0</v>
      </c>
      <c r="Z849">
        <v>0</v>
      </c>
      <c r="AA849">
        <v>7</v>
      </c>
      <c r="AB849">
        <v>0</v>
      </c>
      <c r="AC849">
        <v>24</v>
      </c>
      <c r="AD849">
        <v>0</v>
      </c>
      <c r="AE849">
        <v>4</v>
      </c>
      <c r="AF849">
        <v>0</v>
      </c>
      <c r="AG849">
        <v>2</v>
      </c>
      <c r="AH849">
        <v>19</v>
      </c>
      <c r="AI849">
        <v>0</v>
      </c>
      <c r="AJ849">
        <v>6</v>
      </c>
      <c r="AK849">
        <v>0</v>
      </c>
      <c r="AL849">
        <v>0</v>
      </c>
      <c r="AM849">
        <v>8</v>
      </c>
      <c r="AN849">
        <v>81</v>
      </c>
      <c r="AO849">
        <v>91</v>
      </c>
      <c r="AQ849" t="str">
        <f t="shared" si="13"/>
        <v>Forward</v>
      </c>
    </row>
    <row r="850" spans="1:43" x14ac:dyDescent="0.35">
      <c r="A850" t="s">
        <v>542</v>
      </c>
      <c r="B850" t="s">
        <v>39</v>
      </c>
      <c r="C850" t="s">
        <v>1716</v>
      </c>
      <c r="D850">
        <v>1985</v>
      </c>
      <c r="E850">
        <v>29</v>
      </c>
      <c r="F850" t="s">
        <v>61</v>
      </c>
      <c r="G850" t="s">
        <v>67</v>
      </c>
      <c r="H850">
        <v>18000000</v>
      </c>
      <c r="I850">
        <v>19800000</v>
      </c>
      <c r="J850" t="s">
        <v>52</v>
      </c>
      <c r="K850">
        <v>33</v>
      </c>
      <c r="L850">
        <v>2846</v>
      </c>
      <c r="M850">
        <v>4</v>
      </c>
      <c r="N850">
        <v>1691</v>
      </c>
      <c r="O850">
        <v>0</v>
      </c>
      <c r="P850">
        <v>3</v>
      </c>
      <c r="Q850">
        <v>0</v>
      </c>
      <c r="R850">
        <v>0</v>
      </c>
      <c r="S850">
        <v>2</v>
      </c>
      <c r="T850">
        <v>19</v>
      </c>
      <c r="U850">
        <v>8</v>
      </c>
      <c r="V850">
        <v>0</v>
      </c>
      <c r="W850">
        <v>110</v>
      </c>
      <c r="X850">
        <v>1</v>
      </c>
      <c r="Y850">
        <v>0</v>
      </c>
      <c r="Z850">
        <v>0</v>
      </c>
      <c r="AA850">
        <v>1</v>
      </c>
      <c r="AB850">
        <v>2</v>
      </c>
      <c r="AC850">
        <v>0</v>
      </c>
      <c r="AD850">
        <v>0</v>
      </c>
      <c r="AE850">
        <v>3</v>
      </c>
      <c r="AF850">
        <v>27</v>
      </c>
      <c r="AG850">
        <v>126</v>
      </c>
      <c r="AH850">
        <v>31</v>
      </c>
      <c r="AI850">
        <v>0</v>
      </c>
      <c r="AJ850">
        <v>47</v>
      </c>
      <c r="AK850">
        <v>0</v>
      </c>
      <c r="AL850">
        <v>0</v>
      </c>
      <c r="AM850">
        <v>186</v>
      </c>
      <c r="AN850">
        <v>104</v>
      </c>
      <c r="AO850">
        <v>57</v>
      </c>
      <c r="AQ850" t="str">
        <f t="shared" si="13"/>
        <v>Defensive Forward</v>
      </c>
    </row>
    <row r="851" spans="1:43" x14ac:dyDescent="0.35">
      <c r="A851" t="s">
        <v>542</v>
      </c>
      <c r="B851" t="s">
        <v>47</v>
      </c>
      <c r="C851" t="s">
        <v>1717</v>
      </c>
      <c r="D851">
        <v>1985</v>
      </c>
      <c r="E851">
        <v>30</v>
      </c>
      <c r="F851" t="s">
        <v>61</v>
      </c>
      <c r="G851" t="s">
        <v>67</v>
      </c>
      <c r="H851">
        <v>19800000</v>
      </c>
      <c r="I851">
        <v>19800000</v>
      </c>
      <c r="J851" t="s">
        <v>52</v>
      </c>
      <c r="K851">
        <v>33</v>
      </c>
      <c r="L851">
        <v>2823</v>
      </c>
      <c r="M851">
        <v>2</v>
      </c>
      <c r="N851">
        <v>1667</v>
      </c>
      <c r="O851">
        <v>0</v>
      </c>
      <c r="P851">
        <v>4</v>
      </c>
      <c r="Q851">
        <v>0</v>
      </c>
      <c r="R851">
        <v>0</v>
      </c>
      <c r="S851">
        <v>2</v>
      </c>
      <c r="T851">
        <v>9</v>
      </c>
      <c r="U851">
        <v>4</v>
      </c>
      <c r="V851">
        <v>0</v>
      </c>
      <c r="W851">
        <v>126</v>
      </c>
      <c r="X851">
        <v>0</v>
      </c>
      <c r="Y851">
        <v>0</v>
      </c>
      <c r="Z851">
        <v>0</v>
      </c>
      <c r="AA851">
        <v>2</v>
      </c>
      <c r="AB851">
        <v>0</v>
      </c>
      <c r="AC851">
        <v>0</v>
      </c>
      <c r="AD851">
        <v>0</v>
      </c>
      <c r="AE851">
        <v>3</v>
      </c>
      <c r="AF851">
        <v>22</v>
      </c>
      <c r="AG851">
        <v>90</v>
      </c>
      <c r="AH851">
        <v>19</v>
      </c>
      <c r="AI851">
        <v>1</v>
      </c>
      <c r="AJ851">
        <v>48</v>
      </c>
      <c r="AK851">
        <v>0</v>
      </c>
      <c r="AL851">
        <v>0</v>
      </c>
      <c r="AM851">
        <v>202</v>
      </c>
      <c r="AN851">
        <v>116</v>
      </c>
      <c r="AO851">
        <v>78</v>
      </c>
      <c r="AQ851" t="str">
        <f t="shared" si="13"/>
        <v>Defensive Forward</v>
      </c>
    </row>
    <row r="852" spans="1:43" x14ac:dyDescent="0.35">
      <c r="A852" t="s">
        <v>542</v>
      </c>
      <c r="B852" t="s">
        <v>43</v>
      </c>
      <c r="C852" t="s">
        <v>1718</v>
      </c>
      <c r="D852">
        <v>1985</v>
      </c>
      <c r="E852">
        <v>32</v>
      </c>
      <c r="F852" t="s">
        <v>61</v>
      </c>
      <c r="G852" t="s">
        <v>67</v>
      </c>
      <c r="H852">
        <v>19800000</v>
      </c>
      <c r="I852">
        <v>13500000</v>
      </c>
      <c r="J852" t="s">
        <v>52</v>
      </c>
      <c r="K852">
        <v>25</v>
      </c>
      <c r="L852">
        <v>2227</v>
      </c>
      <c r="M852">
        <v>2</v>
      </c>
      <c r="N852">
        <v>1745</v>
      </c>
      <c r="O852">
        <v>0</v>
      </c>
      <c r="P852">
        <v>4</v>
      </c>
      <c r="Q852">
        <v>0</v>
      </c>
      <c r="R852">
        <v>0</v>
      </c>
      <c r="S852">
        <v>2</v>
      </c>
      <c r="T852">
        <v>9</v>
      </c>
      <c r="U852">
        <v>2</v>
      </c>
      <c r="V852">
        <v>1</v>
      </c>
      <c r="W852">
        <v>79</v>
      </c>
      <c r="X852">
        <v>1</v>
      </c>
      <c r="Y852">
        <v>0</v>
      </c>
      <c r="Z852">
        <v>0</v>
      </c>
      <c r="AA852">
        <v>2</v>
      </c>
      <c r="AB852">
        <v>2</v>
      </c>
      <c r="AC852">
        <v>7</v>
      </c>
      <c r="AD852">
        <v>0</v>
      </c>
      <c r="AE852">
        <v>5</v>
      </c>
      <c r="AF852">
        <v>15</v>
      </c>
      <c r="AG852">
        <v>54</v>
      </c>
      <c r="AH852">
        <v>14</v>
      </c>
      <c r="AI852">
        <v>0</v>
      </c>
      <c r="AJ852">
        <v>43</v>
      </c>
      <c r="AK852">
        <v>1</v>
      </c>
      <c r="AL852">
        <v>0</v>
      </c>
      <c r="AM852">
        <v>134</v>
      </c>
      <c r="AN852">
        <v>80</v>
      </c>
      <c r="AO852">
        <v>61</v>
      </c>
      <c r="AQ852" t="str">
        <f t="shared" si="13"/>
        <v>Defensive Forward</v>
      </c>
    </row>
    <row r="853" spans="1:43" x14ac:dyDescent="0.35">
      <c r="A853" t="s">
        <v>542</v>
      </c>
      <c r="B853" t="s">
        <v>46</v>
      </c>
      <c r="C853" t="s">
        <v>1719</v>
      </c>
      <c r="D853">
        <v>1985</v>
      </c>
      <c r="E853">
        <v>32</v>
      </c>
      <c r="F853" t="s">
        <v>61</v>
      </c>
      <c r="G853" t="s">
        <v>67</v>
      </c>
      <c r="H853">
        <v>13500000</v>
      </c>
      <c r="I853">
        <v>7200000</v>
      </c>
      <c r="J853" t="s">
        <v>52</v>
      </c>
      <c r="K853">
        <v>17</v>
      </c>
      <c r="L853">
        <v>1330</v>
      </c>
      <c r="M853">
        <v>3</v>
      </c>
      <c r="N853">
        <v>891</v>
      </c>
      <c r="O853">
        <v>0</v>
      </c>
      <c r="P853">
        <v>1</v>
      </c>
      <c r="Q853">
        <v>0</v>
      </c>
      <c r="R853">
        <v>4</v>
      </c>
      <c r="S853">
        <v>1</v>
      </c>
      <c r="T853">
        <v>5</v>
      </c>
      <c r="U853">
        <v>4</v>
      </c>
      <c r="V853">
        <v>0</v>
      </c>
      <c r="W853">
        <v>45</v>
      </c>
      <c r="X853">
        <v>1</v>
      </c>
      <c r="Y853">
        <v>0</v>
      </c>
      <c r="Z853">
        <v>0</v>
      </c>
      <c r="AA853">
        <v>0</v>
      </c>
      <c r="AB853">
        <v>0</v>
      </c>
      <c r="AC853">
        <v>1</v>
      </c>
      <c r="AD853">
        <v>0</v>
      </c>
      <c r="AE853">
        <v>0</v>
      </c>
      <c r="AF853">
        <v>15</v>
      </c>
      <c r="AG853">
        <v>30</v>
      </c>
      <c r="AH853">
        <v>9</v>
      </c>
      <c r="AI853">
        <v>0</v>
      </c>
      <c r="AJ853">
        <v>19</v>
      </c>
      <c r="AK853">
        <v>0</v>
      </c>
      <c r="AL853">
        <v>0</v>
      </c>
      <c r="AM853">
        <v>70</v>
      </c>
      <c r="AN853">
        <v>25</v>
      </c>
      <c r="AO853">
        <v>28</v>
      </c>
      <c r="AQ853" t="str">
        <f t="shared" si="13"/>
        <v>Defensive Forward</v>
      </c>
    </row>
    <row r="854" spans="1:43" x14ac:dyDescent="0.35">
      <c r="A854" t="s">
        <v>543</v>
      </c>
      <c r="B854" t="s">
        <v>47</v>
      </c>
      <c r="C854" t="s">
        <v>1720</v>
      </c>
      <c r="D854">
        <v>1994</v>
      </c>
      <c r="E854">
        <v>22</v>
      </c>
      <c r="F854" t="s">
        <v>80</v>
      </c>
      <c r="G854" t="s">
        <v>115</v>
      </c>
      <c r="H854">
        <v>18700000</v>
      </c>
      <c r="I854">
        <v>19800000</v>
      </c>
      <c r="J854" t="s">
        <v>55</v>
      </c>
      <c r="K854">
        <v>12</v>
      </c>
      <c r="L854">
        <v>1011</v>
      </c>
      <c r="M854">
        <v>2</v>
      </c>
      <c r="N854">
        <v>334</v>
      </c>
      <c r="O854">
        <v>0</v>
      </c>
      <c r="P854">
        <v>4</v>
      </c>
      <c r="Q854">
        <v>0</v>
      </c>
      <c r="R854">
        <v>0</v>
      </c>
      <c r="S854">
        <v>7</v>
      </c>
      <c r="T854">
        <v>12</v>
      </c>
      <c r="U854">
        <v>5</v>
      </c>
      <c r="V854">
        <v>2</v>
      </c>
      <c r="W854">
        <v>5</v>
      </c>
      <c r="X854">
        <v>1</v>
      </c>
      <c r="Y854">
        <v>0</v>
      </c>
      <c r="Z854">
        <v>0</v>
      </c>
      <c r="AA854">
        <v>2</v>
      </c>
      <c r="AB854">
        <v>3</v>
      </c>
      <c r="AC854">
        <v>1</v>
      </c>
      <c r="AD854">
        <v>1</v>
      </c>
      <c r="AE854">
        <v>18</v>
      </c>
      <c r="AF854">
        <v>0</v>
      </c>
      <c r="AG854">
        <v>14</v>
      </c>
      <c r="AH854">
        <v>17</v>
      </c>
      <c r="AI854">
        <v>0</v>
      </c>
      <c r="AJ854">
        <v>18</v>
      </c>
      <c r="AK854">
        <v>0</v>
      </c>
      <c r="AL854">
        <v>0</v>
      </c>
      <c r="AM854">
        <v>8</v>
      </c>
      <c r="AN854">
        <v>7</v>
      </c>
      <c r="AO854">
        <v>11</v>
      </c>
      <c r="AQ854" t="str">
        <f t="shared" si="13"/>
        <v>Midfielder</v>
      </c>
    </row>
    <row r="855" spans="1:43" x14ac:dyDescent="0.35">
      <c r="A855" t="s">
        <v>544</v>
      </c>
      <c r="B855" t="s">
        <v>46</v>
      </c>
      <c r="C855" t="s">
        <v>1721</v>
      </c>
      <c r="D855">
        <v>1995</v>
      </c>
      <c r="E855">
        <v>23</v>
      </c>
      <c r="F855" t="s">
        <v>90</v>
      </c>
      <c r="G855" t="s">
        <v>95</v>
      </c>
      <c r="H855">
        <v>3300000</v>
      </c>
      <c r="I855">
        <v>3300000</v>
      </c>
      <c r="J855" t="s">
        <v>55</v>
      </c>
      <c r="K855">
        <v>19</v>
      </c>
      <c r="L855">
        <v>1469</v>
      </c>
      <c r="M855">
        <v>2</v>
      </c>
      <c r="N855">
        <v>607</v>
      </c>
      <c r="O855">
        <v>0</v>
      </c>
      <c r="P855">
        <v>1</v>
      </c>
      <c r="Q855">
        <v>0</v>
      </c>
      <c r="R855">
        <v>2</v>
      </c>
      <c r="S855">
        <v>4</v>
      </c>
      <c r="T855">
        <v>17</v>
      </c>
      <c r="U855">
        <v>10</v>
      </c>
      <c r="V855">
        <v>2</v>
      </c>
      <c r="W855">
        <v>18</v>
      </c>
      <c r="X855">
        <v>0</v>
      </c>
      <c r="Y855">
        <v>0</v>
      </c>
      <c r="Z855">
        <v>0</v>
      </c>
      <c r="AA855">
        <v>1</v>
      </c>
      <c r="AB855">
        <v>0</v>
      </c>
      <c r="AC855">
        <v>7</v>
      </c>
      <c r="AD855">
        <v>0</v>
      </c>
      <c r="AE855">
        <v>7</v>
      </c>
      <c r="AF855">
        <v>6</v>
      </c>
      <c r="AG855">
        <v>22</v>
      </c>
      <c r="AH855">
        <v>11</v>
      </c>
      <c r="AI855">
        <v>0</v>
      </c>
      <c r="AJ855">
        <v>53</v>
      </c>
      <c r="AK855">
        <v>0</v>
      </c>
      <c r="AL855">
        <v>0</v>
      </c>
      <c r="AM855">
        <v>29</v>
      </c>
      <c r="AN855">
        <v>56</v>
      </c>
      <c r="AO855">
        <v>53</v>
      </c>
      <c r="AQ855" t="str">
        <f t="shared" si="13"/>
        <v>Midfielder</v>
      </c>
    </row>
    <row r="856" spans="1:43" x14ac:dyDescent="0.35">
      <c r="A856" t="s">
        <v>545</v>
      </c>
      <c r="B856" t="s">
        <v>39</v>
      </c>
      <c r="C856" t="s">
        <v>1722</v>
      </c>
      <c r="D856">
        <v>1991</v>
      </c>
      <c r="E856">
        <v>23</v>
      </c>
      <c r="F856" t="s">
        <v>89</v>
      </c>
      <c r="G856" t="s">
        <v>271</v>
      </c>
      <c r="H856">
        <v>2200000</v>
      </c>
      <c r="I856">
        <v>3300000</v>
      </c>
      <c r="J856" t="s">
        <v>55</v>
      </c>
      <c r="K856">
        <v>27</v>
      </c>
      <c r="L856">
        <v>2418</v>
      </c>
      <c r="M856">
        <v>1</v>
      </c>
      <c r="N856">
        <v>1133</v>
      </c>
      <c r="O856">
        <v>0</v>
      </c>
      <c r="P856">
        <v>8</v>
      </c>
      <c r="Q856">
        <v>0</v>
      </c>
      <c r="R856">
        <v>4</v>
      </c>
      <c r="S856">
        <v>5</v>
      </c>
      <c r="T856">
        <v>32</v>
      </c>
      <c r="U856">
        <v>9</v>
      </c>
      <c r="V856">
        <v>1</v>
      </c>
      <c r="W856">
        <v>24</v>
      </c>
      <c r="X856">
        <v>0</v>
      </c>
      <c r="Y856">
        <v>0</v>
      </c>
      <c r="Z856">
        <v>0</v>
      </c>
      <c r="AA856">
        <v>2</v>
      </c>
      <c r="AB856">
        <v>2</v>
      </c>
      <c r="AC856">
        <v>1</v>
      </c>
      <c r="AD856">
        <v>18</v>
      </c>
      <c r="AE856">
        <v>92</v>
      </c>
      <c r="AF856">
        <v>3</v>
      </c>
      <c r="AG856">
        <v>56</v>
      </c>
      <c r="AH856">
        <v>36</v>
      </c>
      <c r="AI856">
        <v>1</v>
      </c>
      <c r="AJ856">
        <v>48</v>
      </c>
      <c r="AK856">
        <v>2</v>
      </c>
      <c r="AL856">
        <v>0</v>
      </c>
      <c r="AM856">
        <v>53</v>
      </c>
      <c r="AN856">
        <v>26</v>
      </c>
      <c r="AO856">
        <v>24</v>
      </c>
      <c r="AQ856" t="str">
        <f t="shared" si="13"/>
        <v>Midfielder</v>
      </c>
    </row>
    <row r="857" spans="1:43" x14ac:dyDescent="0.35">
      <c r="A857" t="s">
        <v>545</v>
      </c>
      <c r="B857" t="s">
        <v>46</v>
      </c>
      <c r="C857" t="s">
        <v>1723</v>
      </c>
      <c r="D857">
        <v>1991</v>
      </c>
      <c r="E857">
        <v>26</v>
      </c>
      <c r="F857" t="s">
        <v>169</v>
      </c>
      <c r="G857" t="s">
        <v>271</v>
      </c>
      <c r="H857">
        <v>3500000</v>
      </c>
      <c r="I857">
        <v>3500000</v>
      </c>
      <c r="J857" t="s">
        <v>55</v>
      </c>
      <c r="K857">
        <v>11</v>
      </c>
      <c r="L857">
        <v>554</v>
      </c>
      <c r="M857">
        <v>0</v>
      </c>
      <c r="N857">
        <v>145</v>
      </c>
      <c r="O857">
        <v>0</v>
      </c>
      <c r="P857">
        <v>2</v>
      </c>
      <c r="Q857">
        <v>0</v>
      </c>
      <c r="R857">
        <v>7</v>
      </c>
      <c r="S857">
        <v>0</v>
      </c>
      <c r="T857">
        <v>5</v>
      </c>
      <c r="U857">
        <v>1</v>
      </c>
      <c r="V857">
        <v>0</v>
      </c>
      <c r="W857">
        <v>3</v>
      </c>
      <c r="X857">
        <v>0</v>
      </c>
      <c r="Y857">
        <v>0</v>
      </c>
      <c r="Z857">
        <v>0</v>
      </c>
      <c r="AA857">
        <v>0</v>
      </c>
      <c r="AB857">
        <v>1</v>
      </c>
      <c r="AC857">
        <v>4</v>
      </c>
      <c r="AD857">
        <v>1</v>
      </c>
      <c r="AE857">
        <v>7</v>
      </c>
      <c r="AF857">
        <v>2</v>
      </c>
      <c r="AG857">
        <v>15</v>
      </c>
      <c r="AH857">
        <v>13</v>
      </c>
      <c r="AI857">
        <v>0</v>
      </c>
      <c r="AJ857">
        <v>15</v>
      </c>
      <c r="AK857">
        <v>0</v>
      </c>
      <c r="AL857">
        <v>0</v>
      </c>
      <c r="AM857">
        <v>9</v>
      </c>
      <c r="AN857">
        <v>7</v>
      </c>
      <c r="AO857">
        <v>10</v>
      </c>
      <c r="AQ857" t="str">
        <f t="shared" si="13"/>
        <v>Midfielder</v>
      </c>
    </row>
    <row r="858" spans="1:43" x14ac:dyDescent="0.35">
      <c r="A858" t="s">
        <v>546</v>
      </c>
      <c r="B858" t="s">
        <v>39</v>
      </c>
      <c r="C858" t="s">
        <v>1724</v>
      </c>
      <c r="D858">
        <v>1988</v>
      </c>
      <c r="E858">
        <v>27</v>
      </c>
      <c r="F858" t="s">
        <v>78</v>
      </c>
      <c r="G858" t="s">
        <v>51</v>
      </c>
      <c r="H858">
        <v>3500000</v>
      </c>
      <c r="I858">
        <v>3500000</v>
      </c>
      <c r="J858" t="s">
        <v>55</v>
      </c>
      <c r="K858">
        <v>25</v>
      </c>
      <c r="L858">
        <v>2216</v>
      </c>
      <c r="M858">
        <v>0</v>
      </c>
      <c r="N858">
        <v>929</v>
      </c>
      <c r="O858">
        <v>0</v>
      </c>
      <c r="P858">
        <v>8</v>
      </c>
      <c r="Q858">
        <v>0</v>
      </c>
      <c r="R858">
        <v>4</v>
      </c>
      <c r="S858">
        <v>11</v>
      </c>
      <c r="T858">
        <v>11</v>
      </c>
      <c r="U858">
        <v>1</v>
      </c>
      <c r="V858">
        <v>0</v>
      </c>
      <c r="W858">
        <v>22</v>
      </c>
      <c r="X858">
        <v>0</v>
      </c>
      <c r="Y858">
        <v>0</v>
      </c>
      <c r="Z858">
        <v>0</v>
      </c>
      <c r="AA858">
        <v>0</v>
      </c>
      <c r="AB858">
        <v>8</v>
      </c>
      <c r="AC858">
        <v>1</v>
      </c>
      <c r="AD858">
        <v>0</v>
      </c>
      <c r="AE858">
        <v>7</v>
      </c>
      <c r="AF858">
        <v>18</v>
      </c>
      <c r="AG858">
        <v>52</v>
      </c>
      <c r="AH858">
        <v>40</v>
      </c>
      <c r="AI858">
        <v>0</v>
      </c>
      <c r="AJ858">
        <v>57</v>
      </c>
      <c r="AK858">
        <v>0</v>
      </c>
      <c r="AL858">
        <v>0</v>
      </c>
      <c r="AM858">
        <v>31</v>
      </c>
      <c r="AN858">
        <v>26</v>
      </c>
      <c r="AO858">
        <v>25</v>
      </c>
      <c r="AQ858" t="str">
        <f t="shared" si="13"/>
        <v>Midfielder</v>
      </c>
    </row>
    <row r="859" spans="1:43" x14ac:dyDescent="0.35">
      <c r="A859" t="s">
        <v>547</v>
      </c>
      <c r="B859" t="s">
        <v>46</v>
      </c>
      <c r="C859" t="s">
        <v>1725</v>
      </c>
      <c r="D859">
        <v>1986</v>
      </c>
      <c r="E859">
        <v>31</v>
      </c>
      <c r="F859" t="s">
        <v>169</v>
      </c>
      <c r="G859" t="s">
        <v>51</v>
      </c>
      <c r="H859">
        <v>1650000</v>
      </c>
      <c r="I859">
        <v>1650000</v>
      </c>
      <c r="J859" t="s">
        <v>55</v>
      </c>
      <c r="K859">
        <v>20</v>
      </c>
      <c r="L859">
        <v>1543</v>
      </c>
      <c r="M859">
        <v>0</v>
      </c>
      <c r="N859">
        <v>342</v>
      </c>
      <c r="O859">
        <v>0</v>
      </c>
      <c r="P859">
        <v>4</v>
      </c>
      <c r="Q859">
        <v>0</v>
      </c>
      <c r="R859">
        <v>3</v>
      </c>
      <c r="S859">
        <v>1</v>
      </c>
      <c r="T859">
        <v>0</v>
      </c>
      <c r="U859">
        <v>0</v>
      </c>
      <c r="V859">
        <v>0</v>
      </c>
      <c r="W859">
        <v>29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6</v>
      </c>
      <c r="AF859">
        <v>12</v>
      </c>
      <c r="AG859">
        <v>18</v>
      </c>
      <c r="AH859">
        <v>15</v>
      </c>
      <c r="AI859">
        <v>0</v>
      </c>
      <c r="AJ859">
        <v>39</v>
      </c>
      <c r="AK859">
        <v>0</v>
      </c>
      <c r="AL859">
        <v>0</v>
      </c>
      <c r="AM859">
        <v>53</v>
      </c>
      <c r="AN859">
        <v>30</v>
      </c>
      <c r="AO859">
        <v>26</v>
      </c>
      <c r="AQ859" t="str">
        <f t="shared" si="13"/>
        <v>Midfielder</v>
      </c>
    </row>
    <row r="860" spans="1:43" x14ac:dyDescent="0.35">
      <c r="A860" t="s">
        <v>548</v>
      </c>
      <c r="B860" t="s">
        <v>47</v>
      </c>
      <c r="C860" t="s">
        <v>1726</v>
      </c>
      <c r="D860">
        <v>1984</v>
      </c>
      <c r="E860">
        <v>31</v>
      </c>
      <c r="F860" t="s">
        <v>54</v>
      </c>
      <c r="G860" t="s">
        <v>51</v>
      </c>
      <c r="H860">
        <v>11200000</v>
      </c>
      <c r="I860">
        <v>10800000</v>
      </c>
      <c r="J860" t="s">
        <v>52</v>
      </c>
      <c r="K860">
        <v>32</v>
      </c>
      <c r="L860">
        <v>2821</v>
      </c>
      <c r="M860">
        <v>2</v>
      </c>
      <c r="N860">
        <v>1309</v>
      </c>
      <c r="O860">
        <v>3</v>
      </c>
      <c r="P860">
        <v>4</v>
      </c>
      <c r="Q860">
        <v>0</v>
      </c>
      <c r="R860">
        <v>0</v>
      </c>
      <c r="S860">
        <v>3</v>
      </c>
      <c r="T860">
        <v>15</v>
      </c>
      <c r="U860">
        <v>5</v>
      </c>
      <c r="V860">
        <v>1</v>
      </c>
      <c r="W860">
        <v>40</v>
      </c>
      <c r="X860">
        <v>0</v>
      </c>
      <c r="Y860">
        <v>2</v>
      </c>
      <c r="Z860">
        <v>0</v>
      </c>
      <c r="AA860">
        <v>0</v>
      </c>
      <c r="AB860">
        <v>1</v>
      </c>
      <c r="AC860">
        <v>1</v>
      </c>
      <c r="AD860">
        <v>25</v>
      </c>
      <c r="AE860">
        <v>112</v>
      </c>
      <c r="AF860">
        <v>6</v>
      </c>
      <c r="AG860">
        <v>45</v>
      </c>
      <c r="AH860">
        <v>35</v>
      </c>
      <c r="AI860">
        <v>2</v>
      </c>
      <c r="AJ860">
        <v>63</v>
      </c>
      <c r="AK860">
        <v>0</v>
      </c>
      <c r="AL860">
        <v>0</v>
      </c>
      <c r="AM860">
        <v>65</v>
      </c>
      <c r="AN860">
        <v>27</v>
      </c>
      <c r="AO860">
        <v>34</v>
      </c>
      <c r="AQ860" t="str">
        <f t="shared" si="13"/>
        <v>Defensive Forward</v>
      </c>
    </row>
    <row r="861" spans="1:43" x14ac:dyDescent="0.35">
      <c r="A861" t="s">
        <v>548</v>
      </c>
      <c r="B861" t="s">
        <v>43</v>
      </c>
      <c r="C861" t="s">
        <v>1727</v>
      </c>
      <c r="D861">
        <v>1984</v>
      </c>
      <c r="E861">
        <v>32</v>
      </c>
      <c r="F861" t="s">
        <v>54</v>
      </c>
      <c r="G861" t="s">
        <v>51</v>
      </c>
      <c r="H861">
        <v>10800000</v>
      </c>
      <c r="I861">
        <v>7200000</v>
      </c>
      <c r="J861" t="s">
        <v>52</v>
      </c>
      <c r="K861">
        <v>22</v>
      </c>
      <c r="L861">
        <v>1910</v>
      </c>
      <c r="M861">
        <v>2</v>
      </c>
      <c r="N861">
        <v>754</v>
      </c>
      <c r="O861">
        <v>3</v>
      </c>
      <c r="P861">
        <v>1</v>
      </c>
      <c r="Q861">
        <v>0</v>
      </c>
      <c r="R861">
        <v>0</v>
      </c>
      <c r="S861">
        <v>2</v>
      </c>
      <c r="T861">
        <v>4</v>
      </c>
      <c r="U861">
        <v>4</v>
      </c>
      <c r="V861">
        <v>0</v>
      </c>
      <c r="W861">
        <v>15</v>
      </c>
      <c r="X861">
        <v>0</v>
      </c>
      <c r="Y861">
        <v>2</v>
      </c>
      <c r="Z861">
        <v>0</v>
      </c>
      <c r="AA861">
        <v>1</v>
      </c>
      <c r="AB861">
        <v>0</v>
      </c>
      <c r="AC861">
        <v>0</v>
      </c>
      <c r="AD861">
        <v>21</v>
      </c>
      <c r="AE861">
        <v>75</v>
      </c>
      <c r="AF861">
        <v>6</v>
      </c>
      <c r="AG861">
        <v>25</v>
      </c>
      <c r="AH861">
        <v>7</v>
      </c>
      <c r="AI861">
        <v>0</v>
      </c>
      <c r="AJ861">
        <v>25</v>
      </c>
      <c r="AK861">
        <v>0</v>
      </c>
      <c r="AL861">
        <v>0</v>
      </c>
      <c r="AM861">
        <v>47</v>
      </c>
      <c r="AN861">
        <v>14</v>
      </c>
      <c r="AO861">
        <v>20</v>
      </c>
      <c r="AQ861" t="str">
        <f t="shared" si="13"/>
        <v>Defensive Forward</v>
      </c>
    </row>
    <row r="862" spans="1:43" x14ac:dyDescent="0.35">
      <c r="A862" t="s">
        <v>548</v>
      </c>
      <c r="B862" t="s">
        <v>39</v>
      </c>
      <c r="C862" t="s">
        <v>1728</v>
      </c>
      <c r="D862">
        <v>1984</v>
      </c>
      <c r="E862">
        <v>30</v>
      </c>
      <c r="F862" t="s">
        <v>54</v>
      </c>
      <c r="G862" t="s">
        <v>51</v>
      </c>
      <c r="H862">
        <v>16200000</v>
      </c>
      <c r="I862">
        <v>11200000</v>
      </c>
      <c r="J862" t="s">
        <v>52</v>
      </c>
      <c r="K862">
        <v>18</v>
      </c>
      <c r="L862">
        <v>1477</v>
      </c>
      <c r="M862">
        <v>2</v>
      </c>
      <c r="N862">
        <v>756</v>
      </c>
      <c r="O862">
        <v>1</v>
      </c>
      <c r="P862">
        <v>0</v>
      </c>
      <c r="Q862">
        <v>0</v>
      </c>
      <c r="R862">
        <v>2</v>
      </c>
      <c r="S862">
        <v>0</v>
      </c>
      <c r="T862">
        <v>9</v>
      </c>
      <c r="U862">
        <v>3</v>
      </c>
      <c r="V862">
        <v>1</v>
      </c>
      <c r="W862">
        <v>21</v>
      </c>
      <c r="X862">
        <v>0</v>
      </c>
      <c r="Y862">
        <v>1</v>
      </c>
      <c r="Z862">
        <v>0</v>
      </c>
      <c r="AA862">
        <v>4</v>
      </c>
      <c r="AB862">
        <v>0</v>
      </c>
      <c r="AC862">
        <v>0</v>
      </c>
      <c r="AD862">
        <v>42</v>
      </c>
      <c r="AE862">
        <v>103</v>
      </c>
      <c r="AF862">
        <v>6</v>
      </c>
      <c r="AG862">
        <v>29</v>
      </c>
      <c r="AH862">
        <v>6</v>
      </c>
      <c r="AI862">
        <v>0</v>
      </c>
      <c r="AJ862">
        <v>34</v>
      </c>
      <c r="AK862">
        <v>0</v>
      </c>
      <c r="AL862">
        <v>0</v>
      </c>
      <c r="AM862">
        <v>42</v>
      </c>
      <c r="AN862">
        <v>9</v>
      </c>
      <c r="AO862">
        <v>17</v>
      </c>
      <c r="AQ862" t="str">
        <f t="shared" si="13"/>
        <v>Defensive Forward</v>
      </c>
    </row>
    <row r="863" spans="1:43" x14ac:dyDescent="0.35">
      <c r="A863" t="s">
        <v>549</v>
      </c>
      <c r="B863" t="s">
        <v>39</v>
      </c>
      <c r="C863" t="s">
        <v>1729</v>
      </c>
      <c r="D863">
        <v>1982</v>
      </c>
      <c r="E863">
        <v>32</v>
      </c>
      <c r="F863" t="s">
        <v>40</v>
      </c>
      <c r="G863" t="s">
        <v>51</v>
      </c>
      <c r="H863">
        <v>1650000</v>
      </c>
      <c r="I863">
        <v>1100000</v>
      </c>
      <c r="J863" t="s">
        <v>55</v>
      </c>
      <c r="K863">
        <v>25</v>
      </c>
      <c r="L863">
        <v>1526</v>
      </c>
      <c r="M863">
        <v>0</v>
      </c>
      <c r="N863">
        <v>1000</v>
      </c>
      <c r="O863">
        <v>0</v>
      </c>
      <c r="P863">
        <v>4</v>
      </c>
      <c r="Q863">
        <v>0</v>
      </c>
      <c r="R863">
        <v>6</v>
      </c>
      <c r="S863">
        <v>12</v>
      </c>
      <c r="T863">
        <v>5</v>
      </c>
      <c r="U863">
        <v>0</v>
      </c>
      <c r="V863">
        <v>0</v>
      </c>
      <c r="W863">
        <v>11</v>
      </c>
      <c r="X863">
        <v>0</v>
      </c>
      <c r="Y863">
        <v>0</v>
      </c>
      <c r="Z863">
        <v>0</v>
      </c>
      <c r="AA863">
        <v>0</v>
      </c>
      <c r="AB863">
        <v>1</v>
      </c>
      <c r="AC863">
        <v>0</v>
      </c>
      <c r="AD863">
        <v>0</v>
      </c>
      <c r="AE863">
        <v>2</v>
      </c>
      <c r="AF863">
        <v>6</v>
      </c>
      <c r="AG863">
        <v>62</v>
      </c>
      <c r="AH863">
        <v>14</v>
      </c>
      <c r="AI863">
        <v>0</v>
      </c>
      <c r="AJ863">
        <v>41</v>
      </c>
      <c r="AK863">
        <v>0</v>
      </c>
      <c r="AL863">
        <v>0</v>
      </c>
      <c r="AM863">
        <v>17</v>
      </c>
      <c r="AN863">
        <v>9</v>
      </c>
      <c r="AO863">
        <v>12</v>
      </c>
      <c r="AQ863" t="str">
        <f t="shared" si="13"/>
        <v>Midfielder</v>
      </c>
    </row>
    <row r="864" spans="1:43" x14ac:dyDescent="0.35">
      <c r="A864" t="s">
        <v>549</v>
      </c>
      <c r="B864" t="s">
        <v>47</v>
      </c>
      <c r="C864" t="s">
        <v>1730</v>
      </c>
      <c r="D864">
        <v>1982</v>
      </c>
      <c r="E864">
        <v>33</v>
      </c>
      <c r="F864" t="s">
        <v>40</v>
      </c>
      <c r="G864" t="s">
        <v>51</v>
      </c>
      <c r="H864">
        <v>9350000</v>
      </c>
      <c r="I864">
        <v>8800000</v>
      </c>
      <c r="J864" t="s">
        <v>55</v>
      </c>
      <c r="K864">
        <v>16</v>
      </c>
      <c r="L864">
        <v>1176</v>
      </c>
      <c r="M864">
        <v>0</v>
      </c>
      <c r="N864">
        <v>727</v>
      </c>
      <c r="O864">
        <v>0</v>
      </c>
      <c r="P864">
        <v>3</v>
      </c>
      <c r="Q864">
        <v>0</v>
      </c>
      <c r="R864">
        <v>0</v>
      </c>
      <c r="S864">
        <v>13</v>
      </c>
      <c r="T864">
        <v>0</v>
      </c>
      <c r="U864">
        <v>0</v>
      </c>
      <c r="V864">
        <v>0</v>
      </c>
      <c r="W864">
        <v>6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5</v>
      </c>
      <c r="AG864">
        <v>19</v>
      </c>
      <c r="AH864">
        <v>6</v>
      </c>
      <c r="AI864">
        <v>0</v>
      </c>
      <c r="AJ864">
        <v>23</v>
      </c>
      <c r="AK864">
        <v>0</v>
      </c>
      <c r="AL864">
        <v>0</v>
      </c>
      <c r="AM864">
        <v>18</v>
      </c>
      <c r="AN864">
        <v>7</v>
      </c>
      <c r="AO864">
        <v>2</v>
      </c>
      <c r="AQ864" t="str">
        <f t="shared" si="13"/>
        <v>Midfielder</v>
      </c>
    </row>
    <row r="865" spans="1:43" x14ac:dyDescent="0.35">
      <c r="A865" t="s">
        <v>550</v>
      </c>
      <c r="B865" t="s">
        <v>39</v>
      </c>
      <c r="C865" t="s">
        <v>1731</v>
      </c>
      <c r="D865">
        <v>1986</v>
      </c>
      <c r="E865">
        <v>29</v>
      </c>
      <c r="F865" t="s">
        <v>99</v>
      </c>
      <c r="G865" t="s">
        <v>262</v>
      </c>
      <c r="H865">
        <v>9300000</v>
      </c>
      <c r="I865">
        <v>7200000</v>
      </c>
      <c r="J865" t="s">
        <v>42</v>
      </c>
      <c r="K865">
        <v>29</v>
      </c>
      <c r="L865">
        <v>968</v>
      </c>
      <c r="M865">
        <v>6</v>
      </c>
      <c r="N865">
        <v>399</v>
      </c>
      <c r="O865">
        <v>2</v>
      </c>
      <c r="P865">
        <v>0</v>
      </c>
      <c r="Q865">
        <v>0</v>
      </c>
      <c r="R865">
        <v>22</v>
      </c>
      <c r="S865">
        <v>5</v>
      </c>
      <c r="T865">
        <v>33</v>
      </c>
      <c r="U865">
        <v>10</v>
      </c>
      <c r="V865">
        <v>0</v>
      </c>
      <c r="W865">
        <v>15</v>
      </c>
      <c r="X865">
        <v>2</v>
      </c>
      <c r="Y865">
        <v>1</v>
      </c>
      <c r="Z865">
        <v>0</v>
      </c>
      <c r="AA865">
        <v>6</v>
      </c>
      <c r="AB865">
        <v>2</v>
      </c>
      <c r="AC865">
        <v>5</v>
      </c>
      <c r="AD865">
        <v>0</v>
      </c>
      <c r="AE865">
        <v>9</v>
      </c>
      <c r="AF865">
        <v>0</v>
      </c>
      <c r="AG865">
        <v>7</v>
      </c>
      <c r="AH865">
        <v>20</v>
      </c>
      <c r="AI865">
        <v>0</v>
      </c>
      <c r="AJ865">
        <v>27</v>
      </c>
      <c r="AK865">
        <v>0</v>
      </c>
      <c r="AL865">
        <v>0</v>
      </c>
      <c r="AM865">
        <v>21</v>
      </c>
      <c r="AN865">
        <v>53</v>
      </c>
      <c r="AO865">
        <v>103</v>
      </c>
      <c r="AQ865" t="str">
        <f t="shared" si="13"/>
        <v>Forward</v>
      </c>
    </row>
    <row r="866" spans="1:43" x14ac:dyDescent="0.35">
      <c r="A866" t="s">
        <v>550</v>
      </c>
      <c r="B866" t="s">
        <v>47</v>
      </c>
      <c r="C866" t="s">
        <v>1732</v>
      </c>
      <c r="D866">
        <v>1986</v>
      </c>
      <c r="E866">
        <v>30</v>
      </c>
      <c r="F866" t="s">
        <v>99</v>
      </c>
      <c r="G866" t="s">
        <v>262</v>
      </c>
      <c r="H866">
        <v>7200000</v>
      </c>
      <c r="I866">
        <v>5400000</v>
      </c>
      <c r="J866" t="s">
        <v>42</v>
      </c>
      <c r="K866">
        <v>16</v>
      </c>
      <c r="L866">
        <v>435</v>
      </c>
      <c r="M866">
        <v>1</v>
      </c>
      <c r="N866">
        <v>233</v>
      </c>
      <c r="O866">
        <v>0</v>
      </c>
      <c r="P866">
        <v>0</v>
      </c>
      <c r="Q866">
        <v>0</v>
      </c>
      <c r="R866">
        <v>13</v>
      </c>
      <c r="S866">
        <v>0</v>
      </c>
      <c r="T866">
        <v>11</v>
      </c>
      <c r="U866">
        <v>5</v>
      </c>
      <c r="V866">
        <v>0</v>
      </c>
      <c r="W866">
        <v>5</v>
      </c>
      <c r="X866">
        <v>1</v>
      </c>
      <c r="Y866">
        <v>0</v>
      </c>
      <c r="Z866">
        <v>0</v>
      </c>
      <c r="AA866">
        <v>4</v>
      </c>
      <c r="AB866">
        <v>0</v>
      </c>
      <c r="AC866">
        <v>2</v>
      </c>
      <c r="AD866">
        <v>0</v>
      </c>
      <c r="AE866">
        <v>0</v>
      </c>
      <c r="AF866">
        <v>0</v>
      </c>
      <c r="AG866">
        <v>3</v>
      </c>
      <c r="AH866">
        <v>20</v>
      </c>
      <c r="AI866">
        <v>0</v>
      </c>
      <c r="AJ866">
        <v>11</v>
      </c>
      <c r="AK866">
        <v>0</v>
      </c>
      <c r="AL866">
        <v>0</v>
      </c>
      <c r="AM866">
        <v>8</v>
      </c>
      <c r="AN866">
        <v>48</v>
      </c>
      <c r="AO866">
        <v>65</v>
      </c>
      <c r="AQ866" t="str">
        <f t="shared" si="13"/>
        <v>Forward</v>
      </c>
    </row>
    <row r="867" spans="1:43" x14ac:dyDescent="0.35">
      <c r="A867" t="s">
        <v>550</v>
      </c>
      <c r="B867" t="s">
        <v>43</v>
      </c>
      <c r="C867" t="s">
        <v>1733</v>
      </c>
      <c r="D867">
        <v>1986</v>
      </c>
      <c r="E867">
        <v>31</v>
      </c>
      <c r="F867" t="s">
        <v>134</v>
      </c>
      <c r="G867" t="s">
        <v>262</v>
      </c>
      <c r="H867">
        <v>5400000</v>
      </c>
      <c r="I867">
        <v>4500000</v>
      </c>
      <c r="J867" t="s">
        <v>42</v>
      </c>
      <c r="K867">
        <v>14</v>
      </c>
      <c r="L867">
        <v>281</v>
      </c>
      <c r="M867">
        <v>1</v>
      </c>
      <c r="N867">
        <v>134</v>
      </c>
      <c r="O867">
        <v>0</v>
      </c>
      <c r="P867">
        <v>0</v>
      </c>
      <c r="Q867">
        <v>0</v>
      </c>
      <c r="R867">
        <v>12</v>
      </c>
      <c r="S867">
        <v>2</v>
      </c>
      <c r="T867">
        <v>2</v>
      </c>
      <c r="U867">
        <v>2</v>
      </c>
      <c r="V867">
        <v>0</v>
      </c>
      <c r="W867">
        <v>3</v>
      </c>
      <c r="X867">
        <v>1</v>
      </c>
      <c r="Y867">
        <v>0</v>
      </c>
      <c r="Z867">
        <v>0</v>
      </c>
      <c r="AA867">
        <v>4</v>
      </c>
      <c r="AB867">
        <v>1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7</v>
      </c>
      <c r="AI867">
        <v>0</v>
      </c>
      <c r="AJ867">
        <v>4</v>
      </c>
      <c r="AK867">
        <v>0</v>
      </c>
      <c r="AL867">
        <v>0</v>
      </c>
      <c r="AM867">
        <v>4</v>
      </c>
      <c r="AN867">
        <v>26</v>
      </c>
      <c r="AO867">
        <v>46</v>
      </c>
      <c r="AQ867" t="str">
        <f t="shared" si="13"/>
        <v>Forward</v>
      </c>
    </row>
    <row r="868" spans="1:43" x14ac:dyDescent="0.35">
      <c r="A868" t="s">
        <v>551</v>
      </c>
      <c r="B868" t="s">
        <v>39</v>
      </c>
      <c r="C868" t="s">
        <v>1734</v>
      </c>
      <c r="D868">
        <v>1990</v>
      </c>
      <c r="E868">
        <v>25</v>
      </c>
      <c r="F868" t="s">
        <v>40</v>
      </c>
      <c r="G868" t="s">
        <v>216</v>
      </c>
      <c r="H868">
        <v>8800000</v>
      </c>
      <c r="I868">
        <v>8800000</v>
      </c>
      <c r="J868" t="s">
        <v>55</v>
      </c>
      <c r="K868">
        <v>11</v>
      </c>
      <c r="L868">
        <v>757</v>
      </c>
      <c r="M868">
        <v>0</v>
      </c>
      <c r="N868">
        <v>441</v>
      </c>
      <c r="O868">
        <v>0</v>
      </c>
      <c r="P868">
        <v>2</v>
      </c>
      <c r="Q868">
        <v>0</v>
      </c>
      <c r="R868">
        <v>2</v>
      </c>
      <c r="S868">
        <v>4</v>
      </c>
      <c r="T868">
        <v>5</v>
      </c>
      <c r="U868">
        <v>1</v>
      </c>
      <c r="V868">
        <v>0</v>
      </c>
      <c r="W868">
        <v>10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2</v>
      </c>
      <c r="AG868">
        <v>13</v>
      </c>
      <c r="AH868">
        <v>14</v>
      </c>
      <c r="AI868">
        <v>0</v>
      </c>
      <c r="AJ868">
        <v>21</v>
      </c>
      <c r="AK868">
        <v>0</v>
      </c>
      <c r="AL868">
        <v>0</v>
      </c>
      <c r="AM868">
        <v>15</v>
      </c>
      <c r="AN868">
        <v>22</v>
      </c>
      <c r="AO868">
        <v>8</v>
      </c>
      <c r="AQ868" t="str">
        <f t="shared" si="13"/>
        <v>Midfielder</v>
      </c>
    </row>
    <row r="869" spans="1:43" x14ac:dyDescent="0.35">
      <c r="A869" t="s">
        <v>551</v>
      </c>
      <c r="B869" t="s">
        <v>47</v>
      </c>
      <c r="C869" t="s">
        <v>1735</v>
      </c>
      <c r="D869">
        <v>1990</v>
      </c>
      <c r="E869">
        <v>26</v>
      </c>
      <c r="F869" t="s">
        <v>40</v>
      </c>
      <c r="G869" t="s">
        <v>216</v>
      </c>
      <c r="H869">
        <v>8800000</v>
      </c>
      <c r="I869">
        <v>8800000</v>
      </c>
      <c r="J869" t="s">
        <v>55</v>
      </c>
      <c r="K869">
        <v>34</v>
      </c>
      <c r="L869">
        <v>2403</v>
      </c>
      <c r="M869">
        <v>6</v>
      </c>
      <c r="N869">
        <v>1230</v>
      </c>
      <c r="O869">
        <v>2</v>
      </c>
      <c r="P869">
        <v>9</v>
      </c>
      <c r="Q869">
        <v>0</v>
      </c>
      <c r="R869">
        <v>7</v>
      </c>
      <c r="S869">
        <v>7</v>
      </c>
      <c r="T869">
        <v>36</v>
      </c>
      <c r="U869">
        <v>11</v>
      </c>
      <c r="V869">
        <v>0</v>
      </c>
      <c r="W869">
        <v>34</v>
      </c>
      <c r="X869">
        <v>1</v>
      </c>
      <c r="Y869">
        <v>0</v>
      </c>
      <c r="Z869">
        <v>0</v>
      </c>
      <c r="AA869">
        <v>1</v>
      </c>
      <c r="AB869">
        <v>5</v>
      </c>
      <c r="AC869">
        <v>1</v>
      </c>
      <c r="AD869">
        <v>0</v>
      </c>
      <c r="AE869">
        <v>13</v>
      </c>
      <c r="AF869">
        <v>8</v>
      </c>
      <c r="AG869">
        <v>23</v>
      </c>
      <c r="AH869">
        <v>48</v>
      </c>
      <c r="AI869">
        <v>0</v>
      </c>
      <c r="AJ869">
        <v>55</v>
      </c>
      <c r="AK869">
        <v>0</v>
      </c>
      <c r="AL869">
        <v>0</v>
      </c>
      <c r="AM869">
        <v>48</v>
      </c>
      <c r="AN869">
        <v>77</v>
      </c>
      <c r="AO869">
        <v>42</v>
      </c>
      <c r="AQ869" t="str">
        <f t="shared" si="13"/>
        <v>Midfielder</v>
      </c>
    </row>
    <row r="870" spans="1:43" x14ac:dyDescent="0.35">
      <c r="A870" t="s">
        <v>551</v>
      </c>
      <c r="B870" t="s">
        <v>43</v>
      </c>
      <c r="C870" t="s">
        <v>1736</v>
      </c>
      <c r="D870">
        <v>1990</v>
      </c>
      <c r="E870">
        <v>27</v>
      </c>
      <c r="F870" t="s">
        <v>40</v>
      </c>
      <c r="G870" t="s">
        <v>216</v>
      </c>
      <c r="H870">
        <v>16500000</v>
      </c>
      <c r="I870">
        <v>22000000</v>
      </c>
      <c r="J870" t="s">
        <v>55</v>
      </c>
      <c r="K870">
        <v>20</v>
      </c>
      <c r="L870">
        <v>1399</v>
      </c>
      <c r="M870">
        <v>1</v>
      </c>
      <c r="N870">
        <v>632</v>
      </c>
      <c r="O870">
        <v>1</v>
      </c>
      <c r="P870">
        <v>5</v>
      </c>
      <c r="Q870">
        <v>0</v>
      </c>
      <c r="R870">
        <v>5</v>
      </c>
      <c r="S870">
        <v>5</v>
      </c>
      <c r="T870">
        <v>12</v>
      </c>
      <c r="U870">
        <v>3</v>
      </c>
      <c r="V870">
        <v>0</v>
      </c>
      <c r="W870">
        <v>16</v>
      </c>
      <c r="X870">
        <v>0</v>
      </c>
      <c r="Y870">
        <v>0</v>
      </c>
      <c r="Z870">
        <v>0</v>
      </c>
      <c r="AA870">
        <v>1</v>
      </c>
      <c r="AB870">
        <v>3</v>
      </c>
      <c r="AC870">
        <v>9</v>
      </c>
      <c r="AD870">
        <v>0</v>
      </c>
      <c r="AE870">
        <v>8</v>
      </c>
      <c r="AF870">
        <v>4</v>
      </c>
      <c r="AG870">
        <v>12</v>
      </c>
      <c r="AH870">
        <v>28</v>
      </c>
      <c r="AI870">
        <v>0</v>
      </c>
      <c r="AJ870">
        <v>44</v>
      </c>
      <c r="AK870">
        <v>2</v>
      </c>
      <c r="AL870">
        <v>0</v>
      </c>
      <c r="AM870">
        <v>23</v>
      </c>
      <c r="AN870">
        <v>42</v>
      </c>
      <c r="AO870">
        <v>22</v>
      </c>
      <c r="AQ870" t="str">
        <f t="shared" si="13"/>
        <v>Midfielder</v>
      </c>
    </row>
    <row r="871" spans="1:43" x14ac:dyDescent="0.35">
      <c r="A871" t="s">
        <v>552</v>
      </c>
      <c r="B871" t="s">
        <v>47</v>
      </c>
      <c r="C871" t="s">
        <v>1737</v>
      </c>
      <c r="D871">
        <v>1996</v>
      </c>
      <c r="E871">
        <v>20</v>
      </c>
      <c r="F871" t="s">
        <v>114</v>
      </c>
      <c r="G871" t="s">
        <v>146</v>
      </c>
      <c r="H871">
        <v>19500000</v>
      </c>
      <c r="I871">
        <v>31500000</v>
      </c>
      <c r="J871" t="s">
        <v>42</v>
      </c>
      <c r="K871">
        <v>26</v>
      </c>
      <c r="L871">
        <v>1786</v>
      </c>
      <c r="M871">
        <v>5</v>
      </c>
      <c r="N871">
        <v>691</v>
      </c>
      <c r="O871">
        <v>3</v>
      </c>
      <c r="P871">
        <v>4</v>
      </c>
      <c r="Q871">
        <v>0</v>
      </c>
      <c r="R871">
        <v>6</v>
      </c>
      <c r="S871">
        <v>12</v>
      </c>
      <c r="T871">
        <v>33</v>
      </c>
      <c r="U871">
        <v>14</v>
      </c>
      <c r="V871">
        <v>2</v>
      </c>
      <c r="W871">
        <v>3</v>
      </c>
      <c r="X871">
        <v>0</v>
      </c>
      <c r="Y871">
        <v>0</v>
      </c>
      <c r="Z871">
        <v>0</v>
      </c>
      <c r="AA871">
        <v>12</v>
      </c>
      <c r="AB871">
        <v>0</v>
      </c>
      <c r="AC871">
        <v>6</v>
      </c>
      <c r="AD871">
        <v>26</v>
      </c>
      <c r="AE871">
        <v>52</v>
      </c>
      <c r="AF871">
        <v>1</v>
      </c>
      <c r="AG871">
        <v>17</v>
      </c>
      <c r="AH871">
        <v>14</v>
      </c>
      <c r="AI871">
        <v>0</v>
      </c>
      <c r="AJ871">
        <v>35</v>
      </c>
      <c r="AK871">
        <v>0</v>
      </c>
      <c r="AL871">
        <v>0</v>
      </c>
      <c r="AM871">
        <v>5</v>
      </c>
      <c r="AN871">
        <v>19</v>
      </c>
      <c r="AO871">
        <v>20</v>
      </c>
      <c r="AQ871" t="str">
        <f t="shared" si="13"/>
        <v>Forward</v>
      </c>
    </row>
    <row r="872" spans="1:43" x14ac:dyDescent="0.35">
      <c r="A872" t="s">
        <v>552</v>
      </c>
      <c r="B872" t="s">
        <v>43</v>
      </c>
      <c r="C872" t="s">
        <v>1738</v>
      </c>
      <c r="D872">
        <v>1996</v>
      </c>
      <c r="E872">
        <v>21</v>
      </c>
      <c r="F872" t="s">
        <v>114</v>
      </c>
      <c r="G872" t="s">
        <v>146</v>
      </c>
      <c r="H872">
        <v>31500000</v>
      </c>
      <c r="I872">
        <v>81000000</v>
      </c>
      <c r="J872" t="s">
        <v>42</v>
      </c>
      <c r="K872">
        <v>32</v>
      </c>
      <c r="L872">
        <v>2422</v>
      </c>
      <c r="M872">
        <v>10</v>
      </c>
      <c r="N872">
        <v>1091</v>
      </c>
      <c r="O872">
        <v>15</v>
      </c>
      <c r="P872">
        <v>4</v>
      </c>
      <c r="Q872">
        <v>0</v>
      </c>
      <c r="R872">
        <v>5</v>
      </c>
      <c r="S872">
        <v>9</v>
      </c>
      <c r="T872">
        <v>57</v>
      </c>
      <c r="U872">
        <v>20</v>
      </c>
      <c r="V872">
        <v>2</v>
      </c>
      <c r="W872">
        <v>1</v>
      </c>
      <c r="X872">
        <v>0</v>
      </c>
      <c r="Y872">
        <v>0</v>
      </c>
      <c r="Z872">
        <v>0</v>
      </c>
      <c r="AA872">
        <v>7</v>
      </c>
      <c r="AB872">
        <v>2</v>
      </c>
      <c r="AC872">
        <v>37</v>
      </c>
      <c r="AD872">
        <v>55</v>
      </c>
      <c r="AE872">
        <v>93</v>
      </c>
      <c r="AF872">
        <v>1</v>
      </c>
      <c r="AG872">
        <v>13</v>
      </c>
      <c r="AH872">
        <v>24</v>
      </c>
      <c r="AI872">
        <v>0</v>
      </c>
      <c r="AJ872">
        <v>27</v>
      </c>
      <c r="AK872">
        <v>0</v>
      </c>
      <c r="AL872">
        <v>0</v>
      </c>
      <c r="AM872">
        <v>6</v>
      </c>
      <c r="AN872">
        <v>16</v>
      </c>
      <c r="AO872">
        <v>14</v>
      </c>
      <c r="AQ872" t="str">
        <f t="shared" si="13"/>
        <v>Forward</v>
      </c>
    </row>
    <row r="873" spans="1:43" x14ac:dyDescent="0.35">
      <c r="A873" t="s">
        <v>552</v>
      </c>
      <c r="B873" t="s">
        <v>46</v>
      </c>
      <c r="C873" t="s">
        <v>1739</v>
      </c>
      <c r="D873">
        <v>1996</v>
      </c>
      <c r="E873">
        <v>22</v>
      </c>
      <c r="F873" t="s">
        <v>114</v>
      </c>
      <c r="G873" t="s">
        <v>146</v>
      </c>
      <c r="H873">
        <v>81000000</v>
      </c>
      <c r="I873">
        <v>90000000</v>
      </c>
      <c r="J873" t="s">
        <v>42</v>
      </c>
      <c r="K873">
        <v>31</v>
      </c>
      <c r="L873">
        <v>1867</v>
      </c>
      <c r="M873">
        <v>10</v>
      </c>
      <c r="N873">
        <v>847</v>
      </c>
      <c r="O873">
        <v>10</v>
      </c>
      <c r="P873">
        <v>0</v>
      </c>
      <c r="Q873">
        <v>0</v>
      </c>
      <c r="R873">
        <v>10</v>
      </c>
      <c r="S873">
        <v>10</v>
      </c>
      <c r="T873">
        <v>56</v>
      </c>
      <c r="U873">
        <v>24</v>
      </c>
      <c r="V873">
        <v>3</v>
      </c>
      <c r="W873">
        <v>1</v>
      </c>
      <c r="X873">
        <v>0</v>
      </c>
      <c r="Y873">
        <v>0</v>
      </c>
      <c r="Z873">
        <v>0</v>
      </c>
      <c r="AA873">
        <v>18</v>
      </c>
      <c r="AB873">
        <v>7</v>
      </c>
      <c r="AC873">
        <v>32</v>
      </c>
      <c r="AD873">
        <v>50</v>
      </c>
      <c r="AE873">
        <v>98</v>
      </c>
      <c r="AF873">
        <v>2</v>
      </c>
      <c r="AG873">
        <v>8</v>
      </c>
      <c r="AH873">
        <v>9</v>
      </c>
      <c r="AI873">
        <v>0</v>
      </c>
      <c r="AJ873">
        <v>24</v>
      </c>
      <c r="AK873">
        <v>0</v>
      </c>
      <c r="AL873">
        <v>0</v>
      </c>
      <c r="AM873">
        <v>2</v>
      </c>
      <c r="AN873">
        <v>10</v>
      </c>
      <c r="AO873">
        <v>23</v>
      </c>
      <c r="AQ873" t="str">
        <f t="shared" si="13"/>
        <v>Forward</v>
      </c>
    </row>
    <row r="874" spans="1:43" x14ac:dyDescent="0.35">
      <c r="A874" t="s">
        <v>553</v>
      </c>
      <c r="B874" t="s">
        <v>46</v>
      </c>
      <c r="C874" t="s">
        <v>1740</v>
      </c>
      <c r="D874">
        <v>1997</v>
      </c>
      <c r="E874">
        <v>21</v>
      </c>
      <c r="F874" t="s">
        <v>84</v>
      </c>
      <c r="G874" t="s">
        <v>51</v>
      </c>
      <c r="H874">
        <v>6600000</v>
      </c>
      <c r="I874">
        <v>16500000</v>
      </c>
      <c r="J874" t="s">
        <v>55</v>
      </c>
      <c r="K874">
        <v>13</v>
      </c>
      <c r="L874">
        <v>722</v>
      </c>
      <c r="M874">
        <v>0</v>
      </c>
      <c r="N874">
        <v>391</v>
      </c>
      <c r="O874">
        <v>0</v>
      </c>
      <c r="P874">
        <v>2</v>
      </c>
      <c r="Q874">
        <v>0</v>
      </c>
      <c r="R874">
        <v>5</v>
      </c>
      <c r="S874">
        <v>3</v>
      </c>
      <c r="T874">
        <v>4</v>
      </c>
      <c r="U874">
        <v>0</v>
      </c>
      <c r="V874">
        <v>0</v>
      </c>
      <c r="W874">
        <v>1</v>
      </c>
      <c r="X874">
        <v>0</v>
      </c>
      <c r="Y874">
        <v>0</v>
      </c>
      <c r="Z874">
        <v>0</v>
      </c>
      <c r="AA874">
        <v>0</v>
      </c>
      <c r="AB874">
        <v>1</v>
      </c>
      <c r="AC874">
        <v>4</v>
      </c>
      <c r="AD874">
        <v>0</v>
      </c>
      <c r="AE874">
        <v>10</v>
      </c>
      <c r="AF874">
        <v>2</v>
      </c>
      <c r="AG874">
        <v>8</v>
      </c>
      <c r="AH874">
        <v>12</v>
      </c>
      <c r="AI874">
        <v>0</v>
      </c>
      <c r="AJ874">
        <v>13</v>
      </c>
      <c r="AK874">
        <v>0</v>
      </c>
      <c r="AL874">
        <v>0</v>
      </c>
      <c r="AM874">
        <v>7</v>
      </c>
      <c r="AN874">
        <v>5</v>
      </c>
      <c r="AO874">
        <v>10</v>
      </c>
      <c r="AQ874" t="str">
        <f t="shared" si="13"/>
        <v>Midfielder</v>
      </c>
    </row>
    <row r="875" spans="1:43" x14ac:dyDescent="0.35">
      <c r="A875" t="s">
        <v>553</v>
      </c>
      <c r="B875" t="s">
        <v>43</v>
      </c>
      <c r="C875" t="s">
        <v>1741</v>
      </c>
      <c r="D875">
        <v>1997</v>
      </c>
      <c r="E875">
        <v>20</v>
      </c>
      <c r="F875" t="s">
        <v>84</v>
      </c>
      <c r="G875" t="s">
        <v>51</v>
      </c>
      <c r="H875">
        <v>2700000</v>
      </c>
      <c r="I875">
        <v>2700000</v>
      </c>
      <c r="J875" t="s">
        <v>55</v>
      </c>
      <c r="K875">
        <v>29</v>
      </c>
      <c r="L875">
        <v>2239</v>
      </c>
      <c r="M875">
        <v>0</v>
      </c>
      <c r="N875">
        <v>1228</v>
      </c>
      <c r="O875">
        <v>2</v>
      </c>
      <c r="P875">
        <v>5</v>
      </c>
      <c r="Q875">
        <v>0</v>
      </c>
      <c r="R875">
        <v>4</v>
      </c>
      <c r="S875">
        <v>5</v>
      </c>
      <c r="T875">
        <v>18</v>
      </c>
      <c r="U875">
        <v>2</v>
      </c>
      <c r="V875">
        <v>0</v>
      </c>
      <c r="W875">
        <v>8</v>
      </c>
      <c r="X875">
        <v>0</v>
      </c>
      <c r="Y875">
        <v>0</v>
      </c>
      <c r="Z875">
        <v>0</v>
      </c>
      <c r="AA875">
        <v>1</v>
      </c>
      <c r="AB875">
        <v>5</v>
      </c>
      <c r="AC875">
        <v>16</v>
      </c>
      <c r="AD875">
        <v>15</v>
      </c>
      <c r="AE875">
        <v>29</v>
      </c>
      <c r="AF875">
        <v>12</v>
      </c>
      <c r="AG875">
        <v>35</v>
      </c>
      <c r="AH875">
        <v>33</v>
      </c>
      <c r="AI875">
        <v>0</v>
      </c>
      <c r="AJ875">
        <v>67</v>
      </c>
      <c r="AK875">
        <v>1</v>
      </c>
      <c r="AL875">
        <v>0</v>
      </c>
      <c r="AM875">
        <v>21</v>
      </c>
      <c r="AN875">
        <v>14</v>
      </c>
      <c r="AO875">
        <v>27</v>
      </c>
      <c r="AQ875" t="str">
        <f t="shared" si="13"/>
        <v>Midfielder</v>
      </c>
    </row>
    <row r="876" spans="1:43" x14ac:dyDescent="0.35">
      <c r="A876" t="s">
        <v>554</v>
      </c>
      <c r="B876" t="s">
        <v>46</v>
      </c>
      <c r="C876" t="s">
        <v>1742</v>
      </c>
      <c r="D876">
        <v>1991</v>
      </c>
      <c r="E876">
        <v>26</v>
      </c>
      <c r="F876" t="s">
        <v>134</v>
      </c>
      <c r="G876" t="s">
        <v>51</v>
      </c>
      <c r="H876">
        <v>9000000</v>
      </c>
      <c r="I876">
        <v>10800000</v>
      </c>
      <c r="J876" t="s">
        <v>52</v>
      </c>
      <c r="K876">
        <v>36</v>
      </c>
      <c r="L876">
        <v>3153</v>
      </c>
      <c r="M876">
        <v>2</v>
      </c>
      <c r="N876">
        <v>1490</v>
      </c>
      <c r="O876">
        <v>1</v>
      </c>
      <c r="P876">
        <v>5</v>
      </c>
      <c r="Q876">
        <v>1</v>
      </c>
      <c r="R876">
        <v>0</v>
      </c>
      <c r="S876">
        <v>1</v>
      </c>
      <c r="T876">
        <v>20</v>
      </c>
      <c r="U876">
        <v>4</v>
      </c>
      <c r="V876">
        <v>0</v>
      </c>
      <c r="W876">
        <v>118</v>
      </c>
      <c r="X876">
        <v>2</v>
      </c>
      <c r="Y876">
        <v>0</v>
      </c>
      <c r="Z876">
        <v>0</v>
      </c>
      <c r="AA876">
        <v>0</v>
      </c>
      <c r="AB876">
        <v>2</v>
      </c>
      <c r="AC876">
        <v>16</v>
      </c>
      <c r="AD876">
        <v>0</v>
      </c>
      <c r="AE876">
        <v>2</v>
      </c>
      <c r="AF876">
        <v>38</v>
      </c>
      <c r="AG876">
        <v>46</v>
      </c>
      <c r="AH876">
        <v>22</v>
      </c>
      <c r="AI876">
        <v>2</v>
      </c>
      <c r="AJ876">
        <v>42</v>
      </c>
      <c r="AK876">
        <v>2</v>
      </c>
      <c r="AL876">
        <v>0</v>
      </c>
      <c r="AM876">
        <v>193</v>
      </c>
      <c r="AN876">
        <v>120</v>
      </c>
      <c r="AO876">
        <v>63</v>
      </c>
      <c r="AQ876" t="str">
        <f t="shared" si="13"/>
        <v>Defensive Forward</v>
      </c>
    </row>
    <row r="877" spans="1:43" x14ac:dyDescent="0.35">
      <c r="A877" t="s">
        <v>554</v>
      </c>
      <c r="B877" t="s">
        <v>43</v>
      </c>
      <c r="C877" t="s">
        <v>1743</v>
      </c>
      <c r="D877">
        <v>1991</v>
      </c>
      <c r="E877">
        <v>26</v>
      </c>
      <c r="F877" t="s">
        <v>134</v>
      </c>
      <c r="G877" t="s">
        <v>51</v>
      </c>
      <c r="H877">
        <v>4500000</v>
      </c>
      <c r="I877">
        <v>9000000</v>
      </c>
      <c r="J877" t="s">
        <v>52</v>
      </c>
      <c r="K877">
        <v>38</v>
      </c>
      <c r="L877">
        <v>3420</v>
      </c>
      <c r="M877">
        <v>1</v>
      </c>
      <c r="N877">
        <v>1496</v>
      </c>
      <c r="O877">
        <v>1</v>
      </c>
      <c r="P877">
        <v>7</v>
      </c>
      <c r="Q877">
        <v>0</v>
      </c>
      <c r="R877">
        <v>0</v>
      </c>
      <c r="S877">
        <v>0</v>
      </c>
      <c r="T877">
        <v>27</v>
      </c>
      <c r="U877">
        <v>9</v>
      </c>
      <c r="V877">
        <v>0</v>
      </c>
      <c r="W877">
        <v>128</v>
      </c>
      <c r="X877">
        <v>0</v>
      </c>
      <c r="Y877">
        <v>0</v>
      </c>
      <c r="Z877">
        <v>0</v>
      </c>
      <c r="AA877">
        <v>0</v>
      </c>
      <c r="AB877">
        <v>3</v>
      </c>
      <c r="AC877">
        <v>18</v>
      </c>
      <c r="AD877">
        <v>0</v>
      </c>
      <c r="AE877">
        <v>7</v>
      </c>
      <c r="AF877">
        <v>58</v>
      </c>
      <c r="AG877">
        <v>71</v>
      </c>
      <c r="AH877">
        <v>36</v>
      </c>
      <c r="AI877">
        <v>1</v>
      </c>
      <c r="AJ877">
        <v>67</v>
      </c>
      <c r="AK877">
        <v>0</v>
      </c>
      <c r="AL877">
        <v>4</v>
      </c>
      <c r="AM877">
        <v>223</v>
      </c>
      <c r="AN877">
        <v>122</v>
      </c>
      <c r="AO877">
        <v>73</v>
      </c>
      <c r="AQ877" t="str">
        <f t="shared" si="13"/>
        <v>Defensive Forward</v>
      </c>
    </row>
    <row r="878" spans="1:43" x14ac:dyDescent="0.35">
      <c r="A878" t="s">
        <v>555</v>
      </c>
      <c r="B878" t="s">
        <v>39</v>
      </c>
      <c r="C878" t="s">
        <v>1744</v>
      </c>
      <c r="D878">
        <v>1988</v>
      </c>
      <c r="E878">
        <v>27</v>
      </c>
      <c r="F878" t="s">
        <v>84</v>
      </c>
      <c r="G878" t="s">
        <v>97</v>
      </c>
      <c r="H878">
        <v>13200000</v>
      </c>
      <c r="I878">
        <v>11000000</v>
      </c>
      <c r="J878" t="s">
        <v>55</v>
      </c>
      <c r="K878">
        <v>21</v>
      </c>
      <c r="L878">
        <v>820</v>
      </c>
      <c r="M878">
        <v>1</v>
      </c>
      <c r="N878">
        <v>309</v>
      </c>
      <c r="O878">
        <v>0</v>
      </c>
      <c r="P878">
        <v>2</v>
      </c>
      <c r="Q878">
        <v>0</v>
      </c>
      <c r="R878">
        <v>14</v>
      </c>
      <c r="S878">
        <v>5</v>
      </c>
      <c r="T878">
        <v>19</v>
      </c>
      <c r="U878">
        <v>9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6</v>
      </c>
      <c r="AB878">
        <v>1</v>
      </c>
      <c r="AC878">
        <v>2</v>
      </c>
      <c r="AD878">
        <v>3</v>
      </c>
      <c r="AE878">
        <v>13</v>
      </c>
      <c r="AF878">
        <v>1</v>
      </c>
      <c r="AG878">
        <v>2</v>
      </c>
      <c r="AH878">
        <v>9</v>
      </c>
      <c r="AI878">
        <v>0</v>
      </c>
      <c r="AJ878">
        <v>11</v>
      </c>
      <c r="AK878">
        <v>0</v>
      </c>
      <c r="AL878">
        <v>0</v>
      </c>
      <c r="AM878">
        <v>1</v>
      </c>
      <c r="AN878">
        <v>4</v>
      </c>
      <c r="AO878">
        <v>8</v>
      </c>
      <c r="AQ878" t="str">
        <f t="shared" si="13"/>
        <v>Midfielder</v>
      </c>
    </row>
    <row r="879" spans="1:43" x14ac:dyDescent="0.35">
      <c r="A879" t="s">
        <v>556</v>
      </c>
      <c r="B879" t="s">
        <v>39</v>
      </c>
      <c r="C879" t="s">
        <v>1745</v>
      </c>
      <c r="D879">
        <v>1987</v>
      </c>
      <c r="E879">
        <v>28</v>
      </c>
      <c r="F879" t="s">
        <v>44</v>
      </c>
      <c r="G879" t="s">
        <v>67</v>
      </c>
      <c r="H879">
        <v>11300000</v>
      </c>
      <c r="I879">
        <v>8100000</v>
      </c>
      <c r="J879" t="s">
        <v>42</v>
      </c>
      <c r="K879">
        <v>13</v>
      </c>
      <c r="L879">
        <v>285</v>
      </c>
      <c r="M879">
        <v>1</v>
      </c>
      <c r="N879">
        <v>101</v>
      </c>
      <c r="O879">
        <v>0</v>
      </c>
      <c r="P879">
        <v>0</v>
      </c>
      <c r="Q879">
        <v>0</v>
      </c>
      <c r="R879">
        <v>10</v>
      </c>
      <c r="S879">
        <v>3</v>
      </c>
      <c r="T879">
        <v>13</v>
      </c>
      <c r="U879">
        <v>5</v>
      </c>
      <c r="V879">
        <v>0</v>
      </c>
      <c r="W879">
        <v>4</v>
      </c>
      <c r="X879">
        <v>0</v>
      </c>
      <c r="Y879">
        <v>0</v>
      </c>
      <c r="Z879">
        <v>0</v>
      </c>
      <c r="AA879">
        <v>5</v>
      </c>
      <c r="AB879">
        <v>0</v>
      </c>
      <c r="AC879">
        <v>1</v>
      </c>
      <c r="AD879">
        <v>0</v>
      </c>
      <c r="AE879">
        <v>4</v>
      </c>
      <c r="AF879">
        <v>0</v>
      </c>
      <c r="AG879">
        <v>0</v>
      </c>
      <c r="AH879">
        <v>1</v>
      </c>
      <c r="AI879">
        <v>0</v>
      </c>
      <c r="AJ879">
        <v>0</v>
      </c>
      <c r="AK879">
        <v>0</v>
      </c>
      <c r="AL879">
        <v>0</v>
      </c>
      <c r="AM879">
        <v>4</v>
      </c>
      <c r="AN879">
        <v>6</v>
      </c>
      <c r="AO879">
        <v>14</v>
      </c>
      <c r="AQ879" t="str">
        <f t="shared" si="13"/>
        <v>Forward</v>
      </c>
    </row>
    <row r="880" spans="1:43" x14ac:dyDescent="0.35">
      <c r="A880" t="s">
        <v>557</v>
      </c>
      <c r="B880" t="s">
        <v>46</v>
      </c>
      <c r="C880" t="s">
        <v>1746</v>
      </c>
      <c r="D880">
        <v>1993</v>
      </c>
      <c r="E880">
        <v>25</v>
      </c>
      <c r="F880" t="s">
        <v>54</v>
      </c>
      <c r="G880" t="s">
        <v>67</v>
      </c>
      <c r="H880">
        <v>13500000</v>
      </c>
      <c r="I880">
        <v>27000000</v>
      </c>
      <c r="J880" t="s">
        <v>52</v>
      </c>
      <c r="K880">
        <v>35</v>
      </c>
      <c r="L880">
        <v>2966</v>
      </c>
      <c r="M880">
        <v>4</v>
      </c>
      <c r="N880">
        <v>1457</v>
      </c>
      <c r="O880">
        <v>4</v>
      </c>
      <c r="P880">
        <v>5</v>
      </c>
      <c r="Q880">
        <v>1</v>
      </c>
      <c r="R880">
        <v>2</v>
      </c>
      <c r="S880">
        <v>2</v>
      </c>
      <c r="T880">
        <v>34</v>
      </c>
      <c r="U880">
        <v>10</v>
      </c>
      <c r="V880">
        <v>3</v>
      </c>
      <c r="W880">
        <v>51</v>
      </c>
      <c r="X880">
        <v>0</v>
      </c>
      <c r="Y880">
        <v>0</v>
      </c>
      <c r="Z880">
        <v>2</v>
      </c>
      <c r="AA880">
        <v>2</v>
      </c>
      <c r="AB880">
        <v>0</v>
      </c>
      <c r="AC880">
        <v>24</v>
      </c>
      <c r="AD880">
        <v>89</v>
      </c>
      <c r="AE880">
        <v>280</v>
      </c>
      <c r="AF880">
        <v>9</v>
      </c>
      <c r="AG880">
        <v>60</v>
      </c>
      <c r="AH880">
        <v>39</v>
      </c>
      <c r="AI880">
        <v>1</v>
      </c>
      <c r="AJ880">
        <v>72</v>
      </c>
      <c r="AK880">
        <v>0</v>
      </c>
      <c r="AL880">
        <v>1</v>
      </c>
      <c r="AM880">
        <v>94</v>
      </c>
      <c r="AN880">
        <v>90</v>
      </c>
      <c r="AO880">
        <v>45</v>
      </c>
      <c r="AQ880" t="str">
        <f t="shared" si="13"/>
        <v>Defensive Forward</v>
      </c>
    </row>
    <row r="881" spans="1:43" x14ac:dyDescent="0.35">
      <c r="A881" t="s">
        <v>558</v>
      </c>
      <c r="B881" t="s">
        <v>39</v>
      </c>
      <c r="C881" t="s">
        <v>1747</v>
      </c>
      <c r="D881">
        <v>1987</v>
      </c>
      <c r="E881">
        <v>28</v>
      </c>
      <c r="F881" t="s">
        <v>80</v>
      </c>
      <c r="G881" t="s">
        <v>154</v>
      </c>
      <c r="H881">
        <v>11000000</v>
      </c>
      <c r="I881">
        <v>7700000</v>
      </c>
      <c r="J881" t="s">
        <v>55</v>
      </c>
      <c r="K881">
        <v>27</v>
      </c>
      <c r="L881">
        <v>1953</v>
      </c>
      <c r="M881">
        <v>0</v>
      </c>
      <c r="N881">
        <v>1485</v>
      </c>
      <c r="O881">
        <v>1</v>
      </c>
      <c r="P881">
        <v>8</v>
      </c>
      <c r="Q881">
        <v>0</v>
      </c>
      <c r="R881">
        <v>6</v>
      </c>
      <c r="S881">
        <v>4</v>
      </c>
      <c r="T881">
        <v>9</v>
      </c>
      <c r="U881">
        <v>3</v>
      </c>
      <c r="V881">
        <v>0</v>
      </c>
      <c r="W881">
        <v>15</v>
      </c>
      <c r="X881">
        <v>0</v>
      </c>
      <c r="Y881">
        <v>0</v>
      </c>
      <c r="Z881">
        <v>0</v>
      </c>
      <c r="AA881">
        <v>1</v>
      </c>
      <c r="AB881">
        <v>5</v>
      </c>
      <c r="AC881">
        <v>0</v>
      </c>
      <c r="AD881">
        <v>0</v>
      </c>
      <c r="AE881">
        <v>8</v>
      </c>
      <c r="AF881">
        <v>8</v>
      </c>
      <c r="AG881">
        <v>52</v>
      </c>
      <c r="AH881">
        <v>49</v>
      </c>
      <c r="AI881">
        <v>0</v>
      </c>
      <c r="AJ881">
        <v>108</v>
      </c>
      <c r="AK881">
        <v>0</v>
      </c>
      <c r="AL881">
        <v>0</v>
      </c>
      <c r="AM881">
        <v>26</v>
      </c>
      <c r="AN881">
        <v>62</v>
      </c>
      <c r="AO881">
        <v>43</v>
      </c>
      <c r="AQ881" t="str">
        <f t="shared" si="13"/>
        <v>Midfielder</v>
      </c>
    </row>
    <row r="882" spans="1:43" x14ac:dyDescent="0.35">
      <c r="A882" t="s">
        <v>558</v>
      </c>
      <c r="B882" t="s">
        <v>47</v>
      </c>
      <c r="C882" t="s">
        <v>1748</v>
      </c>
      <c r="D882">
        <v>1987</v>
      </c>
      <c r="E882">
        <v>29</v>
      </c>
      <c r="F882" t="s">
        <v>80</v>
      </c>
      <c r="G882" t="s">
        <v>154</v>
      </c>
      <c r="H882">
        <v>27000000</v>
      </c>
      <c r="I882">
        <v>49500000</v>
      </c>
      <c r="J882" t="s">
        <v>55</v>
      </c>
      <c r="K882">
        <v>24</v>
      </c>
      <c r="L882">
        <v>1105</v>
      </c>
      <c r="M882">
        <v>0</v>
      </c>
      <c r="N882">
        <v>887</v>
      </c>
      <c r="O882">
        <v>3</v>
      </c>
      <c r="P882">
        <v>4</v>
      </c>
      <c r="Q882">
        <v>0</v>
      </c>
      <c r="R882">
        <v>12</v>
      </c>
      <c r="S882">
        <v>3</v>
      </c>
      <c r="T882">
        <v>8</v>
      </c>
      <c r="U882">
        <v>1</v>
      </c>
      <c r="V882">
        <v>0</v>
      </c>
      <c r="W882">
        <v>33</v>
      </c>
      <c r="X882">
        <v>0</v>
      </c>
      <c r="Y882">
        <v>0</v>
      </c>
      <c r="Z882">
        <v>0</v>
      </c>
      <c r="AA882">
        <v>0</v>
      </c>
      <c r="AB882">
        <v>3</v>
      </c>
      <c r="AC882">
        <v>1</v>
      </c>
      <c r="AD882">
        <v>0</v>
      </c>
      <c r="AE882">
        <v>5</v>
      </c>
      <c r="AF882">
        <v>4</v>
      </c>
      <c r="AG882">
        <v>36</v>
      </c>
      <c r="AH882">
        <v>18</v>
      </c>
      <c r="AI882">
        <v>0</v>
      </c>
      <c r="AJ882">
        <v>37</v>
      </c>
      <c r="AK882">
        <v>1</v>
      </c>
      <c r="AL882">
        <v>0</v>
      </c>
      <c r="AM882">
        <v>56</v>
      </c>
      <c r="AN882">
        <v>52</v>
      </c>
      <c r="AO882">
        <v>38</v>
      </c>
      <c r="AQ882" t="str">
        <f t="shared" si="13"/>
        <v>Midfielder</v>
      </c>
    </row>
    <row r="883" spans="1:43" x14ac:dyDescent="0.35">
      <c r="A883" t="s">
        <v>559</v>
      </c>
      <c r="B883" t="s">
        <v>46</v>
      </c>
      <c r="C883" t="s">
        <v>1749</v>
      </c>
      <c r="D883">
        <v>1992</v>
      </c>
      <c r="E883">
        <v>25</v>
      </c>
      <c r="F883" t="s">
        <v>191</v>
      </c>
      <c r="G883" t="s">
        <v>154</v>
      </c>
      <c r="H883">
        <v>25200000</v>
      </c>
      <c r="I883">
        <v>36000000</v>
      </c>
      <c r="J883" t="s">
        <v>42</v>
      </c>
      <c r="K883">
        <v>32</v>
      </c>
      <c r="L883">
        <v>2128</v>
      </c>
      <c r="M883">
        <v>10</v>
      </c>
      <c r="N883">
        <v>723</v>
      </c>
      <c r="O883">
        <v>0</v>
      </c>
      <c r="P883">
        <v>3</v>
      </c>
      <c r="Q883">
        <v>0</v>
      </c>
      <c r="R883">
        <v>7</v>
      </c>
      <c r="S883">
        <v>13</v>
      </c>
      <c r="T883">
        <v>45</v>
      </c>
      <c r="U883">
        <v>20</v>
      </c>
      <c r="V883">
        <v>1</v>
      </c>
      <c r="W883">
        <v>20</v>
      </c>
      <c r="X883">
        <v>0</v>
      </c>
      <c r="Y883">
        <v>0</v>
      </c>
      <c r="Z883">
        <v>0</v>
      </c>
      <c r="AA883">
        <v>14</v>
      </c>
      <c r="AB883">
        <v>5</v>
      </c>
      <c r="AC883">
        <v>25</v>
      </c>
      <c r="AD883">
        <v>0</v>
      </c>
      <c r="AE883">
        <v>19</v>
      </c>
      <c r="AF883">
        <v>1</v>
      </c>
      <c r="AG883">
        <v>24</v>
      </c>
      <c r="AH883">
        <v>25</v>
      </c>
      <c r="AI883">
        <v>0</v>
      </c>
      <c r="AJ883">
        <v>34</v>
      </c>
      <c r="AK883">
        <v>0</v>
      </c>
      <c r="AL883">
        <v>0</v>
      </c>
      <c r="AM883">
        <v>24</v>
      </c>
      <c r="AN883">
        <v>34</v>
      </c>
      <c r="AO883">
        <v>58</v>
      </c>
      <c r="AQ883" t="str">
        <f t="shared" si="13"/>
        <v>Forward</v>
      </c>
    </row>
    <row r="884" spans="1:43" x14ac:dyDescent="0.35">
      <c r="A884" t="s">
        <v>560</v>
      </c>
      <c r="B884" t="s">
        <v>46</v>
      </c>
      <c r="C884" t="s">
        <v>1750</v>
      </c>
      <c r="D884">
        <v>1988</v>
      </c>
      <c r="E884">
        <v>29</v>
      </c>
      <c r="F884" t="s">
        <v>50</v>
      </c>
      <c r="G884" t="s">
        <v>45</v>
      </c>
      <c r="H884">
        <v>13500000</v>
      </c>
      <c r="I884">
        <v>3600000</v>
      </c>
      <c r="J884" t="s">
        <v>42</v>
      </c>
      <c r="K884">
        <v>15</v>
      </c>
      <c r="L884">
        <v>466</v>
      </c>
      <c r="M884">
        <v>3</v>
      </c>
      <c r="N884">
        <v>143</v>
      </c>
      <c r="O884">
        <v>0</v>
      </c>
      <c r="P884">
        <v>0</v>
      </c>
      <c r="Q884">
        <v>0</v>
      </c>
      <c r="R884">
        <v>11</v>
      </c>
      <c r="S884">
        <v>4</v>
      </c>
      <c r="T884">
        <v>9</v>
      </c>
      <c r="U884">
        <v>3</v>
      </c>
      <c r="V884">
        <v>0</v>
      </c>
      <c r="W884">
        <v>2</v>
      </c>
      <c r="X884">
        <v>0</v>
      </c>
      <c r="Y884">
        <v>0</v>
      </c>
      <c r="Z884">
        <v>0</v>
      </c>
      <c r="AA884">
        <v>3</v>
      </c>
      <c r="AB884">
        <v>1</v>
      </c>
      <c r="AC884">
        <v>6</v>
      </c>
      <c r="AD884">
        <v>0</v>
      </c>
      <c r="AE884">
        <v>2</v>
      </c>
      <c r="AF884">
        <v>0</v>
      </c>
      <c r="AG884">
        <v>2</v>
      </c>
      <c r="AH884">
        <v>5</v>
      </c>
      <c r="AI884">
        <v>0</v>
      </c>
      <c r="AJ884">
        <v>6</v>
      </c>
      <c r="AK884">
        <v>0</v>
      </c>
      <c r="AL884">
        <v>0</v>
      </c>
      <c r="AM884">
        <v>3</v>
      </c>
      <c r="AN884">
        <v>3</v>
      </c>
      <c r="AO884">
        <v>14</v>
      </c>
      <c r="AQ884" t="str">
        <f t="shared" si="13"/>
        <v>Forward</v>
      </c>
    </row>
    <row r="885" spans="1:43" x14ac:dyDescent="0.35">
      <c r="A885" t="s">
        <v>560</v>
      </c>
      <c r="B885" t="s">
        <v>47</v>
      </c>
      <c r="C885" t="s">
        <v>1751</v>
      </c>
      <c r="D885">
        <v>1988</v>
      </c>
      <c r="E885">
        <v>28</v>
      </c>
      <c r="F885" t="s">
        <v>61</v>
      </c>
      <c r="G885" t="s">
        <v>45</v>
      </c>
      <c r="H885">
        <v>13500000</v>
      </c>
      <c r="I885">
        <v>16700000</v>
      </c>
      <c r="J885" t="s">
        <v>42</v>
      </c>
      <c r="K885">
        <v>11</v>
      </c>
      <c r="L885">
        <v>265</v>
      </c>
      <c r="M885">
        <v>1</v>
      </c>
      <c r="N885">
        <v>116</v>
      </c>
      <c r="O885">
        <v>0</v>
      </c>
      <c r="P885">
        <v>0</v>
      </c>
      <c r="Q885">
        <v>0</v>
      </c>
      <c r="R885">
        <v>9</v>
      </c>
      <c r="S885">
        <v>2</v>
      </c>
      <c r="T885">
        <v>9</v>
      </c>
      <c r="U885">
        <v>4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9</v>
      </c>
      <c r="AF885">
        <v>0</v>
      </c>
      <c r="AG885">
        <v>2</v>
      </c>
      <c r="AH885">
        <v>2</v>
      </c>
      <c r="AI885">
        <v>0</v>
      </c>
      <c r="AJ885">
        <v>3</v>
      </c>
      <c r="AK885">
        <v>0</v>
      </c>
      <c r="AL885">
        <v>0</v>
      </c>
      <c r="AM885">
        <v>1</v>
      </c>
      <c r="AN885">
        <v>2</v>
      </c>
      <c r="AO885">
        <v>2</v>
      </c>
      <c r="AQ885" t="str">
        <f t="shared" si="13"/>
        <v>Forward</v>
      </c>
    </row>
    <row r="886" spans="1:43" x14ac:dyDescent="0.35">
      <c r="A886" t="s">
        <v>561</v>
      </c>
      <c r="B886" t="s">
        <v>46</v>
      </c>
      <c r="C886" t="s">
        <v>1752</v>
      </c>
      <c r="D886">
        <v>1996</v>
      </c>
      <c r="E886">
        <v>22</v>
      </c>
      <c r="F886" t="s">
        <v>61</v>
      </c>
      <c r="G886" t="s">
        <v>72</v>
      </c>
      <c r="H886">
        <v>4500000</v>
      </c>
      <c r="I886">
        <v>4500000</v>
      </c>
      <c r="J886" t="s">
        <v>55</v>
      </c>
      <c r="K886">
        <v>34</v>
      </c>
      <c r="L886">
        <v>2379</v>
      </c>
      <c r="M886">
        <v>2</v>
      </c>
      <c r="N886">
        <v>1590</v>
      </c>
      <c r="O886">
        <v>2</v>
      </c>
      <c r="P886">
        <v>7</v>
      </c>
      <c r="Q886">
        <v>1</v>
      </c>
      <c r="R886">
        <v>10</v>
      </c>
      <c r="S886">
        <v>4</v>
      </c>
      <c r="T886">
        <v>25</v>
      </c>
      <c r="U886">
        <v>6</v>
      </c>
      <c r="V886">
        <v>0</v>
      </c>
      <c r="W886">
        <v>12</v>
      </c>
      <c r="X886">
        <v>0</v>
      </c>
      <c r="Y886">
        <v>0</v>
      </c>
      <c r="Z886">
        <v>0</v>
      </c>
      <c r="AA886">
        <v>0</v>
      </c>
      <c r="AB886">
        <v>2</v>
      </c>
      <c r="AC886">
        <v>19</v>
      </c>
      <c r="AD886">
        <v>23</v>
      </c>
      <c r="AE886">
        <v>28</v>
      </c>
      <c r="AF886">
        <v>7</v>
      </c>
      <c r="AG886">
        <v>41</v>
      </c>
      <c r="AH886">
        <v>38</v>
      </c>
      <c r="AI886">
        <v>0</v>
      </c>
      <c r="AJ886">
        <v>65</v>
      </c>
      <c r="AK886">
        <v>0</v>
      </c>
      <c r="AL886">
        <v>0</v>
      </c>
      <c r="AM886">
        <v>31</v>
      </c>
      <c r="AN886">
        <v>21</v>
      </c>
      <c r="AO886">
        <v>26</v>
      </c>
      <c r="AQ886" t="str">
        <f t="shared" si="13"/>
        <v>Midfielder</v>
      </c>
    </row>
    <row r="887" spans="1:43" x14ac:dyDescent="0.35">
      <c r="A887" t="s">
        <v>562</v>
      </c>
      <c r="B887" t="s">
        <v>43</v>
      </c>
      <c r="C887" t="s">
        <v>1753</v>
      </c>
      <c r="D887">
        <v>1990</v>
      </c>
      <c r="E887">
        <v>27</v>
      </c>
      <c r="F887" t="s">
        <v>40</v>
      </c>
      <c r="G887" t="s">
        <v>216</v>
      </c>
      <c r="H887">
        <v>4500000</v>
      </c>
      <c r="I887">
        <v>4500000</v>
      </c>
      <c r="J887" t="s">
        <v>42</v>
      </c>
      <c r="K887">
        <v>18</v>
      </c>
      <c r="L887">
        <v>617</v>
      </c>
      <c r="M887">
        <v>1</v>
      </c>
      <c r="N887">
        <v>194</v>
      </c>
      <c r="O887">
        <v>0</v>
      </c>
      <c r="P887">
        <v>0</v>
      </c>
      <c r="Q887">
        <v>0</v>
      </c>
      <c r="R887">
        <v>13</v>
      </c>
      <c r="S887">
        <v>4</v>
      </c>
      <c r="T887">
        <v>5</v>
      </c>
      <c r="U887">
        <v>5</v>
      </c>
      <c r="V887">
        <v>1</v>
      </c>
      <c r="W887">
        <v>0</v>
      </c>
      <c r="X887">
        <v>0</v>
      </c>
      <c r="Y887">
        <v>0</v>
      </c>
      <c r="Z887">
        <v>0</v>
      </c>
      <c r="AA887">
        <v>4</v>
      </c>
      <c r="AB887">
        <v>0</v>
      </c>
      <c r="AC887">
        <v>0</v>
      </c>
      <c r="AD887">
        <v>0</v>
      </c>
      <c r="AE887">
        <v>23</v>
      </c>
      <c r="AF887">
        <v>0</v>
      </c>
      <c r="AG887">
        <v>3</v>
      </c>
      <c r="AH887">
        <v>3</v>
      </c>
      <c r="AI887">
        <v>0</v>
      </c>
      <c r="AJ887">
        <v>7</v>
      </c>
      <c r="AK887">
        <v>0</v>
      </c>
      <c r="AL887">
        <v>0</v>
      </c>
      <c r="AM887">
        <v>3</v>
      </c>
      <c r="AN887">
        <v>2</v>
      </c>
      <c r="AO887">
        <v>15</v>
      </c>
      <c r="AQ887" t="str">
        <f t="shared" si="13"/>
        <v>Forward</v>
      </c>
    </row>
    <row r="888" spans="1:43" x14ac:dyDescent="0.35">
      <c r="A888" t="s">
        <v>562</v>
      </c>
      <c r="B888" t="s">
        <v>47</v>
      </c>
      <c r="C888" t="s">
        <v>1754</v>
      </c>
      <c r="D888">
        <v>1990</v>
      </c>
      <c r="E888">
        <v>25</v>
      </c>
      <c r="F888" t="s">
        <v>40</v>
      </c>
      <c r="G888" t="s">
        <v>216</v>
      </c>
      <c r="H888">
        <v>7700000</v>
      </c>
      <c r="I888">
        <v>11000000</v>
      </c>
      <c r="J888" t="s">
        <v>55</v>
      </c>
      <c r="K888">
        <v>13</v>
      </c>
      <c r="L888">
        <v>410</v>
      </c>
      <c r="M888">
        <v>0</v>
      </c>
      <c r="N888">
        <v>123</v>
      </c>
      <c r="O888">
        <v>3</v>
      </c>
      <c r="P888">
        <v>0</v>
      </c>
      <c r="Q888">
        <v>0</v>
      </c>
      <c r="R888">
        <v>10</v>
      </c>
      <c r="S888">
        <v>2</v>
      </c>
      <c r="T888">
        <v>2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1</v>
      </c>
      <c r="AB888">
        <v>0</v>
      </c>
      <c r="AC888">
        <v>0</v>
      </c>
      <c r="AD888">
        <v>0</v>
      </c>
      <c r="AE888">
        <v>27</v>
      </c>
      <c r="AF888">
        <v>0</v>
      </c>
      <c r="AG888">
        <v>3</v>
      </c>
      <c r="AH888">
        <v>3</v>
      </c>
      <c r="AI888">
        <v>0</v>
      </c>
      <c r="AJ888">
        <v>3</v>
      </c>
      <c r="AK888">
        <v>0</v>
      </c>
      <c r="AL888">
        <v>0</v>
      </c>
      <c r="AM888">
        <v>1</v>
      </c>
      <c r="AN888">
        <v>3</v>
      </c>
      <c r="AO888">
        <v>14</v>
      </c>
      <c r="AQ888" t="str">
        <f t="shared" si="13"/>
        <v>Midfielder</v>
      </c>
    </row>
    <row r="889" spans="1:43" x14ac:dyDescent="0.35">
      <c r="A889" t="s">
        <v>563</v>
      </c>
      <c r="B889" t="s">
        <v>46</v>
      </c>
      <c r="C889" t="s">
        <v>1755</v>
      </c>
      <c r="D889">
        <v>1993</v>
      </c>
      <c r="E889">
        <v>24</v>
      </c>
      <c r="F889" t="s">
        <v>74</v>
      </c>
      <c r="G889" t="s">
        <v>262</v>
      </c>
      <c r="H889">
        <v>6300000</v>
      </c>
      <c r="I889">
        <v>6300000</v>
      </c>
      <c r="J889" t="s">
        <v>42</v>
      </c>
      <c r="K889">
        <v>20</v>
      </c>
      <c r="L889">
        <v>985</v>
      </c>
      <c r="M889">
        <v>0</v>
      </c>
      <c r="N889">
        <v>386</v>
      </c>
      <c r="O889">
        <v>4</v>
      </c>
      <c r="P889">
        <v>0</v>
      </c>
      <c r="Q889">
        <v>0</v>
      </c>
      <c r="R889">
        <v>10</v>
      </c>
      <c r="S889">
        <v>7</v>
      </c>
      <c r="T889">
        <v>24</v>
      </c>
      <c r="U889">
        <v>8</v>
      </c>
      <c r="V889">
        <v>0</v>
      </c>
      <c r="W889">
        <v>0</v>
      </c>
      <c r="X889">
        <v>1</v>
      </c>
      <c r="Y889">
        <v>0</v>
      </c>
      <c r="Z889">
        <v>0</v>
      </c>
      <c r="AA889">
        <v>0</v>
      </c>
      <c r="AB889">
        <v>0</v>
      </c>
      <c r="AC889">
        <v>16</v>
      </c>
      <c r="AD889">
        <v>0</v>
      </c>
      <c r="AE889">
        <v>19</v>
      </c>
      <c r="AF889">
        <v>0</v>
      </c>
      <c r="AG889">
        <v>6</v>
      </c>
      <c r="AH889">
        <v>13</v>
      </c>
      <c r="AI889">
        <v>0</v>
      </c>
      <c r="AJ889">
        <v>14</v>
      </c>
      <c r="AK889">
        <v>0</v>
      </c>
      <c r="AL889">
        <v>0</v>
      </c>
      <c r="AM889">
        <v>5</v>
      </c>
      <c r="AN889">
        <v>5</v>
      </c>
      <c r="AO889">
        <v>7</v>
      </c>
      <c r="AQ889" t="str">
        <f t="shared" si="13"/>
        <v>Forward</v>
      </c>
    </row>
    <row r="890" spans="1:43" x14ac:dyDescent="0.35">
      <c r="A890" t="s">
        <v>564</v>
      </c>
      <c r="B890" t="s">
        <v>47</v>
      </c>
      <c r="C890" t="s">
        <v>1756</v>
      </c>
      <c r="D890">
        <v>1991</v>
      </c>
      <c r="E890">
        <v>25</v>
      </c>
      <c r="F890" t="s">
        <v>64</v>
      </c>
      <c r="G890" t="s">
        <v>115</v>
      </c>
      <c r="H890">
        <v>11000000</v>
      </c>
      <c r="I890">
        <v>16500000</v>
      </c>
      <c r="J890" t="s">
        <v>55</v>
      </c>
      <c r="K890">
        <v>14</v>
      </c>
      <c r="L890">
        <v>1227</v>
      </c>
      <c r="M890">
        <v>2</v>
      </c>
      <c r="N890">
        <v>490</v>
      </c>
      <c r="O890">
        <v>0</v>
      </c>
      <c r="P890">
        <v>4</v>
      </c>
      <c r="Q890">
        <v>0</v>
      </c>
      <c r="R890">
        <v>0</v>
      </c>
      <c r="S890">
        <v>3</v>
      </c>
      <c r="T890">
        <v>14</v>
      </c>
      <c r="U890">
        <v>4</v>
      </c>
      <c r="V890">
        <v>0</v>
      </c>
      <c r="W890">
        <v>14</v>
      </c>
      <c r="X890">
        <v>0</v>
      </c>
      <c r="Y890">
        <v>2</v>
      </c>
      <c r="Z890">
        <v>0</v>
      </c>
      <c r="AA890">
        <v>0</v>
      </c>
      <c r="AB890">
        <v>1</v>
      </c>
      <c r="AC890">
        <v>0</v>
      </c>
      <c r="AD890">
        <v>2</v>
      </c>
      <c r="AE890">
        <v>6</v>
      </c>
      <c r="AF890">
        <v>5</v>
      </c>
      <c r="AG890">
        <v>39</v>
      </c>
      <c r="AH890">
        <v>27</v>
      </c>
      <c r="AI890">
        <v>0</v>
      </c>
      <c r="AJ890">
        <v>29</v>
      </c>
      <c r="AK890">
        <v>1</v>
      </c>
      <c r="AL890">
        <v>0</v>
      </c>
      <c r="AM890">
        <v>24</v>
      </c>
      <c r="AN890">
        <v>27</v>
      </c>
      <c r="AO890">
        <v>24</v>
      </c>
      <c r="AQ890" t="str">
        <f t="shared" si="13"/>
        <v>Midfielder</v>
      </c>
    </row>
    <row r="891" spans="1:43" x14ac:dyDescent="0.35">
      <c r="A891" t="s">
        <v>564</v>
      </c>
      <c r="B891" t="s">
        <v>43</v>
      </c>
      <c r="C891" t="s">
        <v>1757</v>
      </c>
      <c r="D891">
        <v>1991</v>
      </c>
      <c r="E891">
        <v>26</v>
      </c>
      <c r="F891" t="s">
        <v>64</v>
      </c>
      <c r="G891" t="s">
        <v>115</v>
      </c>
      <c r="H891">
        <v>16500000</v>
      </c>
      <c r="I891">
        <v>22000000</v>
      </c>
      <c r="J891" t="s">
        <v>55</v>
      </c>
      <c r="K891">
        <v>36</v>
      </c>
      <c r="L891">
        <v>3081</v>
      </c>
      <c r="M891">
        <v>10</v>
      </c>
      <c r="N891">
        <v>1652</v>
      </c>
      <c r="O891">
        <v>1</v>
      </c>
      <c r="P891">
        <v>8</v>
      </c>
      <c r="Q891">
        <v>0</v>
      </c>
      <c r="R891">
        <v>1</v>
      </c>
      <c r="S891">
        <v>3</v>
      </c>
      <c r="T891">
        <v>42</v>
      </c>
      <c r="U891">
        <v>17</v>
      </c>
      <c r="V891">
        <v>1</v>
      </c>
      <c r="W891">
        <v>27</v>
      </c>
      <c r="X891">
        <v>0</v>
      </c>
      <c r="Y891">
        <v>7</v>
      </c>
      <c r="Z891">
        <v>1</v>
      </c>
      <c r="AA891">
        <v>0</v>
      </c>
      <c r="AB891">
        <v>3</v>
      </c>
      <c r="AC891">
        <v>25</v>
      </c>
      <c r="AD891">
        <v>24</v>
      </c>
      <c r="AE891">
        <v>39</v>
      </c>
      <c r="AF891">
        <v>12</v>
      </c>
      <c r="AG891">
        <v>71</v>
      </c>
      <c r="AH891">
        <v>69</v>
      </c>
      <c r="AI891">
        <v>0</v>
      </c>
      <c r="AJ891">
        <v>85</v>
      </c>
      <c r="AK891">
        <v>2</v>
      </c>
      <c r="AL891">
        <v>0</v>
      </c>
      <c r="AM891">
        <v>74</v>
      </c>
      <c r="AN891">
        <v>49</v>
      </c>
      <c r="AO891">
        <v>45</v>
      </c>
      <c r="AQ891" t="str">
        <f t="shared" si="13"/>
        <v>Midfielder</v>
      </c>
    </row>
    <row r="892" spans="1:43" x14ac:dyDescent="0.35">
      <c r="A892" t="s">
        <v>564</v>
      </c>
      <c r="B892" t="s">
        <v>46</v>
      </c>
      <c r="C892" t="s">
        <v>1758</v>
      </c>
      <c r="D892">
        <v>1991</v>
      </c>
      <c r="E892">
        <v>27</v>
      </c>
      <c r="F892" t="s">
        <v>64</v>
      </c>
      <c r="G892" t="s">
        <v>115</v>
      </c>
      <c r="H892">
        <v>450000</v>
      </c>
      <c r="I892">
        <v>675000</v>
      </c>
      <c r="J892" t="s">
        <v>55</v>
      </c>
      <c r="K892">
        <v>38</v>
      </c>
      <c r="L892">
        <v>3420</v>
      </c>
      <c r="M892">
        <v>12</v>
      </c>
      <c r="N892">
        <v>1986</v>
      </c>
      <c r="O892">
        <v>2</v>
      </c>
      <c r="P892">
        <v>10</v>
      </c>
      <c r="Q892">
        <v>0</v>
      </c>
      <c r="R892">
        <v>0</v>
      </c>
      <c r="S892">
        <v>0</v>
      </c>
      <c r="T892">
        <v>57</v>
      </c>
      <c r="U892">
        <v>25</v>
      </c>
      <c r="V892">
        <v>4</v>
      </c>
      <c r="W892">
        <v>35</v>
      </c>
      <c r="X892">
        <v>0</v>
      </c>
      <c r="Y892">
        <v>10</v>
      </c>
      <c r="Z892">
        <v>1</v>
      </c>
      <c r="AA892">
        <v>0</v>
      </c>
      <c r="AB892">
        <v>2</v>
      </c>
      <c r="AC892">
        <v>32</v>
      </c>
      <c r="AD892">
        <v>143</v>
      </c>
      <c r="AE892">
        <v>185</v>
      </c>
      <c r="AF892">
        <v>15</v>
      </c>
      <c r="AG892">
        <v>73</v>
      </c>
      <c r="AH892">
        <v>60</v>
      </c>
      <c r="AI892">
        <v>0</v>
      </c>
      <c r="AJ892">
        <v>89</v>
      </c>
      <c r="AK892">
        <v>1</v>
      </c>
      <c r="AL892">
        <v>0</v>
      </c>
      <c r="AM892">
        <v>66</v>
      </c>
      <c r="AN892">
        <v>54</v>
      </c>
      <c r="AO892">
        <v>39</v>
      </c>
      <c r="AQ892" t="str">
        <f t="shared" si="13"/>
        <v>Midfielder</v>
      </c>
    </row>
    <row r="893" spans="1:43" x14ac:dyDescent="0.35">
      <c r="A893" t="s">
        <v>565</v>
      </c>
      <c r="B893" t="s">
        <v>47</v>
      </c>
      <c r="C893" t="s">
        <v>1759</v>
      </c>
      <c r="D893">
        <v>1995</v>
      </c>
      <c r="E893">
        <v>21</v>
      </c>
      <c r="F893" t="s">
        <v>129</v>
      </c>
      <c r="G893" t="s">
        <v>51</v>
      </c>
      <c r="H893">
        <v>18900000</v>
      </c>
      <c r="I893">
        <v>18000000</v>
      </c>
      <c r="J893" t="s">
        <v>52</v>
      </c>
      <c r="K893">
        <v>11</v>
      </c>
      <c r="L893">
        <v>692</v>
      </c>
      <c r="M893">
        <v>0</v>
      </c>
      <c r="N893">
        <v>382</v>
      </c>
      <c r="O893">
        <v>1</v>
      </c>
      <c r="P893">
        <v>1</v>
      </c>
      <c r="Q893">
        <v>0</v>
      </c>
      <c r="R893">
        <v>2</v>
      </c>
      <c r="S893">
        <v>5</v>
      </c>
      <c r="T893">
        <v>6</v>
      </c>
      <c r="U893">
        <v>1</v>
      </c>
      <c r="V893">
        <v>0</v>
      </c>
      <c r="W893">
        <v>13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3</v>
      </c>
      <c r="AE893">
        <v>21</v>
      </c>
      <c r="AF893">
        <v>1</v>
      </c>
      <c r="AG893">
        <v>13</v>
      </c>
      <c r="AH893">
        <v>7</v>
      </c>
      <c r="AI893">
        <v>0</v>
      </c>
      <c r="AJ893">
        <v>12</v>
      </c>
      <c r="AK893">
        <v>0</v>
      </c>
      <c r="AL893">
        <v>0</v>
      </c>
      <c r="AM893">
        <v>27</v>
      </c>
      <c r="AN893">
        <v>11</v>
      </c>
      <c r="AO893">
        <v>6</v>
      </c>
      <c r="AQ893" t="str">
        <f t="shared" si="13"/>
        <v>Defensive Forward</v>
      </c>
    </row>
    <row r="894" spans="1:43" x14ac:dyDescent="0.35">
      <c r="A894" t="s">
        <v>565</v>
      </c>
      <c r="B894" t="s">
        <v>46</v>
      </c>
      <c r="C894" t="s">
        <v>1760</v>
      </c>
      <c r="D894">
        <v>1995</v>
      </c>
      <c r="E894">
        <v>23</v>
      </c>
      <c r="F894" t="s">
        <v>129</v>
      </c>
      <c r="G894" t="s">
        <v>51</v>
      </c>
      <c r="H894">
        <v>13500000</v>
      </c>
      <c r="I894">
        <v>27000000</v>
      </c>
      <c r="J894" t="s">
        <v>52</v>
      </c>
      <c r="K894">
        <v>29</v>
      </c>
      <c r="L894">
        <v>2592</v>
      </c>
      <c r="M894">
        <v>0</v>
      </c>
      <c r="N894">
        <v>1658</v>
      </c>
      <c r="O894">
        <v>4</v>
      </c>
      <c r="P894">
        <v>11</v>
      </c>
      <c r="Q894">
        <v>0</v>
      </c>
      <c r="R894">
        <v>0</v>
      </c>
      <c r="S894">
        <v>1</v>
      </c>
      <c r="T894">
        <v>21</v>
      </c>
      <c r="U894">
        <v>7</v>
      </c>
      <c r="V894">
        <v>0</v>
      </c>
      <c r="W894">
        <v>39</v>
      </c>
      <c r="X894">
        <v>0</v>
      </c>
      <c r="Y894">
        <v>0</v>
      </c>
      <c r="Z894">
        <v>0</v>
      </c>
      <c r="AA894">
        <v>1</v>
      </c>
      <c r="AB894">
        <v>2</v>
      </c>
      <c r="AC894">
        <v>14</v>
      </c>
      <c r="AD894">
        <v>15</v>
      </c>
      <c r="AE894">
        <v>52</v>
      </c>
      <c r="AF894">
        <v>12</v>
      </c>
      <c r="AG894">
        <v>21</v>
      </c>
      <c r="AH894">
        <v>42</v>
      </c>
      <c r="AI894">
        <v>0</v>
      </c>
      <c r="AJ894">
        <v>55</v>
      </c>
      <c r="AK894">
        <v>0</v>
      </c>
      <c r="AL894">
        <v>0</v>
      </c>
      <c r="AM894">
        <v>80</v>
      </c>
      <c r="AN894">
        <v>49</v>
      </c>
      <c r="AO894">
        <v>28</v>
      </c>
      <c r="AQ894" t="str">
        <f t="shared" si="13"/>
        <v>Defensive Forward</v>
      </c>
    </row>
    <row r="895" spans="1:43" x14ac:dyDescent="0.35">
      <c r="A895" t="s">
        <v>565</v>
      </c>
      <c r="B895" t="s">
        <v>43</v>
      </c>
      <c r="C895" t="s">
        <v>1761</v>
      </c>
      <c r="D895">
        <v>1995</v>
      </c>
      <c r="E895">
        <v>22</v>
      </c>
      <c r="F895" t="s">
        <v>129</v>
      </c>
      <c r="G895" t="s">
        <v>51</v>
      </c>
      <c r="H895">
        <v>18000000</v>
      </c>
      <c r="I895">
        <v>13500000</v>
      </c>
      <c r="J895" t="s">
        <v>52</v>
      </c>
      <c r="K895">
        <v>11</v>
      </c>
      <c r="L895">
        <v>788</v>
      </c>
      <c r="M895">
        <v>0</v>
      </c>
      <c r="N895">
        <v>477</v>
      </c>
      <c r="O895">
        <v>0</v>
      </c>
      <c r="P895">
        <v>2</v>
      </c>
      <c r="Q895">
        <v>0</v>
      </c>
      <c r="R895">
        <v>3</v>
      </c>
      <c r="S895">
        <v>1</v>
      </c>
      <c r="T895">
        <v>12</v>
      </c>
      <c r="U895">
        <v>5</v>
      </c>
      <c r="V895">
        <v>1</v>
      </c>
      <c r="W895">
        <v>11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7</v>
      </c>
      <c r="AD895">
        <v>7</v>
      </c>
      <c r="AE895">
        <v>30</v>
      </c>
      <c r="AF895">
        <v>2</v>
      </c>
      <c r="AG895">
        <v>4</v>
      </c>
      <c r="AH895">
        <v>4</v>
      </c>
      <c r="AI895">
        <v>0</v>
      </c>
      <c r="AJ895">
        <v>18</v>
      </c>
      <c r="AK895">
        <v>0</v>
      </c>
      <c r="AL895">
        <v>0</v>
      </c>
      <c r="AM895">
        <v>19</v>
      </c>
      <c r="AN895">
        <v>17</v>
      </c>
      <c r="AO895">
        <v>19</v>
      </c>
      <c r="AQ895" t="str">
        <f t="shared" si="13"/>
        <v>Defensive Forward</v>
      </c>
    </row>
    <row r="896" spans="1:43" x14ac:dyDescent="0.35">
      <c r="A896" t="s">
        <v>566</v>
      </c>
      <c r="B896" t="s">
        <v>47</v>
      </c>
      <c r="C896" t="s">
        <v>1762</v>
      </c>
      <c r="D896">
        <v>1995</v>
      </c>
      <c r="E896">
        <v>20</v>
      </c>
      <c r="F896" t="s">
        <v>78</v>
      </c>
      <c r="G896" t="s">
        <v>291</v>
      </c>
      <c r="H896">
        <v>5500000</v>
      </c>
      <c r="I896">
        <v>4400000</v>
      </c>
      <c r="J896" t="s">
        <v>55</v>
      </c>
      <c r="K896">
        <v>11</v>
      </c>
      <c r="L896">
        <v>364</v>
      </c>
      <c r="M896">
        <v>0</v>
      </c>
      <c r="N896">
        <v>99</v>
      </c>
      <c r="O896">
        <v>0</v>
      </c>
      <c r="P896">
        <v>3</v>
      </c>
      <c r="Q896">
        <v>0</v>
      </c>
      <c r="R896">
        <v>7</v>
      </c>
      <c r="S896">
        <v>3</v>
      </c>
      <c r="T896">
        <v>3</v>
      </c>
      <c r="U896">
        <v>0</v>
      </c>
      <c r="V896">
        <v>0</v>
      </c>
      <c r="W896">
        <v>1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4</v>
      </c>
      <c r="AE896">
        <v>13</v>
      </c>
      <c r="AF896">
        <v>0</v>
      </c>
      <c r="AG896">
        <v>5</v>
      </c>
      <c r="AH896">
        <v>9</v>
      </c>
      <c r="AI896">
        <v>0</v>
      </c>
      <c r="AJ896">
        <v>12</v>
      </c>
      <c r="AK896">
        <v>0</v>
      </c>
      <c r="AL896">
        <v>0</v>
      </c>
      <c r="AM896">
        <v>2</v>
      </c>
      <c r="AN896">
        <v>1</v>
      </c>
      <c r="AO896">
        <v>7</v>
      </c>
      <c r="AQ896" t="str">
        <f t="shared" si="13"/>
        <v>Midfielder</v>
      </c>
    </row>
    <row r="897" spans="1:43" x14ac:dyDescent="0.35">
      <c r="A897" t="s">
        <v>567</v>
      </c>
      <c r="B897" t="s">
        <v>47</v>
      </c>
      <c r="C897" t="s">
        <v>1763</v>
      </c>
      <c r="D897">
        <v>1996</v>
      </c>
      <c r="E897">
        <v>20</v>
      </c>
      <c r="F897" t="s">
        <v>84</v>
      </c>
      <c r="G897" t="s">
        <v>67</v>
      </c>
      <c r="H897">
        <v>4400000</v>
      </c>
      <c r="I897">
        <v>4400000</v>
      </c>
      <c r="J897" t="s">
        <v>55</v>
      </c>
      <c r="K897">
        <v>11</v>
      </c>
      <c r="L897">
        <v>265</v>
      </c>
      <c r="M897">
        <v>0</v>
      </c>
      <c r="N897">
        <v>63</v>
      </c>
      <c r="O897">
        <v>0</v>
      </c>
      <c r="P897">
        <v>0</v>
      </c>
      <c r="Q897">
        <v>0</v>
      </c>
      <c r="R897">
        <v>8</v>
      </c>
      <c r="S897">
        <v>3</v>
      </c>
      <c r="T897">
        <v>10</v>
      </c>
      <c r="U897">
        <v>3</v>
      </c>
      <c r="V897">
        <v>0</v>
      </c>
      <c r="W897">
        <v>4</v>
      </c>
      <c r="X897">
        <v>0</v>
      </c>
      <c r="Y897">
        <v>0</v>
      </c>
      <c r="Z897">
        <v>0</v>
      </c>
      <c r="AA897">
        <v>1</v>
      </c>
      <c r="AB897">
        <v>0</v>
      </c>
      <c r="AC897">
        <v>2</v>
      </c>
      <c r="AD897">
        <v>0</v>
      </c>
      <c r="AE897">
        <v>3</v>
      </c>
      <c r="AF897">
        <v>1</v>
      </c>
      <c r="AG897">
        <v>0</v>
      </c>
      <c r="AH897">
        <v>6</v>
      </c>
      <c r="AI897">
        <v>0</v>
      </c>
      <c r="AJ897">
        <v>4</v>
      </c>
      <c r="AK897">
        <v>0</v>
      </c>
      <c r="AL897">
        <v>0</v>
      </c>
      <c r="AM897">
        <v>5</v>
      </c>
      <c r="AN897">
        <v>7</v>
      </c>
      <c r="AO897">
        <v>7</v>
      </c>
      <c r="AQ897" t="str">
        <f t="shared" si="13"/>
        <v>Midfielder</v>
      </c>
    </row>
    <row r="898" spans="1:43" x14ac:dyDescent="0.35">
      <c r="A898" t="s">
        <v>567</v>
      </c>
      <c r="B898" t="s">
        <v>43</v>
      </c>
      <c r="C898" t="s">
        <v>1764</v>
      </c>
      <c r="D898">
        <v>1996</v>
      </c>
      <c r="E898">
        <v>21</v>
      </c>
      <c r="F898" t="s">
        <v>84</v>
      </c>
      <c r="G898" t="s">
        <v>67</v>
      </c>
      <c r="H898">
        <v>4400000</v>
      </c>
      <c r="I898">
        <v>3850000</v>
      </c>
      <c r="J898" t="s">
        <v>55</v>
      </c>
      <c r="K898">
        <v>23</v>
      </c>
      <c r="L898">
        <v>585</v>
      </c>
      <c r="M898">
        <v>2</v>
      </c>
      <c r="N898">
        <v>161</v>
      </c>
      <c r="O898">
        <v>0</v>
      </c>
      <c r="P898">
        <v>1</v>
      </c>
      <c r="Q898">
        <v>0</v>
      </c>
      <c r="R898">
        <v>19</v>
      </c>
      <c r="S898">
        <v>4</v>
      </c>
      <c r="T898">
        <v>22</v>
      </c>
      <c r="U898">
        <v>5</v>
      </c>
      <c r="V898">
        <v>0</v>
      </c>
      <c r="W898">
        <v>4</v>
      </c>
      <c r="X898">
        <v>1</v>
      </c>
      <c r="Y898">
        <v>0</v>
      </c>
      <c r="Z898">
        <v>0</v>
      </c>
      <c r="AA898">
        <v>0</v>
      </c>
      <c r="AB898">
        <v>0</v>
      </c>
      <c r="AC898">
        <v>17</v>
      </c>
      <c r="AD898">
        <v>0</v>
      </c>
      <c r="AE898">
        <v>9</v>
      </c>
      <c r="AF898">
        <v>2</v>
      </c>
      <c r="AG898">
        <v>3</v>
      </c>
      <c r="AH898">
        <v>11</v>
      </c>
      <c r="AI898">
        <v>0</v>
      </c>
      <c r="AJ898">
        <v>9</v>
      </c>
      <c r="AK898">
        <v>0</v>
      </c>
      <c r="AL898">
        <v>0</v>
      </c>
      <c r="AM898">
        <v>8</v>
      </c>
      <c r="AN898">
        <v>8</v>
      </c>
      <c r="AO898">
        <v>22</v>
      </c>
      <c r="AQ898" t="str">
        <f t="shared" ref="AQ898:AQ961" si="14">IF(J898 = "FW", REPLACE(J898,1,2,"Forward"),IF(J898 = "DF", "Defensive Forward", "Midfielder"))</f>
        <v>Midfielder</v>
      </c>
    </row>
    <row r="899" spans="1:43" x14ac:dyDescent="0.35">
      <c r="A899" t="s">
        <v>567</v>
      </c>
      <c r="B899" t="s">
        <v>46</v>
      </c>
      <c r="C899" t="s">
        <v>1765</v>
      </c>
      <c r="D899">
        <v>1996</v>
      </c>
      <c r="E899">
        <v>22</v>
      </c>
      <c r="F899" t="s">
        <v>84</v>
      </c>
      <c r="G899" t="s">
        <v>67</v>
      </c>
      <c r="H899">
        <v>8800000</v>
      </c>
      <c r="I899">
        <v>11000000</v>
      </c>
      <c r="J899" t="s">
        <v>55</v>
      </c>
      <c r="K899">
        <v>24</v>
      </c>
      <c r="L899">
        <v>350</v>
      </c>
      <c r="M899">
        <v>1</v>
      </c>
      <c r="N899">
        <v>121</v>
      </c>
      <c r="O899">
        <v>0</v>
      </c>
      <c r="P899">
        <v>1</v>
      </c>
      <c r="Q899">
        <v>0</v>
      </c>
      <c r="R899">
        <v>23</v>
      </c>
      <c r="S899">
        <v>0</v>
      </c>
      <c r="T899">
        <v>12</v>
      </c>
      <c r="U899">
        <v>7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4</v>
      </c>
      <c r="AB899">
        <v>2</v>
      </c>
      <c r="AC899">
        <v>5</v>
      </c>
      <c r="AD899">
        <v>0</v>
      </c>
      <c r="AE899">
        <v>3</v>
      </c>
      <c r="AF899">
        <v>0</v>
      </c>
      <c r="AG899">
        <v>1</v>
      </c>
      <c r="AH899">
        <v>7</v>
      </c>
      <c r="AI899">
        <v>0</v>
      </c>
      <c r="AJ899">
        <v>3</v>
      </c>
      <c r="AK899">
        <v>0</v>
      </c>
      <c r="AL899">
        <v>0</v>
      </c>
      <c r="AM899">
        <v>2</v>
      </c>
      <c r="AN899">
        <v>9</v>
      </c>
      <c r="AO899">
        <v>13</v>
      </c>
      <c r="AQ899" t="str">
        <f t="shared" si="14"/>
        <v>Midfielder</v>
      </c>
    </row>
    <row r="900" spans="1:43" x14ac:dyDescent="0.35">
      <c r="A900" t="s">
        <v>568</v>
      </c>
      <c r="B900" t="s">
        <v>47</v>
      </c>
      <c r="C900" t="s">
        <v>1766</v>
      </c>
      <c r="D900">
        <v>1994</v>
      </c>
      <c r="E900">
        <v>21</v>
      </c>
      <c r="F900" t="s">
        <v>66</v>
      </c>
      <c r="G900" t="s">
        <v>132</v>
      </c>
      <c r="H900">
        <v>13500000</v>
      </c>
      <c r="I900">
        <v>16500000</v>
      </c>
      <c r="J900" t="s">
        <v>42</v>
      </c>
      <c r="K900">
        <v>16</v>
      </c>
      <c r="L900">
        <v>1254</v>
      </c>
      <c r="M900">
        <v>2</v>
      </c>
      <c r="N900">
        <v>405</v>
      </c>
      <c r="O900">
        <v>2</v>
      </c>
      <c r="P900">
        <v>2</v>
      </c>
      <c r="Q900">
        <v>0</v>
      </c>
      <c r="R900">
        <v>1</v>
      </c>
      <c r="S900">
        <v>9</v>
      </c>
      <c r="T900">
        <v>32</v>
      </c>
      <c r="U900">
        <v>13</v>
      </c>
      <c r="V900">
        <v>0</v>
      </c>
      <c r="W900">
        <v>4</v>
      </c>
      <c r="X900">
        <v>1</v>
      </c>
      <c r="Y900">
        <v>0</v>
      </c>
      <c r="Z900">
        <v>0</v>
      </c>
      <c r="AA900">
        <v>5</v>
      </c>
      <c r="AB900">
        <v>2</v>
      </c>
      <c r="AC900">
        <v>0</v>
      </c>
      <c r="AD900">
        <v>2</v>
      </c>
      <c r="AE900">
        <v>37</v>
      </c>
      <c r="AF900">
        <v>1</v>
      </c>
      <c r="AG900">
        <v>11</v>
      </c>
      <c r="AH900">
        <v>24</v>
      </c>
      <c r="AI900">
        <v>0</v>
      </c>
      <c r="AJ900">
        <v>11</v>
      </c>
      <c r="AK900">
        <v>0</v>
      </c>
      <c r="AL900">
        <v>0</v>
      </c>
      <c r="AM900">
        <v>9</v>
      </c>
      <c r="AN900">
        <v>15</v>
      </c>
      <c r="AO900">
        <v>49</v>
      </c>
      <c r="AQ900" t="str">
        <f t="shared" si="14"/>
        <v>Forward</v>
      </c>
    </row>
    <row r="901" spans="1:43" x14ac:dyDescent="0.35">
      <c r="A901" t="s">
        <v>569</v>
      </c>
      <c r="B901" t="s">
        <v>39</v>
      </c>
      <c r="C901" t="s">
        <v>1767</v>
      </c>
      <c r="D901">
        <v>1990</v>
      </c>
      <c r="E901">
        <v>25</v>
      </c>
      <c r="F901" t="s">
        <v>80</v>
      </c>
      <c r="G901" t="s">
        <v>67</v>
      </c>
      <c r="H901">
        <v>16200000</v>
      </c>
      <c r="I901">
        <v>16200000</v>
      </c>
      <c r="J901" t="s">
        <v>52</v>
      </c>
      <c r="K901">
        <v>22</v>
      </c>
      <c r="L901">
        <v>1855</v>
      </c>
      <c r="M901">
        <v>1</v>
      </c>
      <c r="N901">
        <v>1243</v>
      </c>
      <c r="O901">
        <v>0</v>
      </c>
      <c r="P901">
        <v>1</v>
      </c>
      <c r="Q901">
        <v>0</v>
      </c>
      <c r="R901">
        <v>1</v>
      </c>
      <c r="S901">
        <v>2</v>
      </c>
      <c r="T901">
        <v>6</v>
      </c>
      <c r="U901">
        <v>1</v>
      </c>
      <c r="V901">
        <v>0</v>
      </c>
      <c r="W901">
        <v>90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1</v>
      </c>
      <c r="AD901">
        <v>0</v>
      </c>
      <c r="AE901">
        <v>0</v>
      </c>
      <c r="AF901">
        <v>22</v>
      </c>
      <c r="AG901">
        <v>37</v>
      </c>
      <c r="AH901">
        <v>9</v>
      </c>
      <c r="AI901">
        <v>0</v>
      </c>
      <c r="AJ901">
        <v>30</v>
      </c>
      <c r="AK901">
        <v>0</v>
      </c>
      <c r="AL901">
        <v>0</v>
      </c>
      <c r="AM901">
        <v>137</v>
      </c>
      <c r="AN901">
        <v>75</v>
      </c>
      <c r="AO901">
        <v>45</v>
      </c>
      <c r="AQ901" t="str">
        <f t="shared" si="14"/>
        <v>Defensive Forward</v>
      </c>
    </row>
    <row r="902" spans="1:43" x14ac:dyDescent="0.35">
      <c r="A902" t="s">
        <v>569</v>
      </c>
      <c r="B902" t="s">
        <v>46</v>
      </c>
      <c r="C902" t="s">
        <v>1768</v>
      </c>
      <c r="D902">
        <v>1990</v>
      </c>
      <c r="E902">
        <v>28</v>
      </c>
      <c r="F902" t="s">
        <v>64</v>
      </c>
      <c r="G902" t="s">
        <v>67</v>
      </c>
      <c r="H902">
        <v>13500000</v>
      </c>
      <c r="I902">
        <v>13500000</v>
      </c>
      <c r="J902" t="s">
        <v>52</v>
      </c>
      <c r="K902">
        <v>27</v>
      </c>
      <c r="L902">
        <v>2417</v>
      </c>
      <c r="M902">
        <v>0</v>
      </c>
      <c r="N902">
        <v>1321</v>
      </c>
      <c r="O902">
        <v>0</v>
      </c>
      <c r="P902">
        <v>2</v>
      </c>
      <c r="Q902">
        <v>0</v>
      </c>
      <c r="R902">
        <v>0</v>
      </c>
      <c r="S902">
        <v>1</v>
      </c>
      <c r="T902">
        <v>4</v>
      </c>
      <c r="U902">
        <v>0</v>
      </c>
      <c r="V902">
        <v>0</v>
      </c>
      <c r="W902">
        <v>82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4</v>
      </c>
      <c r="AD902">
        <v>0</v>
      </c>
      <c r="AE902">
        <v>0</v>
      </c>
      <c r="AF902">
        <v>16</v>
      </c>
      <c r="AG902">
        <v>41</v>
      </c>
      <c r="AH902">
        <v>5</v>
      </c>
      <c r="AI902">
        <v>0</v>
      </c>
      <c r="AJ902">
        <v>25</v>
      </c>
      <c r="AK902">
        <v>0</v>
      </c>
      <c r="AL902">
        <v>0</v>
      </c>
      <c r="AM902">
        <v>132</v>
      </c>
      <c r="AN902">
        <v>51</v>
      </c>
      <c r="AO902">
        <v>37</v>
      </c>
      <c r="AQ902" t="str">
        <f t="shared" si="14"/>
        <v>Defensive Forward</v>
      </c>
    </row>
    <row r="903" spans="1:43" x14ac:dyDescent="0.35">
      <c r="A903" t="s">
        <v>569</v>
      </c>
      <c r="B903" t="s">
        <v>43</v>
      </c>
      <c r="C903" t="s">
        <v>1769</v>
      </c>
      <c r="D903">
        <v>1990</v>
      </c>
      <c r="E903">
        <v>27</v>
      </c>
      <c r="F903" t="s">
        <v>64</v>
      </c>
      <c r="G903" t="s">
        <v>67</v>
      </c>
      <c r="H903">
        <v>13500000</v>
      </c>
      <c r="I903">
        <v>13500000</v>
      </c>
      <c r="J903" t="s">
        <v>52</v>
      </c>
      <c r="K903">
        <v>19</v>
      </c>
      <c r="L903">
        <v>1600</v>
      </c>
      <c r="M903">
        <v>1</v>
      </c>
      <c r="N903">
        <v>739</v>
      </c>
      <c r="O903">
        <v>2</v>
      </c>
      <c r="P903">
        <v>1</v>
      </c>
      <c r="Q903">
        <v>0</v>
      </c>
      <c r="R903">
        <v>1</v>
      </c>
      <c r="S903">
        <v>1</v>
      </c>
      <c r="T903">
        <v>1</v>
      </c>
      <c r="U903">
        <v>1</v>
      </c>
      <c r="V903">
        <v>1</v>
      </c>
      <c r="W903">
        <v>61</v>
      </c>
      <c r="X903">
        <v>0</v>
      </c>
      <c r="Y903">
        <v>0</v>
      </c>
      <c r="Z903">
        <v>0</v>
      </c>
      <c r="AA903">
        <v>0</v>
      </c>
      <c r="AB903">
        <v>1</v>
      </c>
      <c r="AC903">
        <v>0</v>
      </c>
      <c r="AD903">
        <v>0</v>
      </c>
      <c r="AE903">
        <v>0</v>
      </c>
      <c r="AF903">
        <v>11</v>
      </c>
      <c r="AG903">
        <v>30</v>
      </c>
      <c r="AH903">
        <v>3</v>
      </c>
      <c r="AI903">
        <v>1</v>
      </c>
      <c r="AJ903">
        <v>21</v>
      </c>
      <c r="AK903">
        <v>1</v>
      </c>
      <c r="AL903">
        <v>0</v>
      </c>
      <c r="AM903">
        <v>99</v>
      </c>
      <c r="AN903">
        <v>41</v>
      </c>
      <c r="AO903">
        <v>35</v>
      </c>
      <c r="AQ903" t="str">
        <f t="shared" si="14"/>
        <v>Defensive Forward</v>
      </c>
    </row>
    <row r="904" spans="1:43" x14ac:dyDescent="0.35">
      <c r="A904" t="s">
        <v>570</v>
      </c>
      <c r="B904" t="s">
        <v>39</v>
      </c>
      <c r="C904" t="s">
        <v>1770</v>
      </c>
      <c r="D904">
        <v>1987</v>
      </c>
      <c r="E904">
        <v>27</v>
      </c>
      <c r="F904" t="s">
        <v>184</v>
      </c>
      <c r="G904" t="s">
        <v>132</v>
      </c>
      <c r="H904">
        <v>10000000</v>
      </c>
      <c r="I904">
        <v>7200000</v>
      </c>
      <c r="J904" t="s">
        <v>42</v>
      </c>
      <c r="K904">
        <v>26</v>
      </c>
      <c r="L904">
        <v>1269</v>
      </c>
      <c r="M904">
        <v>5</v>
      </c>
      <c r="N904">
        <v>264</v>
      </c>
      <c r="O904">
        <v>0</v>
      </c>
      <c r="P904">
        <v>3</v>
      </c>
      <c r="Q904">
        <v>0</v>
      </c>
      <c r="R904">
        <v>14</v>
      </c>
      <c r="S904">
        <v>5</v>
      </c>
      <c r="T904">
        <v>31</v>
      </c>
      <c r="U904">
        <v>16</v>
      </c>
      <c r="V904">
        <v>0</v>
      </c>
      <c r="W904">
        <v>7</v>
      </c>
      <c r="X904">
        <v>5</v>
      </c>
      <c r="Y904">
        <v>0</v>
      </c>
      <c r="Z904">
        <v>0</v>
      </c>
      <c r="AA904">
        <v>8</v>
      </c>
      <c r="AB904">
        <v>1</v>
      </c>
      <c r="AC904">
        <v>7</v>
      </c>
      <c r="AD904">
        <v>0</v>
      </c>
      <c r="AE904">
        <v>8</v>
      </c>
      <c r="AF904">
        <v>1</v>
      </c>
      <c r="AG904">
        <v>5</v>
      </c>
      <c r="AH904">
        <v>21</v>
      </c>
      <c r="AI904">
        <v>0</v>
      </c>
      <c r="AJ904">
        <v>18</v>
      </c>
      <c r="AK904">
        <v>0</v>
      </c>
      <c r="AL904">
        <v>0</v>
      </c>
      <c r="AM904">
        <v>18</v>
      </c>
      <c r="AN904">
        <v>34</v>
      </c>
      <c r="AO904">
        <v>53</v>
      </c>
      <c r="AQ904" t="str">
        <f t="shared" si="14"/>
        <v>Forward</v>
      </c>
    </row>
    <row r="905" spans="1:43" x14ac:dyDescent="0.35">
      <c r="A905" t="s">
        <v>570</v>
      </c>
      <c r="B905" t="s">
        <v>47</v>
      </c>
      <c r="C905" t="s">
        <v>1771</v>
      </c>
      <c r="D905">
        <v>1987</v>
      </c>
      <c r="E905">
        <v>28</v>
      </c>
      <c r="F905" t="s">
        <v>184</v>
      </c>
      <c r="G905" t="s">
        <v>132</v>
      </c>
      <c r="H905">
        <v>7200000</v>
      </c>
      <c r="I905">
        <v>6300000</v>
      </c>
      <c r="J905" t="s">
        <v>42</v>
      </c>
      <c r="K905">
        <v>27</v>
      </c>
      <c r="L905">
        <v>1382</v>
      </c>
      <c r="M905">
        <v>1</v>
      </c>
      <c r="N905">
        <v>363</v>
      </c>
      <c r="O905">
        <v>2</v>
      </c>
      <c r="P905">
        <v>3</v>
      </c>
      <c r="Q905">
        <v>0</v>
      </c>
      <c r="R905">
        <v>12</v>
      </c>
      <c r="S905">
        <v>9</v>
      </c>
      <c r="T905">
        <v>20</v>
      </c>
      <c r="U905">
        <v>4</v>
      </c>
      <c r="V905">
        <v>0</v>
      </c>
      <c r="W905">
        <v>19</v>
      </c>
      <c r="X905">
        <v>0</v>
      </c>
      <c r="Y905">
        <v>0</v>
      </c>
      <c r="Z905">
        <v>0</v>
      </c>
      <c r="AA905">
        <v>10</v>
      </c>
      <c r="AB905">
        <v>0</v>
      </c>
      <c r="AC905">
        <v>4</v>
      </c>
      <c r="AD905">
        <v>0</v>
      </c>
      <c r="AE905">
        <v>26</v>
      </c>
      <c r="AF905">
        <v>3</v>
      </c>
      <c r="AG905">
        <v>18</v>
      </c>
      <c r="AH905">
        <v>28</v>
      </c>
      <c r="AI905">
        <v>0</v>
      </c>
      <c r="AJ905">
        <v>35</v>
      </c>
      <c r="AK905">
        <v>0</v>
      </c>
      <c r="AL905">
        <v>0</v>
      </c>
      <c r="AM905">
        <v>37</v>
      </c>
      <c r="AN905">
        <v>81</v>
      </c>
      <c r="AO905">
        <v>70</v>
      </c>
      <c r="AQ905" t="str">
        <f t="shared" si="14"/>
        <v>Forward</v>
      </c>
    </row>
    <row r="906" spans="1:43" x14ac:dyDescent="0.35">
      <c r="A906" t="s">
        <v>570</v>
      </c>
      <c r="B906" t="s">
        <v>43</v>
      </c>
      <c r="C906" t="s">
        <v>1772</v>
      </c>
      <c r="D906">
        <v>1987</v>
      </c>
      <c r="E906">
        <v>30</v>
      </c>
      <c r="F906" t="s">
        <v>184</v>
      </c>
      <c r="G906" t="s">
        <v>132</v>
      </c>
      <c r="H906">
        <v>6300000</v>
      </c>
      <c r="I906">
        <v>6300000</v>
      </c>
      <c r="J906" t="s">
        <v>42</v>
      </c>
      <c r="K906">
        <v>35</v>
      </c>
      <c r="L906">
        <v>2601</v>
      </c>
      <c r="M906">
        <v>6</v>
      </c>
      <c r="N906">
        <v>558</v>
      </c>
      <c r="O906">
        <v>2</v>
      </c>
      <c r="P906">
        <v>6</v>
      </c>
      <c r="Q906">
        <v>0</v>
      </c>
      <c r="R906">
        <v>5</v>
      </c>
      <c r="S906">
        <v>11</v>
      </c>
      <c r="T906">
        <v>59</v>
      </c>
      <c r="U906">
        <v>20</v>
      </c>
      <c r="V906">
        <v>0</v>
      </c>
      <c r="W906">
        <v>43</v>
      </c>
      <c r="X906">
        <v>1</v>
      </c>
      <c r="Y906">
        <v>0</v>
      </c>
      <c r="Z906">
        <v>0</v>
      </c>
      <c r="AA906">
        <v>23</v>
      </c>
      <c r="AB906">
        <v>0</v>
      </c>
      <c r="AC906">
        <v>39</v>
      </c>
      <c r="AD906">
        <v>0</v>
      </c>
      <c r="AE906">
        <v>34</v>
      </c>
      <c r="AF906">
        <v>0</v>
      </c>
      <c r="AG906">
        <v>14</v>
      </c>
      <c r="AH906">
        <v>38</v>
      </c>
      <c r="AI906">
        <v>0</v>
      </c>
      <c r="AJ906">
        <v>48</v>
      </c>
      <c r="AK906">
        <v>0</v>
      </c>
      <c r="AL906">
        <v>0</v>
      </c>
      <c r="AM906">
        <v>70</v>
      </c>
      <c r="AN906">
        <v>145</v>
      </c>
      <c r="AO906">
        <v>160</v>
      </c>
      <c r="AQ906" t="str">
        <f t="shared" si="14"/>
        <v>Forward</v>
      </c>
    </row>
    <row r="907" spans="1:43" x14ac:dyDescent="0.35">
      <c r="A907" t="s">
        <v>571</v>
      </c>
      <c r="B907" t="s">
        <v>47</v>
      </c>
      <c r="C907" t="s">
        <v>1773</v>
      </c>
      <c r="D907">
        <v>1991</v>
      </c>
      <c r="E907">
        <v>24</v>
      </c>
      <c r="F907" t="s">
        <v>220</v>
      </c>
      <c r="G907" t="s">
        <v>82</v>
      </c>
      <c r="H907">
        <v>18700000</v>
      </c>
      <c r="I907">
        <v>13500000</v>
      </c>
      <c r="J907" t="s">
        <v>42</v>
      </c>
      <c r="K907">
        <v>11</v>
      </c>
      <c r="L907">
        <v>731</v>
      </c>
      <c r="M907">
        <v>4</v>
      </c>
      <c r="N907">
        <v>117</v>
      </c>
      <c r="O907">
        <v>0</v>
      </c>
      <c r="P907">
        <v>1</v>
      </c>
      <c r="Q907">
        <v>0</v>
      </c>
      <c r="R907">
        <v>1</v>
      </c>
      <c r="S907">
        <v>8</v>
      </c>
      <c r="T907">
        <v>29</v>
      </c>
      <c r="U907">
        <v>11</v>
      </c>
      <c r="V907">
        <v>0</v>
      </c>
      <c r="W907">
        <v>8</v>
      </c>
      <c r="X907">
        <v>0</v>
      </c>
      <c r="Y907">
        <v>0</v>
      </c>
      <c r="Z907">
        <v>0</v>
      </c>
      <c r="AA907">
        <v>10</v>
      </c>
      <c r="AB907">
        <v>0</v>
      </c>
      <c r="AC907">
        <v>3</v>
      </c>
      <c r="AD907">
        <v>0</v>
      </c>
      <c r="AE907">
        <v>3</v>
      </c>
      <c r="AF907">
        <v>0</v>
      </c>
      <c r="AG907">
        <v>3</v>
      </c>
      <c r="AH907">
        <v>8</v>
      </c>
      <c r="AI907">
        <v>0</v>
      </c>
      <c r="AJ907">
        <v>2</v>
      </c>
      <c r="AK907">
        <v>0</v>
      </c>
      <c r="AL907">
        <v>0</v>
      </c>
      <c r="AM907">
        <v>10</v>
      </c>
      <c r="AN907">
        <v>9</v>
      </c>
      <c r="AO907">
        <v>22</v>
      </c>
      <c r="AQ907" t="str">
        <f t="shared" si="14"/>
        <v>Forward</v>
      </c>
    </row>
    <row r="908" spans="1:43" x14ac:dyDescent="0.35">
      <c r="A908" t="s">
        <v>571</v>
      </c>
      <c r="B908" t="s">
        <v>43</v>
      </c>
      <c r="C908" t="s">
        <v>1774</v>
      </c>
      <c r="D908">
        <v>1991</v>
      </c>
      <c r="E908">
        <v>26</v>
      </c>
      <c r="F908" t="s">
        <v>220</v>
      </c>
      <c r="G908" t="s">
        <v>82</v>
      </c>
      <c r="H908">
        <v>13500000</v>
      </c>
      <c r="I908">
        <v>10800000</v>
      </c>
      <c r="J908" t="s">
        <v>42</v>
      </c>
      <c r="K908">
        <v>28</v>
      </c>
      <c r="L908">
        <v>1074</v>
      </c>
      <c r="M908">
        <v>5</v>
      </c>
      <c r="N908">
        <v>223</v>
      </c>
      <c r="O908">
        <v>0</v>
      </c>
      <c r="P908">
        <v>2</v>
      </c>
      <c r="Q908">
        <v>0</v>
      </c>
      <c r="R908">
        <v>17</v>
      </c>
      <c r="S908">
        <v>8</v>
      </c>
      <c r="T908">
        <v>22</v>
      </c>
      <c r="U908">
        <v>10</v>
      </c>
      <c r="V908">
        <v>2</v>
      </c>
      <c r="W908">
        <v>3</v>
      </c>
      <c r="X908">
        <v>0</v>
      </c>
      <c r="Y908">
        <v>1</v>
      </c>
      <c r="Z908">
        <v>0</v>
      </c>
      <c r="AA908">
        <v>10</v>
      </c>
      <c r="AB908">
        <v>1</v>
      </c>
      <c r="AC908">
        <v>12</v>
      </c>
      <c r="AD908">
        <v>0</v>
      </c>
      <c r="AE908">
        <v>5</v>
      </c>
      <c r="AF908">
        <v>0</v>
      </c>
      <c r="AG908">
        <v>4</v>
      </c>
      <c r="AH908">
        <v>14</v>
      </c>
      <c r="AI908">
        <v>0</v>
      </c>
      <c r="AJ908">
        <v>3</v>
      </c>
      <c r="AK908">
        <v>0</v>
      </c>
      <c r="AL908">
        <v>0</v>
      </c>
      <c r="AM908">
        <v>6</v>
      </c>
      <c r="AN908">
        <v>14</v>
      </c>
      <c r="AO908">
        <v>36</v>
      </c>
      <c r="AQ908" t="str">
        <f t="shared" si="14"/>
        <v>Forward</v>
      </c>
    </row>
    <row r="909" spans="1:43" x14ac:dyDescent="0.35">
      <c r="A909" t="s">
        <v>571</v>
      </c>
      <c r="B909" t="s">
        <v>46</v>
      </c>
      <c r="C909" t="s">
        <v>1775</v>
      </c>
      <c r="D909">
        <v>1991</v>
      </c>
      <c r="E909">
        <v>26</v>
      </c>
      <c r="F909" t="s">
        <v>220</v>
      </c>
      <c r="G909" t="s">
        <v>82</v>
      </c>
      <c r="H909">
        <v>10800000</v>
      </c>
      <c r="I909">
        <v>10800000</v>
      </c>
      <c r="J909" t="s">
        <v>42</v>
      </c>
      <c r="K909">
        <v>12</v>
      </c>
      <c r="L909">
        <v>470</v>
      </c>
      <c r="M909">
        <v>1</v>
      </c>
      <c r="N909">
        <v>121</v>
      </c>
      <c r="O909">
        <v>0</v>
      </c>
      <c r="P909">
        <v>0</v>
      </c>
      <c r="Q909">
        <v>0</v>
      </c>
      <c r="R909">
        <v>8</v>
      </c>
      <c r="S909">
        <v>2</v>
      </c>
      <c r="T909">
        <v>20</v>
      </c>
      <c r="U909">
        <v>8</v>
      </c>
      <c r="V909">
        <v>0</v>
      </c>
      <c r="W909">
        <v>3</v>
      </c>
      <c r="X909">
        <v>0</v>
      </c>
      <c r="Y909">
        <v>0</v>
      </c>
      <c r="Z909">
        <v>0</v>
      </c>
      <c r="AA909">
        <v>1</v>
      </c>
      <c r="AB909">
        <v>1</v>
      </c>
      <c r="AC909">
        <v>12</v>
      </c>
      <c r="AD909">
        <v>0</v>
      </c>
      <c r="AE909">
        <v>4</v>
      </c>
      <c r="AF909">
        <v>0</v>
      </c>
      <c r="AG909">
        <v>3</v>
      </c>
      <c r="AH909">
        <v>9</v>
      </c>
      <c r="AI909">
        <v>0</v>
      </c>
      <c r="AJ909">
        <v>6</v>
      </c>
      <c r="AK909">
        <v>0</v>
      </c>
      <c r="AL909">
        <v>0</v>
      </c>
      <c r="AM909">
        <v>5</v>
      </c>
      <c r="AN909">
        <v>8</v>
      </c>
      <c r="AO909">
        <v>29</v>
      </c>
      <c r="AQ909" t="str">
        <f t="shared" si="14"/>
        <v>Forward</v>
      </c>
    </row>
    <row r="910" spans="1:43" x14ac:dyDescent="0.35">
      <c r="A910" t="s">
        <v>572</v>
      </c>
      <c r="B910" t="s">
        <v>39</v>
      </c>
      <c r="C910" t="s">
        <v>1776</v>
      </c>
      <c r="D910">
        <v>1993</v>
      </c>
      <c r="E910">
        <v>22</v>
      </c>
      <c r="F910" t="s">
        <v>50</v>
      </c>
      <c r="G910" t="s">
        <v>262</v>
      </c>
      <c r="H910">
        <v>11000000</v>
      </c>
      <c r="I910">
        <v>16500000</v>
      </c>
      <c r="J910" t="s">
        <v>55</v>
      </c>
      <c r="K910">
        <v>26</v>
      </c>
      <c r="L910">
        <v>1920</v>
      </c>
      <c r="M910">
        <v>6</v>
      </c>
      <c r="N910">
        <v>1093</v>
      </c>
      <c r="O910">
        <v>2</v>
      </c>
      <c r="P910">
        <v>3</v>
      </c>
      <c r="Q910">
        <v>0</v>
      </c>
      <c r="R910">
        <v>3</v>
      </c>
      <c r="S910">
        <v>13</v>
      </c>
      <c r="T910">
        <v>48</v>
      </c>
      <c r="U910">
        <v>11</v>
      </c>
      <c r="V910">
        <v>1</v>
      </c>
      <c r="W910">
        <v>2</v>
      </c>
      <c r="X910">
        <v>0</v>
      </c>
      <c r="Y910">
        <v>0</v>
      </c>
      <c r="Z910">
        <v>0</v>
      </c>
      <c r="AA910">
        <v>6</v>
      </c>
      <c r="AB910">
        <v>2</v>
      </c>
      <c r="AC910">
        <v>4</v>
      </c>
      <c r="AD910">
        <v>19</v>
      </c>
      <c r="AE910">
        <v>44</v>
      </c>
      <c r="AF910">
        <v>3</v>
      </c>
      <c r="AG910">
        <v>24</v>
      </c>
      <c r="AH910">
        <v>9</v>
      </c>
      <c r="AI910">
        <v>0</v>
      </c>
      <c r="AJ910">
        <v>33</v>
      </c>
      <c r="AK910">
        <v>0</v>
      </c>
      <c r="AL910">
        <v>0</v>
      </c>
      <c r="AM910">
        <v>5</v>
      </c>
      <c r="AN910">
        <v>4</v>
      </c>
      <c r="AO910">
        <v>11</v>
      </c>
      <c r="AQ910" t="str">
        <f t="shared" si="14"/>
        <v>Midfielder</v>
      </c>
    </row>
    <row r="911" spans="1:43" x14ac:dyDescent="0.35">
      <c r="A911" t="s">
        <v>572</v>
      </c>
      <c r="B911" t="s">
        <v>47</v>
      </c>
      <c r="C911" t="s">
        <v>1777</v>
      </c>
      <c r="D911">
        <v>1993</v>
      </c>
      <c r="E911">
        <v>23</v>
      </c>
      <c r="F911" t="s">
        <v>50</v>
      </c>
      <c r="G911" t="s">
        <v>262</v>
      </c>
      <c r="H911">
        <v>16500000</v>
      </c>
      <c r="I911">
        <v>22000000</v>
      </c>
      <c r="J911" t="s">
        <v>55</v>
      </c>
      <c r="K911">
        <v>35</v>
      </c>
      <c r="L911">
        <v>2711</v>
      </c>
      <c r="M911">
        <v>8</v>
      </c>
      <c r="N911">
        <v>1581</v>
      </c>
      <c r="O911">
        <v>2</v>
      </c>
      <c r="P911">
        <v>9</v>
      </c>
      <c r="Q911">
        <v>0</v>
      </c>
      <c r="R911">
        <v>4</v>
      </c>
      <c r="S911">
        <v>13</v>
      </c>
      <c r="T911">
        <v>69</v>
      </c>
      <c r="U911">
        <v>21</v>
      </c>
      <c r="V911">
        <v>0</v>
      </c>
      <c r="W911">
        <v>2</v>
      </c>
      <c r="X911">
        <v>0</v>
      </c>
      <c r="Y911">
        <v>2</v>
      </c>
      <c r="Z911">
        <v>1</v>
      </c>
      <c r="AA911">
        <v>7</v>
      </c>
      <c r="AB911">
        <v>7</v>
      </c>
      <c r="AC911">
        <v>1</v>
      </c>
      <c r="AD911">
        <v>44</v>
      </c>
      <c r="AE911">
        <v>72</v>
      </c>
      <c r="AF911">
        <v>1</v>
      </c>
      <c r="AG911">
        <v>45</v>
      </c>
      <c r="AH911">
        <v>21</v>
      </c>
      <c r="AI911">
        <v>0</v>
      </c>
      <c r="AJ911">
        <v>44</v>
      </c>
      <c r="AK911">
        <v>0</v>
      </c>
      <c r="AL911">
        <v>0</v>
      </c>
      <c r="AM911">
        <v>10</v>
      </c>
      <c r="AN911">
        <v>4</v>
      </c>
      <c r="AO911">
        <v>14</v>
      </c>
      <c r="AQ911" t="str">
        <f t="shared" si="14"/>
        <v>Midfielder</v>
      </c>
    </row>
    <row r="912" spans="1:43" x14ac:dyDescent="0.35">
      <c r="A912" t="s">
        <v>572</v>
      </c>
      <c r="B912" t="s">
        <v>43</v>
      </c>
      <c r="C912" t="s">
        <v>1778</v>
      </c>
      <c r="D912">
        <v>1993</v>
      </c>
      <c r="E912">
        <v>24</v>
      </c>
      <c r="F912" t="s">
        <v>50</v>
      </c>
      <c r="G912" t="s">
        <v>262</v>
      </c>
      <c r="H912">
        <v>22000000</v>
      </c>
      <c r="I912">
        <v>22000000</v>
      </c>
      <c r="J912" t="s">
        <v>55</v>
      </c>
      <c r="K912">
        <v>27</v>
      </c>
      <c r="L912">
        <v>2048</v>
      </c>
      <c r="M912">
        <v>5</v>
      </c>
      <c r="N912">
        <v>1214</v>
      </c>
      <c r="O912">
        <v>6</v>
      </c>
      <c r="P912">
        <v>4</v>
      </c>
      <c r="Q912">
        <v>0</v>
      </c>
      <c r="R912">
        <v>4</v>
      </c>
      <c r="S912">
        <v>9</v>
      </c>
      <c r="T912">
        <v>44</v>
      </c>
      <c r="U912">
        <v>18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3</v>
      </c>
      <c r="AB912">
        <v>6</v>
      </c>
      <c r="AC912">
        <v>26</v>
      </c>
      <c r="AD912">
        <v>51</v>
      </c>
      <c r="AE912">
        <v>82</v>
      </c>
      <c r="AF912">
        <v>1</v>
      </c>
      <c r="AG912">
        <v>30</v>
      </c>
      <c r="AH912">
        <v>9</v>
      </c>
      <c r="AI912">
        <v>0</v>
      </c>
      <c r="AJ912">
        <v>20</v>
      </c>
      <c r="AK912">
        <v>1</v>
      </c>
      <c r="AL912">
        <v>0</v>
      </c>
      <c r="AM912">
        <v>5</v>
      </c>
      <c r="AN912">
        <v>3</v>
      </c>
      <c r="AO912">
        <v>10</v>
      </c>
      <c r="AQ912" t="str">
        <f t="shared" si="14"/>
        <v>Midfielder</v>
      </c>
    </row>
    <row r="913" spans="1:43" x14ac:dyDescent="0.35">
      <c r="A913" t="s">
        <v>572</v>
      </c>
      <c r="B913" t="s">
        <v>46</v>
      </c>
      <c r="C913" t="s">
        <v>1779</v>
      </c>
      <c r="D913">
        <v>1993</v>
      </c>
      <c r="E913">
        <v>25</v>
      </c>
      <c r="F913" t="s">
        <v>50</v>
      </c>
      <c r="G913" t="s">
        <v>262</v>
      </c>
      <c r="H913">
        <v>1650000</v>
      </c>
      <c r="I913">
        <v>6600000</v>
      </c>
      <c r="J913" t="s">
        <v>55</v>
      </c>
      <c r="K913">
        <v>10</v>
      </c>
      <c r="L913">
        <v>689</v>
      </c>
      <c r="M913">
        <v>1</v>
      </c>
      <c r="N913">
        <v>452</v>
      </c>
      <c r="O913">
        <v>1</v>
      </c>
      <c r="P913">
        <v>2</v>
      </c>
      <c r="Q913">
        <v>0</v>
      </c>
      <c r="R913">
        <v>2</v>
      </c>
      <c r="S913">
        <v>4</v>
      </c>
      <c r="T913">
        <v>11</v>
      </c>
      <c r="U913">
        <v>4</v>
      </c>
      <c r="V913">
        <v>0</v>
      </c>
      <c r="W913">
        <v>0</v>
      </c>
      <c r="X913">
        <v>1</v>
      </c>
      <c r="Y913">
        <v>0</v>
      </c>
      <c r="Z913">
        <v>0</v>
      </c>
      <c r="AA913">
        <v>0</v>
      </c>
      <c r="AB913">
        <v>4</v>
      </c>
      <c r="AC913">
        <v>7</v>
      </c>
      <c r="AD913">
        <v>6</v>
      </c>
      <c r="AE913">
        <v>16</v>
      </c>
      <c r="AF913">
        <v>1</v>
      </c>
      <c r="AG913">
        <v>9</v>
      </c>
      <c r="AH913">
        <v>5</v>
      </c>
      <c r="AI913">
        <v>0</v>
      </c>
      <c r="AJ913">
        <v>12</v>
      </c>
      <c r="AK913">
        <v>0</v>
      </c>
      <c r="AL913">
        <v>0</v>
      </c>
      <c r="AM913">
        <v>7</v>
      </c>
      <c r="AN913">
        <v>3</v>
      </c>
      <c r="AO913">
        <v>11</v>
      </c>
      <c r="AQ913" t="str">
        <f t="shared" si="14"/>
        <v>Midfielder</v>
      </c>
    </row>
    <row r="914" spans="1:43" x14ac:dyDescent="0.35">
      <c r="A914" t="s">
        <v>573</v>
      </c>
      <c r="B914" t="s">
        <v>39</v>
      </c>
      <c r="C914" t="s">
        <v>1780</v>
      </c>
      <c r="D914">
        <v>1989</v>
      </c>
      <c r="E914">
        <v>25</v>
      </c>
      <c r="F914" t="s">
        <v>99</v>
      </c>
      <c r="G914" t="s">
        <v>51</v>
      </c>
      <c r="H914">
        <v>6600000</v>
      </c>
      <c r="I914">
        <v>6600000</v>
      </c>
      <c r="J914" t="s">
        <v>55</v>
      </c>
      <c r="K914">
        <v>38</v>
      </c>
      <c r="L914">
        <v>2765</v>
      </c>
      <c r="M914">
        <v>2</v>
      </c>
      <c r="N914">
        <v>912</v>
      </c>
      <c r="O914">
        <v>6</v>
      </c>
      <c r="P914">
        <v>4</v>
      </c>
      <c r="Q914">
        <v>0</v>
      </c>
      <c r="R914">
        <v>4</v>
      </c>
      <c r="S914">
        <v>22</v>
      </c>
      <c r="T914">
        <v>42</v>
      </c>
      <c r="U914">
        <v>11</v>
      </c>
      <c r="V914">
        <v>1</v>
      </c>
      <c r="W914">
        <v>5</v>
      </c>
      <c r="X914">
        <v>0</v>
      </c>
      <c r="Y914">
        <v>0</v>
      </c>
      <c r="Z914">
        <v>0</v>
      </c>
      <c r="AA914">
        <v>3</v>
      </c>
      <c r="AB914">
        <v>4</v>
      </c>
      <c r="AC914">
        <v>2</v>
      </c>
      <c r="AD914">
        <v>80</v>
      </c>
      <c r="AE914">
        <v>272</v>
      </c>
      <c r="AF914">
        <v>0</v>
      </c>
      <c r="AG914">
        <v>49</v>
      </c>
      <c r="AH914">
        <v>21</v>
      </c>
      <c r="AI914">
        <v>0</v>
      </c>
      <c r="AJ914">
        <v>65</v>
      </c>
      <c r="AK914">
        <v>0</v>
      </c>
      <c r="AL914">
        <v>0</v>
      </c>
      <c r="AM914">
        <v>19</v>
      </c>
      <c r="AN914">
        <v>11</v>
      </c>
      <c r="AO914">
        <v>38</v>
      </c>
      <c r="AQ914" t="str">
        <f t="shared" si="14"/>
        <v>Midfielder</v>
      </c>
    </row>
    <row r="915" spans="1:43" x14ac:dyDescent="0.35">
      <c r="A915" t="s">
        <v>573</v>
      </c>
      <c r="B915" t="s">
        <v>47</v>
      </c>
      <c r="C915" t="s">
        <v>1781</v>
      </c>
      <c r="D915">
        <v>1989</v>
      </c>
      <c r="E915">
        <v>26</v>
      </c>
      <c r="F915" t="s">
        <v>99</v>
      </c>
      <c r="G915" t="s">
        <v>51</v>
      </c>
      <c r="H915">
        <v>11000000</v>
      </c>
      <c r="I915">
        <v>11000000</v>
      </c>
      <c r="J915" t="s">
        <v>55</v>
      </c>
      <c r="K915">
        <v>33</v>
      </c>
      <c r="L915">
        <v>2423</v>
      </c>
      <c r="M915">
        <v>2</v>
      </c>
      <c r="N915">
        <v>874</v>
      </c>
      <c r="O915">
        <v>6</v>
      </c>
      <c r="P915">
        <v>5</v>
      </c>
      <c r="Q915">
        <v>0</v>
      </c>
      <c r="R915">
        <v>4</v>
      </c>
      <c r="S915">
        <v>17</v>
      </c>
      <c r="T915">
        <v>21</v>
      </c>
      <c r="U915">
        <v>7</v>
      </c>
      <c r="V915">
        <v>0</v>
      </c>
      <c r="W915">
        <v>6</v>
      </c>
      <c r="X915">
        <v>0</v>
      </c>
      <c r="Y915">
        <v>0</v>
      </c>
      <c r="Z915">
        <v>1</v>
      </c>
      <c r="AA915">
        <v>2</v>
      </c>
      <c r="AB915">
        <v>3</v>
      </c>
      <c r="AC915">
        <v>1</v>
      </c>
      <c r="AD915">
        <v>82</v>
      </c>
      <c r="AE915">
        <v>212</v>
      </c>
      <c r="AF915">
        <v>2</v>
      </c>
      <c r="AG915">
        <v>35</v>
      </c>
      <c r="AH915">
        <v>21</v>
      </c>
      <c r="AI915">
        <v>0</v>
      </c>
      <c r="AJ915">
        <v>50</v>
      </c>
      <c r="AK915">
        <v>0</v>
      </c>
      <c r="AL915">
        <v>0</v>
      </c>
      <c r="AM915">
        <v>30</v>
      </c>
      <c r="AN915">
        <v>7</v>
      </c>
      <c r="AO915">
        <v>30</v>
      </c>
      <c r="AQ915" t="str">
        <f t="shared" si="14"/>
        <v>Midfielder</v>
      </c>
    </row>
    <row r="916" spans="1:43" x14ac:dyDescent="0.35">
      <c r="A916" t="s">
        <v>573</v>
      </c>
      <c r="B916" t="s">
        <v>46</v>
      </c>
      <c r="C916" t="s">
        <v>1782</v>
      </c>
      <c r="D916">
        <v>1989</v>
      </c>
      <c r="E916">
        <v>28</v>
      </c>
      <c r="F916" t="s">
        <v>99</v>
      </c>
      <c r="G916" t="s">
        <v>51</v>
      </c>
      <c r="H916">
        <v>6600000</v>
      </c>
      <c r="I916">
        <v>11000000</v>
      </c>
      <c r="J916" t="s">
        <v>55</v>
      </c>
      <c r="K916">
        <v>27</v>
      </c>
      <c r="L916">
        <v>1626</v>
      </c>
      <c r="M916">
        <v>2</v>
      </c>
      <c r="N916">
        <v>621</v>
      </c>
      <c r="O916">
        <v>2</v>
      </c>
      <c r="P916">
        <v>3</v>
      </c>
      <c r="Q916">
        <v>0</v>
      </c>
      <c r="R916">
        <v>9</v>
      </c>
      <c r="S916">
        <v>10</v>
      </c>
      <c r="T916">
        <v>19</v>
      </c>
      <c r="U916">
        <v>7</v>
      </c>
      <c r="V916">
        <v>0</v>
      </c>
      <c r="W916">
        <v>12</v>
      </c>
      <c r="X916">
        <v>2</v>
      </c>
      <c r="Y916">
        <v>0</v>
      </c>
      <c r="Z916">
        <v>0</v>
      </c>
      <c r="AA916">
        <v>2</v>
      </c>
      <c r="AB916">
        <v>9</v>
      </c>
      <c r="AC916">
        <v>12</v>
      </c>
      <c r="AD916">
        <v>8</v>
      </c>
      <c r="AE916">
        <v>125</v>
      </c>
      <c r="AF916">
        <v>3</v>
      </c>
      <c r="AG916">
        <v>23</v>
      </c>
      <c r="AH916">
        <v>10</v>
      </c>
      <c r="AI916">
        <v>0</v>
      </c>
      <c r="AJ916">
        <v>36</v>
      </c>
      <c r="AK916">
        <v>0</v>
      </c>
      <c r="AL916">
        <v>0</v>
      </c>
      <c r="AM916">
        <v>24</v>
      </c>
      <c r="AN916">
        <v>15</v>
      </c>
      <c r="AO916">
        <v>18</v>
      </c>
      <c r="AQ916" t="str">
        <f t="shared" si="14"/>
        <v>Midfielder</v>
      </c>
    </row>
    <row r="917" spans="1:43" x14ac:dyDescent="0.35">
      <c r="A917" t="s">
        <v>574</v>
      </c>
      <c r="B917" t="s">
        <v>43</v>
      </c>
      <c r="C917" t="s">
        <v>1783</v>
      </c>
      <c r="D917">
        <v>1989</v>
      </c>
      <c r="E917">
        <v>28</v>
      </c>
      <c r="F917" t="s">
        <v>99</v>
      </c>
      <c r="G917" t="s">
        <v>51</v>
      </c>
      <c r="H917">
        <v>2200000</v>
      </c>
      <c r="I917">
        <v>2200000</v>
      </c>
      <c r="J917" t="s">
        <v>55</v>
      </c>
      <c r="K917">
        <v>34</v>
      </c>
      <c r="L917">
        <v>2543</v>
      </c>
      <c r="M917">
        <v>2</v>
      </c>
      <c r="N917">
        <v>1005</v>
      </c>
      <c r="O917">
        <v>7</v>
      </c>
      <c r="P917">
        <v>5</v>
      </c>
      <c r="Q917">
        <v>1</v>
      </c>
      <c r="R917">
        <v>4</v>
      </c>
      <c r="S917">
        <v>10</v>
      </c>
      <c r="T917">
        <v>20</v>
      </c>
      <c r="U917">
        <v>6</v>
      </c>
      <c r="V917">
        <v>0</v>
      </c>
      <c r="W917">
        <v>11</v>
      </c>
      <c r="X917">
        <v>0</v>
      </c>
      <c r="Y917">
        <v>0</v>
      </c>
      <c r="Z917">
        <v>0</v>
      </c>
      <c r="AA917">
        <v>2</v>
      </c>
      <c r="AB917">
        <v>11</v>
      </c>
      <c r="AC917">
        <v>14</v>
      </c>
      <c r="AD917">
        <v>65</v>
      </c>
      <c r="AE917">
        <v>217</v>
      </c>
      <c r="AF917">
        <v>4</v>
      </c>
      <c r="AG917">
        <v>27</v>
      </c>
      <c r="AH917">
        <v>20</v>
      </c>
      <c r="AI917">
        <v>0</v>
      </c>
      <c r="AJ917">
        <v>52</v>
      </c>
      <c r="AK917">
        <v>0</v>
      </c>
      <c r="AL917">
        <v>0</v>
      </c>
      <c r="AM917">
        <v>25</v>
      </c>
      <c r="AN917">
        <v>11</v>
      </c>
      <c r="AO917">
        <v>15</v>
      </c>
      <c r="AQ917" t="str">
        <f t="shared" si="14"/>
        <v>Midfielder</v>
      </c>
    </row>
    <row r="918" spans="1:43" x14ac:dyDescent="0.35">
      <c r="A918" t="s">
        <v>575</v>
      </c>
      <c r="B918" t="s">
        <v>47</v>
      </c>
      <c r="C918" t="s">
        <v>1784</v>
      </c>
      <c r="D918">
        <v>1992</v>
      </c>
      <c r="E918">
        <v>24</v>
      </c>
      <c r="F918" t="s">
        <v>184</v>
      </c>
      <c r="G918" t="s">
        <v>45</v>
      </c>
      <c r="H918">
        <v>3500000</v>
      </c>
      <c r="I918">
        <v>3000000</v>
      </c>
      <c r="J918" t="s">
        <v>52</v>
      </c>
      <c r="K918">
        <v>10</v>
      </c>
      <c r="L918">
        <v>648</v>
      </c>
      <c r="M918">
        <v>0</v>
      </c>
      <c r="N918">
        <v>308</v>
      </c>
      <c r="O918">
        <v>0</v>
      </c>
      <c r="P918">
        <v>2</v>
      </c>
      <c r="Q918">
        <v>0</v>
      </c>
      <c r="R918">
        <v>3</v>
      </c>
      <c r="S918">
        <v>0</v>
      </c>
      <c r="T918">
        <v>6</v>
      </c>
      <c r="U918">
        <v>3</v>
      </c>
      <c r="V918">
        <v>1</v>
      </c>
      <c r="W918">
        <v>17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8</v>
      </c>
      <c r="AF918">
        <v>5</v>
      </c>
      <c r="AG918">
        <v>23</v>
      </c>
      <c r="AH918">
        <v>9</v>
      </c>
      <c r="AI918">
        <v>0</v>
      </c>
      <c r="AJ918">
        <v>21</v>
      </c>
      <c r="AK918">
        <v>0</v>
      </c>
      <c r="AL918">
        <v>0</v>
      </c>
      <c r="AM918">
        <v>31</v>
      </c>
      <c r="AN918">
        <v>11</v>
      </c>
      <c r="AO918">
        <v>9</v>
      </c>
      <c r="AQ918" t="str">
        <f t="shared" si="14"/>
        <v>Defensive Forward</v>
      </c>
    </row>
    <row r="919" spans="1:43" x14ac:dyDescent="0.35">
      <c r="A919" t="s">
        <v>575</v>
      </c>
      <c r="B919" t="s">
        <v>39</v>
      </c>
      <c r="C919" t="s">
        <v>1785</v>
      </c>
      <c r="D919">
        <v>1992</v>
      </c>
      <c r="E919">
        <v>23</v>
      </c>
      <c r="F919" t="s">
        <v>184</v>
      </c>
      <c r="G919" t="s">
        <v>45</v>
      </c>
      <c r="H919">
        <v>3000000</v>
      </c>
      <c r="I919">
        <v>3500000</v>
      </c>
      <c r="J919" t="s">
        <v>52</v>
      </c>
      <c r="K919">
        <v>15</v>
      </c>
      <c r="L919">
        <v>1111</v>
      </c>
      <c r="M919">
        <v>0</v>
      </c>
      <c r="N919">
        <v>530</v>
      </c>
      <c r="O919">
        <v>0</v>
      </c>
      <c r="P919">
        <v>2</v>
      </c>
      <c r="Q919">
        <v>0</v>
      </c>
      <c r="R919">
        <v>3</v>
      </c>
      <c r="S919">
        <v>1</v>
      </c>
      <c r="T919">
        <v>3</v>
      </c>
      <c r="U919">
        <v>0</v>
      </c>
      <c r="V919">
        <v>0</v>
      </c>
      <c r="W919">
        <v>23</v>
      </c>
      <c r="X919">
        <v>0</v>
      </c>
      <c r="Y919">
        <v>0</v>
      </c>
      <c r="Z919">
        <v>0</v>
      </c>
      <c r="AA919">
        <v>0</v>
      </c>
      <c r="AB919">
        <v>1</v>
      </c>
      <c r="AC919">
        <v>0</v>
      </c>
      <c r="AD919">
        <v>0</v>
      </c>
      <c r="AE919">
        <v>11</v>
      </c>
      <c r="AF919">
        <v>11</v>
      </c>
      <c r="AG919">
        <v>35</v>
      </c>
      <c r="AH919">
        <v>10</v>
      </c>
      <c r="AI919">
        <v>2</v>
      </c>
      <c r="AJ919">
        <v>28</v>
      </c>
      <c r="AK919">
        <v>0</v>
      </c>
      <c r="AL919">
        <v>0</v>
      </c>
      <c r="AM919">
        <v>44</v>
      </c>
      <c r="AN919">
        <v>11</v>
      </c>
      <c r="AO919">
        <v>15</v>
      </c>
      <c r="AQ919" t="str">
        <f t="shared" si="14"/>
        <v>Defensive Forward</v>
      </c>
    </row>
    <row r="920" spans="1:43" x14ac:dyDescent="0.35">
      <c r="A920" t="s">
        <v>576</v>
      </c>
      <c r="B920" t="s">
        <v>39</v>
      </c>
      <c r="C920" t="s">
        <v>1786</v>
      </c>
      <c r="D920">
        <v>1987</v>
      </c>
      <c r="E920">
        <v>28</v>
      </c>
      <c r="F920" t="s">
        <v>84</v>
      </c>
      <c r="G920" t="s">
        <v>51</v>
      </c>
      <c r="H920">
        <v>1350000</v>
      </c>
      <c r="I920">
        <v>1800000</v>
      </c>
      <c r="J920" t="s">
        <v>42</v>
      </c>
      <c r="K920">
        <v>26</v>
      </c>
      <c r="L920">
        <v>1334</v>
      </c>
      <c r="M920">
        <v>3</v>
      </c>
      <c r="N920">
        <v>501</v>
      </c>
      <c r="O920">
        <v>2</v>
      </c>
      <c r="P920">
        <v>1</v>
      </c>
      <c r="Q920">
        <v>0</v>
      </c>
      <c r="R920">
        <v>11</v>
      </c>
      <c r="S920">
        <v>10</v>
      </c>
      <c r="T920">
        <v>22</v>
      </c>
      <c r="U920">
        <v>11</v>
      </c>
      <c r="V920">
        <v>1</v>
      </c>
      <c r="W920">
        <v>8</v>
      </c>
      <c r="X920">
        <v>0</v>
      </c>
      <c r="Y920">
        <v>0</v>
      </c>
      <c r="Z920">
        <v>0</v>
      </c>
      <c r="AA920">
        <v>0</v>
      </c>
      <c r="AB920">
        <v>1</v>
      </c>
      <c r="AC920">
        <v>2</v>
      </c>
      <c r="AD920">
        <v>18</v>
      </c>
      <c r="AE920">
        <v>45</v>
      </c>
      <c r="AF920">
        <v>0</v>
      </c>
      <c r="AG920">
        <v>16</v>
      </c>
      <c r="AH920">
        <v>10</v>
      </c>
      <c r="AI920">
        <v>0</v>
      </c>
      <c r="AJ920">
        <v>32</v>
      </c>
      <c r="AK920">
        <v>0</v>
      </c>
      <c r="AL920">
        <v>0</v>
      </c>
      <c r="AM920">
        <v>13</v>
      </c>
      <c r="AN920">
        <v>14</v>
      </c>
      <c r="AO920">
        <v>31</v>
      </c>
      <c r="AQ920" t="str">
        <f t="shared" si="14"/>
        <v>Forward</v>
      </c>
    </row>
    <row r="921" spans="1:43" x14ac:dyDescent="0.35">
      <c r="A921" t="s">
        <v>576</v>
      </c>
      <c r="B921" t="s">
        <v>47</v>
      </c>
      <c r="C921" t="s">
        <v>1787</v>
      </c>
      <c r="D921">
        <v>1987</v>
      </c>
      <c r="E921">
        <v>29</v>
      </c>
      <c r="F921" t="s">
        <v>84</v>
      </c>
      <c r="G921" t="s">
        <v>51</v>
      </c>
      <c r="H921">
        <v>2200000</v>
      </c>
      <c r="I921">
        <v>1650000</v>
      </c>
      <c r="J921" t="s">
        <v>55</v>
      </c>
      <c r="K921">
        <v>21</v>
      </c>
      <c r="L921">
        <v>1331</v>
      </c>
      <c r="M921">
        <v>2</v>
      </c>
      <c r="N921">
        <v>497</v>
      </c>
      <c r="O921">
        <v>2</v>
      </c>
      <c r="P921">
        <v>1</v>
      </c>
      <c r="Q921">
        <v>0</v>
      </c>
      <c r="R921">
        <v>5</v>
      </c>
      <c r="S921">
        <v>10</v>
      </c>
      <c r="T921">
        <v>18</v>
      </c>
      <c r="U921">
        <v>6</v>
      </c>
      <c r="V921">
        <v>0</v>
      </c>
      <c r="W921">
        <v>10</v>
      </c>
      <c r="X921">
        <v>0</v>
      </c>
      <c r="Y921">
        <v>0</v>
      </c>
      <c r="Z921">
        <v>0</v>
      </c>
      <c r="AA921">
        <v>1</v>
      </c>
      <c r="AB921">
        <v>2</v>
      </c>
      <c r="AC921">
        <v>2</v>
      </c>
      <c r="AD921">
        <v>6</v>
      </c>
      <c r="AE921">
        <v>40</v>
      </c>
      <c r="AF921">
        <v>2</v>
      </c>
      <c r="AG921">
        <v>12</v>
      </c>
      <c r="AH921">
        <v>7</v>
      </c>
      <c r="AI921">
        <v>0</v>
      </c>
      <c r="AJ921">
        <v>22</v>
      </c>
      <c r="AK921">
        <v>0</v>
      </c>
      <c r="AL921">
        <v>0</v>
      </c>
      <c r="AM921">
        <v>21</v>
      </c>
      <c r="AN921">
        <v>21</v>
      </c>
      <c r="AO921">
        <v>17</v>
      </c>
      <c r="AQ921" t="str">
        <f t="shared" si="14"/>
        <v>Midfielder</v>
      </c>
    </row>
    <row r="922" spans="1:43" x14ac:dyDescent="0.35">
      <c r="A922" t="s">
        <v>576</v>
      </c>
      <c r="B922" t="s">
        <v>43</v>
      </c>
      <c r="C922" t="s">
        <v>1788</v>
      </c>
      <c r="D922">
        <v>1987</v>
      </c>
      <c r="E922">
        <v>30</v>
      </c>
      <c r="F922" t="s">
        <v>84</v>
      </c>
      <c r="G922" t="s">
        <v>51</v>
      </c>
      <c r="H922">
        <v>6750000</v>
      </c>
      <c r="I922">
        <v>6300000</v>
      </c>
      <c r="J922" t="s">
        <v>55</v>
      </c>
      <c r="K922">
        <v>20</v>
      </c>
      <c r="L922">
        <v>982</v>
      </c>
      <c r="M922">
        <v>0</v>
      </c>
      <c r="N922">
        <v>469</v>
      </c>
      <c r="O922">
        <v>0</v>
      </c>
      <c r="P922">
        <v>2</v>
      </c>
      <c r="Q922">
        <v>0</v>
      </c>
      <c r="R922">
        <v>9</v>
      </c>
      <c r="S922">
        <v>7</v>
      </c>
      <c r="T922">
        <v>19</v>
      </c>
      <c r="U922">
        <v>5</v>
      </c>
      <c r="V922">
        <v>1</v>
      </c>
      <c r="W922">
        <v>7</v>
      </c>
      <c r="X922">
        <v>0</v>
      </c>
      <c r="Y922">
        <v>0</v>
      </c>
      <c r="Z922">
        <v>0</v>
      </c>
      <c r="AA922">
        <v>2</v>
      </c>
      <c r="AB922">
        <v>3</v>
      </c>
      <c r="AC922">
        <v>14</v>
      </c>
      <c r="AD922">
        <v>5</v>
      </c>
      <c r="AE922">
        <v>32</v>
      </c>
      <c r="AF922">
        <v>1</v>
      </c>
      <c r="AG922">
        <v>13</v>
      </c>
      <c r="AH922">
        <v>7</v>
      </c>
      <c r="AI922">
        <v>0</v>
      </c>
      <c r="AJ922">
        <v>7</v>
      </c>
      <c r="AK922">
        <v>0</v>
      </c>
      <c r="AL922">
        <v>0</v>
      </c>
      <c r="AM922">
        <v>13</v>
      </c>
      <c r="AN922">
        <v>8</v>
      </c>
      <c r="AO922">
        <v>16</v>
      </c>
      <c r="AQ922" t="str">
        <f t="shared" si="14"/>
        <v>Midfielder</v>
      </c>
    </row>
    <row r="923" spans="1:43" x14ac:dyDescent="0.35">
      <c r="A923" t="s">
        <v>577</v>
      </c>
      <c r="B923" t="s">
        <v>39</v>
      </c>
      <c r="C923" t="s">
        <v>1789</v>
      </c>
      <c r="D923">
        <v>1992</v>
      </c>
      <c r="E923">
        <v>22</v>
      </c>
      <c r="F923" t="s">
        <v>184</v>
      </c>
      <c r="G923" t="s">
        <v>216</v>
      </c>
      <c r="H923">
        <v>7500000</v>
      </c>
      <c r="I923">
        <v>15000000</v>
      </c>
      <c r="J923" t="s">
        <v>55</v>
      </c>
      <c r="K923">
        <v>17</v>
      </c>
      <c r="L923">
        <v>752</v>
      </c>
      <c r="M923">
        <v>0</v>
      </c>
      <c r="N923">
        <v>372</v>
      </c>
      <c r="O923">
        <v>0</v>
      </c>
      <c r="P923">
        <v>0</v>
      </c>
      <c r="Q923">
        <v>0</v>
      </c>
      <c r="R923">
        <v>9</v>
      </c>
      <c r="S923">
        <v>5</v>
      </c>
      <c r="T923">
        <v>12</v>
      </c>
      <c r="U923">
        <v>2</v>
      </c>
      <c r="V923">
        <v>0</v>
      </c>
      <c r="W923">
        <v>6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10</v>
      </c>
      <c r="AF923">
        <v>0</v>
      </c>
      <c r="AG923">
        <v>22</v>
      </c>
      <c r="AH923">
        <v>14</v>
      </c>
      <c r="AI923">
        <v>0</v>
      </c>
      <c r="AJ923">
        <v>28</v>
      </c>
      <c r="AK923">
        <v>0</v>
      </c>
      <c r="AL923">
        <v>0</v>
      </c>
      <c r="AM923">
        <v>16</v>
      </c>
      <c r="AN923">
        <v>13</v>
      </c>
      <c r="AO923">
        <v>13</v>
      </c>
      <c r="AQ923" t="str">
        <f t="shared" si="14"/>
        <v>Midfielder</v>
      </c>
    </row>
    <row r="924" spans="1:43" x14ac:dyDescent="0.35">
      <c r="A924" t="s">
        <v>578</v>
      </c>
      <c r="B924" t="s">
        <v>47</v>
      </c>
      <c r="C924" t="s">
        <v>1790</v>
      </c>
      <c r="D924">
        <v>1990</v>
      </c>
      <c r="E924">
        <v>25</v>
      </c>
      <c r="F924" t="s">
        <v>44</v>
      </c>
      <c r="G924" t="s">
        <v>45</v>
      </c>
      <c r="H924">
        <v>9000000</v>
      </c>
      <c r="I924">
        <v>25000000</v>
      </c>
      <c r="J924" t="s">
        <v>52</v>
      </c>
      <c r="K924">
        <v>31</v>
      </c>
      <c r="L924">
        <v>2694</v>
      </c>
      <c r="M924">
        <v>6</v>
      </c>
      <c r="N924">
        <v>1250</v>
      </c>
      <c r="O924">
        <v>3</v>
      </c>
      <c r="P924">
        <v>2</v>
      </c>
      <c r="Q924">
        <v>0</v>
      </c>
      <c r="R924">
        <v>1</v>
      </c>
      <c r="S924">
        <v>2</v>
      </c>
      <c r="T924">
        <v>46</v>
      </c>
      <c r="U924">
        <v>16</v>
      </c>
      <c r="V924">
        <v>4</v>
      </c>
      <c r="W924">
        <v>40</v>
      </c>
      <c r="X924">
        <v>1</v>
      </c>
      <c r="Y924">
        <v>0</v>
      </c>
      <c r="Z924">
        <v>1</v>
      </c>
      <c r="AA924">
        <v>3</v>
      </c>
      <c r="AB924">
        <v>2</v>
      </c>
      <c r="AC924">
        <v>2</v>
      </c>
      <c r="AD924">
        <v>0</v>
      </c>
      <c r="AE924">
        <v>102</v>
      </c>
      <c r="AF924">
        <v>5</v>
      </c>
      <c r="AG924">
        <v>44</v>
      </c>
      <c r="AH924">
        <v>25</v>
      </c>
      <c r="AI924">
        <v>0</v>
      </c>
      <c r="AJ924">
        <v>56</v>
      </c>
      <c r="AK924">
        <v>0</v>
      </c>
      <c r="AL924">
        <v>0</v>
      </c>
      <c r="AM924">
        <v>76</v>
      </c>
      <c r="AN924">
        <v>73</v>
      </c>
      <c r="AO924">
        <v>41</v>
      </c>
      <c r="AQ924" t="str">
        <f t="shared" si="14"/>
        <v>Defensive Forward</v>
      </c>
    </row>
    <row r="925" spans="1:43" x14ac:dyDescent="0.35">
      <c r="A925" t="s">
        <v>578</v>
      </c>
      <c r="B925" t="s">
        <v>46</v>
      </c>
      <c r="C925" t="s">
        <v>1791</v>
      </c>
      <c r="D925">
        <v>1990</v>
      </c>
      <c r="E925">
        <v>27</v>
      </c>
      <c r="F925" t="s">
        <v>44</v>
      </c>
      <c r="G925" t="s">
        <v>45</v>
      </c>
      <c r="H925">
        <v>40000000</v>
      </c>
      <c r="I925">
        <v>40000000</v>
      </c>
      <c r="J925" t="s">
        <v>52</v>
      </c>
      <c r="K925">
        <v>31</v>
      </c>
      <c r="L925">
        <v>2761</v>
      </c>
      <c r="M925">
        <v>2</v>
      </c>
      <c r="N925">
        <v>1881</v>
      </c>
      <c r="O925">
        <v>4</v>
      </c>
      <c r="P925">
        <v>6</v>
      </c>
      <c r="Q925">
        <v>0</v>
      </c>
      <c r="R925">
        <v>0</v>
      </c>
      <c r="S925">
        <v>2</v>
      </c>
      <c r="T925">
        <v>45</v>
      </c>
      <c r="U925">
        <v>7</v>
      </c>
      <c r="V925">
        <v>6</v>
      </c>
      <c r="W925">
        <v>46</v>
      </c>
      <c r="X925">
        <v>0</v>
      </c>
      <c r="Y925">
        <v>0</v>
      </c>
      <c r="Z925">
        <v>0</v>
      </c>
      <c r="AA925">
        <v>2</v>
      </c>
      <c r="AB925">
        <v>2</v>
      </c>
      <c r="AC925">
        <v>38</v>
      </c>
      <c r="AD925">
        <v>0</v>
      </c>
      <c r="AE925">
        <v>98</v>
      </c>
      <c r="AF925">
        <v>2</v>
      </c>
      <c r="AG925">
        <v>39</v>
      </c>
      <c r="AH925">
        <v>28</v>
      </c>
      <c r="AI925">
        <v>0</v>
      </c>
      <c r="AJ925">
        <v>74</v>
      </c>
      <c r="AK925">
        <v>0</v>
      </c>
      <c r="AL925">
        <v>0</v>
      </c>
      <c r="AM925">
        <v>86</v>
      </c>
      <c r="AN925">
        <v>66</v>
      </c>
      <c r="AO925">
        <v>54</v>
      </c>
      <c r="AQ925" t="str">
        <f t="shared" si="14"/>
        <v>Defensive Forward</v>
      </c>
    </row>
    <row r="926" spans="1:43" x14ac:dyDescent="0.35">
      <c r="A926" t="s">
        <v>578</v>
      </c>
      <c r="B926" t="s">
        <v>43</v>
      </c>
      <c r="C926" t="s">
        <v>1792</v>
      </c>
      <c r="D926">
        <v>1990</v>
      </c>
      <c r="E926">
        <v>27</v>
      </c>
      <c r="F926" t="s">
        <v>44</v>
      </c>
      <c r="G926" t="s">
        <v>45</v>
      </c>
      <c r="H926">
        <v>25000000</v>
      </c>
      <c r="I926">
        <v>40000000</v>
      </c>
      <c r="J926" t="s">
        <v>52</v>
      </c>
      <c r="K926">
        <v>33</v>
      </c>
      <c r="L926">
        <v>2860</v>
      </c>
      <c r="M926">
        <v>7</v>
      </c>
      <c r="N926">
        <v>1347</v>
      </c>
      <c r="O926">
        <v>2</v>
      </c>
      <c r="P926">
        <v>6</v>
      </c>
      <c r="Q926">
        <v>0</v>
      </c>
      <c r="R926">
        <v>0</v>
      </c>
      <c r="S926">
        <v>5</v>
      </c>
      <c r="T926">
        <v>65</v>
      </c>
      <c r="U926">
        <v>23</v>
      </c>
      <c r="V926">
        <v>0</v>
      </c>
      <c r="W926">
        <v>28</v>
      </c>
      <c r="X926">
        <v>2</v>
      </c>
      <c r="Y926">
        <v>0</v>
      </c>
      <c r="Z926">
        <v>2</v>
      </c>
      <c r="AA926">
        <v>8</v>
      </c>
      <c r="AB926">
        <v>0</v>
      </c>
      <c r="AC926">
        <v>42</v>
      </c>
      <c r="AD926">
        <v>0</v>
      </c>
      <c r="AE926">
        <v>96</v>
      </c>
      <c r="AF926">
        <v>5</v>
      </c>
      <c r="AG926">
        <v>47</v>
      </c>
      <c r="AH926">
        <v>26</v>
      </c>
      <c r="AI926">
        <v>0</v>
      </c>
      <c r="AJ926">
        <v>51</v>
      </c>
      <c r="AK926">
        <v>1</v>
      </c>
      <c r="AL926">
        <v>0</v>
      </c>
      <c r="AM926">
        <v>60</v>
      </c>
      <c r="AN926">
        <v>61</v>
      </c>
      <c r="AO926">
        <v>54</v>
      </c>
      <c r="AQ926" t="str">
        <f t="shared" si="14"/>
        <v>Defensive Forward</v>
      </c>
    </row>
    <row r="927" spans="1:43" x14ac:dyDescent="0.35">
      <c r="A927" t="s">
        <v>579</v>
      </c>
      <c r="B927" t="s">
        <v>47</v>
      </c>
      <c r="C927" t="s">
        <v>1793</v>
      </c>
      <c r="D927">
        <v>1990</v>
      </c>
      <c r="E927">
        <v>26</v>
      </c>
      <c r="F927" t="s">
        <v>129</v>
      </c>
      <c r="G927" t="s">
        <v>262</v>
      </c>
      <c r="H927">
        <v>17100000</v>
      </c>
      <c r="I927">
        <v>16200000</v>
      </c>
      <c r="J927" t="s">
        <v>52</v>
      </c>
      <c r="K927">
        <v>21</v>
      </c>
      <c r="L927">
        <v>1660</v>
      </c>
      <c r="M927">
        <v>1</v>
      </c>
      <c r="N927">
        <v>951</v>
      </c>
      <c r="O927">
        <v>0</v>
      </c>
      <c r="P927">
        <v>5</v>
      </c>
      <c r="Q927">
        <v>0</v>
      </c>
      <c r="R927">
        <v>3</v>
      </c>
      <c r="S927">
        <v>1</v>
      </c>
      <c r="T927">
        <v>14</v>
      </c>
      <c r="U927">
        <v>4</v>
      </c>
      <c r="V927">
        <v>0</v>
      </c>
      <c r="W927">
        <v>83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10</v>
      </c>
      <c r="AF927">
        <v>6</v>
      </c>
      <c r="AG927">
        <v>33</v>
      </c>
      <c r="AH927">
        <v>24</v>
      </c>
      <c r="AI927">
        <v>0</v>
      </c>
      <c r="AJ927">
        <v>29</v>
      </c>
      <c r="AK927">
        <v>0</v>
      </c>
      <c r="AL927">
        <v>0</v>
      </c>
      <c r="AM927">
        <v>143</v>
      </c>
      <c r="AN927">
        <v>46</v>
      </c>
      <c r="AO927">
        <v>28</v>
      </c>
      <c r="AQ927" t="str">
        <f t="shared" si="14"/>
        <v>Defensive Forward</v>
      </c>
    </row>
    <row r="928" spans="1:43" x14ac:dyDescent="0.35">
      <c r="A928" t="s">
        <v>579</v>
      </c>
      <c r="B928" t="s">
        <v>39</v>
      </c>
      <c r="C928" t="s">
        <v>1794</v>
      </c>
      <c r="D928">
        <v>1990</v>
      </c>
      <c r="E928">
        <v>25</v>
      </c>
      <c r="F928" t="s">
        <v>129</v>
      </c>
      <c r="G928" t="s">
        <v>262</v>
      </c>
      <c r="H928">
        <v>16200000</v>
      </c>
      <c r="I928">
        <v>17100000</v>
      </c>
      <c r="J928" t="s">
        <v>52</v>
      </c>
      <c r="K928">
        <v>16</v>
      </c>
      <c r="L928">
        <v>1253</v>
      </c>
      <c r="M928">
        <v>0</v>
      </c>
      <c r="N928">
        <v>700</v>
      </c>
      <c r="O928">
        <v>1</v>
      </c>
      <c r="P928">
        <v>3</v>
      </c>
      <c r="Q928">
        <v>0</v>
      </c>
      <c r="R928">
        <v>1</v>
      </c>
      <c r="S928">
        <v>6</v>
      </c>
      <c r="T928">
        <v>8</v>
      </c>
      <c r="U928">
        <v>1</v>
      </c>
      <c r="V928">
        <v>0</v>
      </c>
      <c r="W928">
        <v>18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53</v>
      </c>
      <c r="AF928">
        <v>5</v>
      </c>
      <c r="AG928">
        <v>28</v>
      </c>
      <c r="AH928">
        <v>20</v>
      </c>
      <c r="AI928">
        <v>0</v>
      </c>
      <c r="AJ928">
        <v>43</v>
      </c>
      <c r="AK928">
        <v>0</v>
      </c>
      <c r="AL928">
        <v>0</v>
      </c>
      <c r="AM928">
        <v>32</v>
      </c>
      <c r="AN928">
        <v>30</v>
      </c>
      <c r="AO928">
        <v>24</v>
      </c>
      <c r="AQ928" t="str">
        <f t="shared" si="14"/>
        <v>Defensive Forward</v>
      </c>
    </row>
    <row r="929" spans="1:43" x14ac:dyDescent="0.35">
      <c r="A929" t="s">
        <v>580</v>
      </c>
      <c r="B929" t="s">
        <v>39</v>
      </c>
      <c r="C929" t="s">
        <v>1795</v>
      </c>
      <c r="D929">
        <v>1997</v>
      </c>
      <c r="E929">
        <v>17</v>
      </c>
      <c r="F929" t="s">
        <v>129</v>
      </c>
      <c r="G929" t="s">
        <v>51</v>
      </c>
      <c r="H929">
        <v>3300000</v>
      </c>
      <c r="I929">
        <v>5400000</v>
      </c>
      <c r="J929" t="s">
        <v>42</v>
      </c>
      <c r="K929">
        <v>11</v>
      </c>
      <c r="L929">
        <v>861</v>
      </c>
      <c r="M929">
        <v>5</v>
      </c>
      <c r="N929">
        <v>199</v>
      </c>
      <c r="O929">
        <v>2</v>
      </c>
      <c r="P929">
        <v>0</v>
      </c>
      <c r="Q929">
        <v>0</v>
      </c>
      <c r="R929">
        <v>0</v>
      </c>
      <c r="S929">
        <v>7</v>
      </c>
      <c r="T929">
        <v>16</v>
      </c>
      <c r="U929">
        <v>8</v>
      </c>
      <c r="V929">
        <v>0</v>
      </c>
      <c r="W929">
        <v>4</v>
      </c>
      <c r="X929">
        <v>0</v>
      </c>
      <c r="Y929">
        <v>0</v>
      </c>
      <c r="Z929">
        <v>0</v>
      </c>
      <c r="AA929">
        <v>4</v>
      </c>
      <c r="AB929">
        <v>0</v>
      </c>
      <c r="AC929">
        <v>3</v>
      </c>
      <c r="AD929">
        <v>0</v>
      </c>
      <c r="AE929">
        <v>6</v>
      </c>
      <c r="AF929">
        <v>4</v>
      </c>
      <c r="AG929">
        <v>2</v>
      </c>
      <c r="AH929">
        <v>5</v>
      </c>
      <c r="AI929">
        <v>0</v>
      </c>
      <c r="AJ929">
        <v>7</v>
      </c>
      <c r="AK929">
        <v>0</v>
      </c>
      <c r="AL929">
        <v>0</v>
      </c>
      <c r="AM929">
        <v>9</v>
      </c>
      <c r="AN929">
        <v>3</v>
      </c>
      <c r="AO929">
        <v>18</v>
      </c>
      <c r="AQ929" t="str">
        <f t="shared" si="14"/>
        <v>Forward</v>
      </c>
    </row>
    <row r="930" spans="1:43" x14ac:dyDescent="0.35">
      <c r="A930" t="s">
        <v>580</v>
      </c>
      <c r="B930" t="s">
        <v>47</v>
      </c>
      <c r="C930" t="s">
        <v>1796</v>
      </c>
      <c r="D930">
        <v>1997</v>
      </c>
      <c r="E930">
        <v>18</v>
      </c>
      <c r="F930" t="s">
        <v>129</v>
      </c>
      <c r="G930" t="s">
        <v>51</v>
      </c>
      <c r="H930">
        <v>5400000</v>
      </c>
      <c r="I930">
        <v>16200000</v>
      </c>
      <c r="J930" t="s">
        <v>42</v>
      </c>
      <c r="K930">
        <v>32</v>
      </c>
      <c r="L930">
        <v>1701</v>
      </c>
      <c r="M930">
        <v>5</v>
      </c>
      <c r="N930">
        <v>544</v>
      </c>
      <c r="O930">
        <v>1</v>
      </c>
      <c r="P930">
        <v>3</v>
      </c>
      <c r="Q930">
        <v>0</v>
      </c>
      <c r="R930">
        <v>16</v>
      </c>
      <c r="S930">
        <v>8</v>
      </c>
      <c r="T930">
        <v>44</v>
      </c>
      <c r="U930">
        <v>17</v>
      </c>
      <c r="V930">
        <v>1</v>
      </c>
      <c r="W930">
        <v>0</v>
      </c>
      <c r="X930">
        <v>0</v>
      </c>
      <c r="Y930">
        <v>0</v>
      </c>
      <c r="Z930">
        <v>0</v>
      </c>
      <c r="AA930">
        <v>11</v>
      </c>
      <c r="AB930">
        <v>0</v>
      </c>
      <c r="AC930">
        <v>4</v>
      </c>
      <c r="AD930">
        <v>19</v>
      </c>
      <c r="AE930">
        <v>83</v>
      </c>
      <c r="AF930">
        <v>0</v>
      </c>
      <c r="AG930">
        <v>12</v>
      </c>
      <c r="AH930">
        <v>16</v>
      </c>
      <c r="AI930">
        <v>0</v>
      </c>
      <c r="AJ930">
        <v>16</v>
      </c>
      <c r="AK930">
        <v>0</v>
      </c>
      <c r="AL930">
        <v>0</v>
      </c>
      <c r="AM930">
        <v>6</v>
      </c>
      <c r="AN930">
        <v>4</v>
      </c>
      <c r="AO930">
        <v>24</v>
      </c>
      <c r="AQ930" t="str">
        <f t="shared" si="14"/>
        <v>Forward</v>
      </c>
    </row>
    <row r="931" spans="1:43" x14ac:dyDescent="0.35">
      <c r="A931" t="s">
        <v>580</v>
      </c>
      <c r="B931" t="s">
        <v>43</v>
      </c>
      <c r="C931" t="s">
        <v>1797</v>
      </c>
      <c r="D931">
        <v>1997</v>
      </c>
      <c r="E931">
        <v>20</v>
      </c>
      <c r="F931" t="s">
        <v>129</v>
      </c>
      <c r="G931" t="s">
        <v>51</v>
      </c>
      <c r="H931">
        <v>16200000</v>
      </c>
      <c r="I931">
        <v>58500000</v>
      </c>
      <c r="J931" t="s">
        <v>42</v>
      </c>
      <c r="K931">
        <v>35</v>
      </c>
      <c r="L931">
        <v>1807</v>
      </c>
      <c r="M931">
        <v>7</v>
      </c>
      <c r="N931">
        <v>576</v>
      </c>
      <c r="O931">
        <v>5</v>
      </c>
      <c r="P931">
        <v>3</v>
      </c>
      <c r="Q931">
        <v>0</v>
      </c>
      <c r="R931">
        <v>18</v>
      </c>
      <c r="S931">
        <v>10</v>
      </c>
      <c r="T931">
        <v>61</v>
      </c>
      <c r="U931">
        <v>21</v>
      </c>
      <c r="V931">
        <v>2</v>
      </c>
      <c r="W931">
        <v>8</v>
      </c>
      <c r="X931">
        <v>2</v>
      </c>
      <c r="Y931">
        <v>0</v>
      </c>
      <c r="Z931">
        <v>0</v>
      </c>
      <c r="AA931">
        <v>9</v>
      </c>
      <c r="AB931">
        <v>8</v>
      </c>
      <c r="AC931">
        <v>40</v>
      </c>
      <c r="AD931">
        <v>41</v>
      </c>
      <c r="AE931">
        <v>81</v>
      </c>
      <c r="AF931">
        <v>0</v>
      </c>
      <c r="AG931">
        <v>8</v>
      </c>
      <c r="AH931">
        <v>21</v>
      </c>
      <c r="AI931">
        <v>0</v>
      </c>
      <c r="AJ931">
        <v>14</v>
      </c>
      <c r="AK931">
        <v>0</v>
      </c>
      <c r="AL931">
        <v>0</v>
      </c>
      <c r="AM931">
        <v>14</v>
      </c>
      <c r="AN931">
        <v>18</v>
      </c>
      <c r="AO931">
        <v>25</v>
      </c>
      <c r="AQ931" t="str">
        <f t="shared" si="14"/>
        <v>Forward</v>
      </c>
    </row>
    <row r="932" spans="1:43" x14ac:dyDescent="0.35">
      <c r="A932" t="s">
        <v>580</v>
      </c>
      <c r="B932" t="s">
        <v>46</v>
      </c>
      <c r="C932" t="s">
        <v>1798</v>
      </c>
      <c r="D932">
        <v>1997</v>
      </c>
      <c r="E932">
        <v>20</v>
      </c>
      <c r="F932" t="s">
        <v>129</v>
      </c>
      <c r="G932" t="s">
        <v>51</v>
      </c>
      <c r="H932">
        <v>58500000</v>
      </c>
      <c r="I932">
        <v>72000000</v>
      </c>
      <c r="J932" t="s">
        <v>42</v>
      </c>
      <c r="K932">
        <v>33</v>
      </c>
      <c r="L932">
        <v>2342</v>
      </c>
      <c r="M932">
        <v>10</v>
      </c>
      <c r="N932">
        <v>666</v>
      </c>
      <c r="O932">
        <v>6</v>
      </c>
      <c r="P932">
        <v>3</v>
      </c>
      <c r="Q932">
        <v>1</v>
      </c>
      <c r="R932">
        <v>7</v>
      </c>
      <c r="S932">
        <v>15</v>
      </c>
      <c r="T932">
        <v>84</v>
      </c>
      <c r="U932">
        <v>40</v>
      </c>
      <c r="V932">
        <v>0</v>
      </c>
      <c r="W932">
        <v>13</v>
      </c>
      <c r="X932">
        <v>0</v>
      </c>
      <c r="Y932">
        <v>0</v>
      </c>
      <c r="Z932">
        <v>1</v>
      </c>
      <c r="AA932">
        <v>15</v>
      </c>
      <c r="AB932">
        <v>3</v>
      </c>
      <c r="AC932">
        <v>44</v>
      </c>
      <c r="AD932">
        <v>23</v>
      </c>
      <c r="AE932">
        <v>55</v>
      </c>
      <c r="AF932">
        <v>0</v>
      </c>
      <c r="AG932">
        <v>3</v>
      </c>
      <c r="AH932">
        <v>26</v>
      </c>
      <c r="AI932">
        <v>0</v>
      </c>
      <c r="AJ932">
        <v>24</v>
      </c>
      <c r="AK932">
        <v>0</v>
      </c>
      <c r="AL932">
        <v>0</v>
      </c>
      <c r="AM932">
        <v>24</v>
      </c>
      <c r="AN932">
        <v>29</v>
      </c>
      <c r="AO932">
        <v>44</v>
      </c>
      <c r="AQ932" t="str">
        <f t="shared" si="14"/>
        <v>Forward</v>
      </c>
    </row>
    <row r="933" spans="1:43" x14ac:dyDescent="0.35">
      <c r="A933" t="s">
        <v>581</v>
      </c>
      <c r="B933" t="s">
        <v>43</v>
      </c>
      <c r="C933" t="s">
        <v>1799</v>
      </c>
      <c r="D933">
        <v>1993</v>
      </c>
      <c r="E933">
        <v>24</v>
      </c>
      <c r="F933" t="s">
        <v>220</v>
      </c>
      <c r="G933" t="s">
        <v>214</v>
      </c>
      <c r="H933">
        <v>15000000</v>
      </c>
      <c r="I933">
        <v>15000000</v>
      </c>
      <c r="J933" t="s">
        <v>55</v>
      </c>
      <c r="K933">
        <v>25</v>
      </c>
      <c r="L933">
        <v>1721</v>
      </c>
      <c r="M933">
        <v>1</v>
      </c>
      <c r="N933">
        <v>971</v>
      </c>
      <c r="O933">
        <v>1</v>
      </c>
      <c r="P933">
        <v>2</v>
      </c>
      <c r="Q933">
        <v>0</v>
      </c>
      <c r="R933">
        <v>5</v>
      </c>
      <c r="S933">
        <v>8</v>
      </c>
      <c r="T933">
        <v>23</v>
      </c>
      <c r="U933">
        <v>5</v>
      </c>
      <c r="V933">
        <v>1</v>
      </c>
      <c r="W933">
        <v>21</v>
      </c>
      <c r="X933">
        <v>0</v>
      </c>
      <c r="Y933">
        <v>0</v>
      </c>
      <c r="Z933">
        <v>0</v>
      </c>
      <c r="AA933">
        <v>2</v>
      </c>
      <c r="AB933">
        <v>6</v>
      </c>
      <c r="AC933">
        <v>18</v>
      </c>
      <c r="AD933">
        <v>0</v>
      </c>
      <c r="AE933">
        <v>10</v>
      </c>
      <c r="AF933">
        <v>6</v>
      </c>
      <c r="AG933">
        <v>36</v>
      </c>
      <c r="AH933">
        <v>28</v>
      </c>
      <c r="AI933">
        <v>0</v>
      </c>
      <c r="AJ933">
        <v>55</v>
      </c>
      <c r="AK933">
        <v>1</v>
      </c>
      <c r="AL933">
        <v>0</v>
      </c>
      <c r="AM933">
        <v>33</v>
      </c>
      <c r="AN933">
        <v>25</v>
      </c>
      <c r="AO933">
        <v>13</v>
      </c>
      <c r="AQ933" t="str">
        <f t="shared" si="14"/>
        <v>Midfielder</v>
      </c>
    </row>
    <row r="934" spans="1:43" x14ac:dyDescent="0.35">
      <c r="A934" t="s">
        <v>581</v>
      </c>
      <c r="B934" t="s">
        <v>46</v>
      </c>
      <c r="C934" t="s">
        <v>1800</v>
      </c>
      <c r="D934">
        <v>1993</v>
      </c>
      <c r="E934">
        <v>24</v>
      </c>
      <c r="F934" t="s">
        <v>220</v>
      </c>
      <c r="G934" t="s">
        <v>214</v>
      </c>
      <c r="H934">
        <v>9000000</v>
      </c>
      <c r="I934">
        <v>7650000</v>
      </c>
      <c r="J934" t="s">
        <v>55</v>
      </c>
      <c r="K934">
        <v>21</v>
      </c>
      <c r="L934">
        <v>1614</v>
      </c>
      <c r="M934">
        <v>1</v>
      </c>
      <c r="N934">
        <v>809</v>
      </c>
      <c r="O934">
        <v>1</v>
      </c>
      <c r="P934">
        <v>5</v>
      </c>
      <c r="Q934">
        <v>0</v>
      </c>
      <c r="R934">
        <v>3</v>
      </c>
      <c r="S934">
        <v>5</v>
      </c>
      <c r="T934">
        <v>25</v>
      </c>
      <c r="U934">
        <v>5</v>
      </c>
      <c r="V934">
        <v>1</v>
      </c>
      <c r="W934">
        <v>14</v>
      </c>
      <c r="X934">
        <v>0</v>
      </c>
      <c r="Y934">
        <v>0</v>
      </c>
      <c r="Z934">
        <v>0</v>
      </c>
      <c r="AA934">
        <v>1</v>
      </c>
      <c r="AB934">
        <v>3</v>
      </c>
      <c r="AC934">
        <v>20</v>
      </c>
      <c r="AD934">
        <v>0</v>
      </c>
      <c r="AE934">
        <v>9</v>
      </c>
      <c r="AF934">
        <v>3</v>
      </c>
      <c r="AG934">
        <v>43</v>
      </c>
      <c r="AH934">
        <v>31</v>
      </c>
      <c r="AI934">
        <v>0</v>
      </c>
      <c r="AJ934">
        <v>49</v>
      </c>
      <c r="AK934">
        <v>0</v>
      </c>
      <c r="AL934">
        <v>0</v>
      </c>
      <c r="AM934">
        <v>30</v>
      </c>
      <c r="AN934">
        <v>29</v>
      </c>
      <c r="AO934">
        <v>16</v>
      </c>
      <c r="AQ934" t="str">
        <f t="shared" si="14"/>
        <v>Midfielder</v>
      </c>
    </row>
    <row r="935" spans="1:43" x14ac:dyDescent="0.35">
      <c r="A935" t="s">
        <v>582</v>
      </c>
      <c r="B935" t="s">
        <v>39</v>
      </c>
      <c r="C935" t="s">
        <v>1801</v>
      </c>
      <c r="D935">
        <v>1987</v>
      </c>
      <c r="E935">
        <v>28</v>
      </c>
      <c r="F935" t="s">
        <v>66</v>
      </c>
      <c r="G935" t="s">
        <v>45</v>
      </c>
      <c r="H935">
        <v>7700000</v>
      </c>
      <c r="I935">
        <v>7700000</v>
      </c>
      <c r="J935" t="s">
        <v>55</v>
      </c>
      <c r="K935">
        <v>15</v>
      </c>
      <c r="L935">
        <v>744</v>
      </c>
      <c r="M935">
        <v>0</v>
      </c>
      <c r="N935">
        <v>422</v>
      </c>
      <c r="O935">
        <v>0</v>
      </c>
      <c r="P935">
        <v>2</v>
      </c>
      <c r="Q935">
        <v>0</v>
      </c>
      <c r="R935">
        <v>7</v>
      </c>
      <c r="S935">
        <v>3</v>
      </c>
      <c r="T935">
        <v>8</v>
      </c>
      <c r="U935">
        <v>1</v>
      </c>
      <c r="V935">
        <v>0</v>
      </c>
      <c r="W935">
        <v>6</v>
      </c>
      <c r="X935">
        <v>0</v>
      </c>
      <c r="Y935">
        <v>0</v>
      </c>
      <c r="Z935">
        <v>0</v>
      </c>
      <c r="AA935">
        <v>0</v>
      </c>
      <c r="AB935">
        <v>1</v>
      </c>
      <c r="AC935">
        <v>0</v>
      </c>
      <c r="AD935">
        <v>0</v>
      </c>
      <c r="AE935">
        <v>2</v>
      </c>
      <c r="AF935">
        <v>0</v>
      </c>
      <c r="AG935">
        <v>18</v>
      </c>
      <c r="AH935">
        <v>14</v>
      </c>
      <c r="AI935">
        <v>0</v>
      </c>
      <c r="AJ935">
        <v>21</v>
      </c>
      <c r="AK935">
        <v>0</v>
      </c>
      <c r="AL935">
        <v>0</v>
      </c>
      <c r="AM935">
        <v>11</v>
      </c>
      <c r="AN935">
        <v>9</v>
      </c>
      <c r="AO935">
        <v>12</v>
      </c>
      <c r="AQ935" t="str">
        <f t="shared" si="14"/>
        <v>Midfielder</v>
      </c>
    </row>
    <row r="936" spans="1:43" x14ac:dyDescent="0.35">
      <c r="A936" t="s">
        <v>583</v>
      </c>
      <c r="B936" t="s">
        <v>43</v>
      </c>
      <c r="C936" t="s">
        <v>1802</v>
      </c>
      <c r="D936">
        <v>1987</v>
      </c>
      <c r="E936">
        <v>30</v>
      </c>
      <c r="F936" t="s">
        <v>50</v>
      </c>
      <c r="G936" t="s">
        <v>51</v>
      </c>
      <c r="H936">
        <v>7700000</v>
      </c>
      <c r="I936">
        <v>7700000</v>
      </c>
      <c r="J936" t="s">
        <v>55</v>
      </c>
      <c r="K936">
        <v>29</v>
      </c>
      <c r="L936">
        <v>2405</v>
      </c>
      <c r="M936">
        <v>4</v>
      </c>
      <c r="N936">
        <v>1324</v>
      </c>
      <c r="O936">
        <v>0</v>
      </c>
      <c r="P936">
        <v>6</v>
      </c>
      <c r="Q936">
        <v>0</v>
      </c>
      <c r="R936">
        <v>1</v>
      </c>
      <c r="S936">
        <v>5</v>
      </c>
      <c r="T936">
        <v>15</v>
      </c>
      <c r="U936">
        <v>6</v>
      </c>
      <c r="V936">
        <v>0</v>
      </c>
      <c r="W936">
        <v>8</v>
      </c>
      <c r="X936">
        <v>0</v>
      </c>
      <c r="Y936">
        <v>2</v>
      </c>
      <c r="Z936">
        <v>0</v>
      </c>
      <c r="AA936">
        <v>2</v>
      </c>
      <c r="AB936">
        <v>8</v>
      </c>
      <c r="AC936">
        <v>9</v>
      </c>
      <c r="AD936">
        <v>7</v>
      </c>
      <c r="AE936">
        <v>23</v>
      </c>
      <c r="AF936">
        <v>10</v>
      </c>
      <c r="AG936">
        <v>47</v>
      </c>
      <c r="AH936">
        <v>28</v>
      </c>
      <c r="AI936">
        <v>0</v>
      </c>
      <c r="AJ936">
        <v>61</v>
      </c>
      <c r="AK936">
        <v>0</v>
      </c>
      <c r="AL936">
        <v>0</v>
      </c>
      <c r="AM936">
        <v>22</v>
      </c>
      <c r="AN936">
        <v>10</v>
      </c>
      <c r="AO936">
        <v>14</v>
      </c>
      <c r="AQ936" t="str">
        <f t="shared" si="14"/>
        <v>Midfielder</v>
      </c>
    </row>
    <row r="937" spans="1:43" x14ac:dyDescent="0.35">
      <c r="A937" t="s">
        <v>583</v>
      </c>
      <c r="B937" t="s">
        <v>39</v>
      </c>
      <c r="C937" t="s">
        <v>1803</v>
      </c>
      <c r="D937">
        <v>1987</v>
      </c>
      <c r="E937">
        <v>28</v>
      </c>
      <c r="F937" t="s">
        <v>50</v>
      </c>
      <c r="G937" t="s">
        <v>51</v>
      </c>
      <c r="H937">
        <v>7700000</v>
      </c>
      <c r="I937">
        <v>7700000</v>
      </c>
      <c r="J937" t="s">
        <v>55</v>
      </c>
      <c r="K937">
        <v>37</v>
      </c>
      <c r="L937">
        <v>3204</v>
      </c>
      <c r="M937">
        <v>7</v>
      </c>
      <c r="N937">
        <v>1923</v>
      </c>
      <c r="O937">
        <v>4</v>
      </c>
      <c r="P937">
        <v>8</v>
      </c>
      <c r="Q937">
        <v>0</v>
      </c>
      <c r="R937">
        <v>0</v>
      </c>
      <c r="S937">
        <v>9</v>
      </c>
      <c r="T937">
        <v>34</v>
      </c>
      <c r="U937">
        <v>12</v>
      </c>
      <c r="V937">
        <v>1</v>
      </c>
      <c r="W937">
        <v>7</v>
      </c>
      <c r="X937">
        <v>0</v>
      </c>
      <c r="Y937">
        <v>3</v>
      </c>
      <c r="Z937">
        <v>0</v>
      </c>
      <c r="AA937">
        <v>6</v>
      </c>
      <c r="AB937">
        <v>2</v>
      </c>
      <c r="AC937">
        <v>0</v>
      </c>
      <c r="AD937">
        <v>6</v>
      </c>
      <c r="AE937">
        <v>29</v>
      </c>
      <c r="AF937">
        <v>12</v>
      </c>
      <c r="AG937">
        <v>83</v>
      </c>
      <c r="AH937">
        <v>36</v>
      </c>
      <c r="AI937">
        <v>0</v>
      </c>
      <c r="AJ937">
        <v>103</v>
      </c>
      <c r="AK937">
        <v>1</v>
      </c>
      <c r="AL937">
        <v>0</v>
      </c>
      <c r="AM937">
        <v>19</v>
      </c>
      <c r="AN937">
        <v>17</v>
      </c>
      <c r="AO937">
        <v>17</v>
      </c>
      <c r="AQ937" t="str">
        <f t="shared" si="14"/>
        <v>Midfielder</v>
      </c>
    </row>
    <row r="938" spans="1:43" x14ac:dyDescent="0.35">
      <c r="A938" t="s">
        <v>583</v>
      </c>
      <c r="B938" t="s">
        <v>47</v>
      </c>
      <c r="C938" t="s">
        <v>1804</v>
      </c>
      <c r="D938">
        <v>1987</v>
      </c>
      <c r="E938">
        <v>29</v>
      </c>
      <c r="F938" t="s">
        <v>50</v>
      </c>
      <c r="G938" t="s">
        <v>51</v>
      </c>
      <c r="H938">
        <v>7700000</v>
      </c>
      <c r="I938">
        <v>7700000</v>
      </c>
      <c r="J938" t="s">
        <v>55</v>
      </c>
      <c r="K938">
        <v>30</v>
      </c>
      <c r="L938">
        <v>2398</v>
      </c>
      <c r="M938">
        <v>3</v>
      </c>
      <c r="N938">
        <v>1435</v>
      </c>
      <c r="O938">
        <v>0</v>
      </c>
      <c r="P938">
        <v>10</v>
      </c>
      <c r="Q938">
        <v>0</v>
      </c>
      <c r="R938">
        <v>1</v>
      </c>
      <c r="S938">
        <v>11</v>
      </c>
      <c r="T938">
        <v>25</v>
      </c>
      <c r="U938">
        <v>7</v>
      </c>
      <c r="V938">
        <v>3</v>
      </c>
      <c r="W938">
        <v>8</v>
      </c>
      <c r="X938">
        <v>0</v>
      </c>
      <c r="Y938">
        <v>1</v>
      </c>
      <c r="Z938">
        <v>1</v>
      </c>
      <c r="AA938">
        <v>0</v>
      </c>
      <c r="AB938">
        <v>3</v>
      </c>
      <c r="AC938">
        <v>1</v>
      </c>
      <c r="AD938">
        <v>1</v>
      </c>
      <c r="AE938">
        <v>20</v>
      </c>
      <c r="AF938">
        <v>6</v>
      </c>
      <c r="AG938">
        <v>37</v>
      </c>
      <c r="AH938">
        <v>27</v>
      </c>
      <c r="AI938">
        <v>0</v>
      </c>
      <c r="AJ938">
        <v>49</v>
      </c>
      <c r="AK938">
        <v>0</v>
      </c>
      <c r="AL938">
        <v>0</v>
      </c>
      <c r="AM938">
        <v>11</v>
      </c>
      <c r="AN938">
        <v>3</v>
      </c>
      <c r="AO938">
        <v>8</v>
      </c>
      <c r="AQ938" t="str">
        <f t="shared" si="14"/>
        <v>Midfielder</v>
      </c>
    </row>
    <row r="939" spans="1:43" x14ac:dyDescent="0.35">
      <c r="A939" t="s">
        <v>583</v>
      </c>
      <c r="B939" t="s">
        <v>46</v>
      </c>
      <c r="C939" t="s">
        <v>1805</v>
      </c>
      <c r="D939">
        <v>1987</v>
      </c>
      <c r="E939">
        <v>31</v>
      </c>
      <c r="F939" t="s">
        <v>50</v>
      </c>
      <c r="G939" t="s">
        <v>51</v>
      </c>
      <c r="H939">
        <v>4500000</v>
      </c>
      <c r="I939">
        <v>4500000</v>
      </c>
      <c r="J939" t="s">
        <v>55</v>
      </c>
      <c r="K939">
        <v>31</v>
      </c>
      <c r="L939">
        <v>2308</v>
      </c>
      <c r="M939">
        <v>5</v>
      </c>
      <c r="N939">
        <v>1507</v>
      </c>
      <c r="O939">
        <v>5</v>
      </c>
      <c r="P939">
        <v>6</v>
      </c>
      <c r="Q939">
        <v>1</v>
      </c>
      <c r="R939">
        <v>2</v>
      </c>
      <c r="S939">
        <v>18</v>
      </c>
      <c r="T939">
        <v>17</v>
      </c>
      <c r="U939">
        <v>8</v>
      </c>
      <c r="V939">
        <v>0</v>
      </c>
      <c r="W939">
        <v>2</v>
      </c>
      <c r="X939">
        <v>0</v>
      </c>
      <c r="Y939">
        <v>4</v>
      </c>
      <c r="Z939">
        <v>0</v>
      </c>
      <c r="AA939">
        <v>1</v>
      </c>
      <c r="AB939">
        <v>10</v>
      </c>
      <c r="AC939">
        <v>9</v>
      </c>
      <c r="AD939">
        <v>1</v>
      </c>
      <c r="AE939">
        <v>23</v>
      </c>
      <c r="AF939">
        <v>2</v>
      </c>
      <c r="AG939">
        <v>21</v>
      </c>
      <c r="AH939">
        <v>23</v>
      </c>
      <c r="AI939">
        <v>0</v>
      </c>
      <c r="AJ939">
        <v>47</v>
      </c>
      <c r="AK939">
        <v>0</v>
      </c>
      <c r="AL939">
        <v>0</v>
      </c>
      <c r="AM939">
        <v>12</v>
      </c>
      <c r="AN939">
        <v>8</v>
      </c>
      <c r="AO939">
        <v>8</v>
      </c>
      <c r="AQ939" t="str">
        <f t="shared" si="14"/>
        <v>Midfielder</v>
      </c>
    </row>
    <row r="940" spans="1:43" x14ac:dyDescent="0.35">
      <c r="A940" t="s">
        <v>584</v>
      </c>
      <c r="B940" t="s">
        <v>39</v>
      </c>
      <c r="C940" t="s">
        <v>1806</v>
      </c>
      <c r="D940">
        <v>1989</v>
      </c>
      <c r="E940">
        <v>26</v>
      </c>
      <c r="F940" t="s">
        <v>50</v>
      </c>
      <c r="G940" t="s">
        <v>112</v>
      </c>
      <c r="H940">
        <v>5500000</v>
      </c>
      <c r="I940">
        <v>9000000</v>
      </c>
      <c r="J940" t="s">
        <v>42</v>
      </c>
      <c r="K940">
        <v>34</v>
      </c>
      <c r="L940">
        <v>2818</v>
      </c>
      <c r="M940">
        <v>11</v>
      </c>
      <c r="N940">
        <v>1081</v>
      </c>
      <c r="O940">
        <v>6</v>
      </c>
      <c r="P940">
        <v>2</v>
      </c>
      <c r="Q940">
        <v>0</v>
      </c>
      <c r="R940">
        <v>1</v>
      </c>
      <c r="S940">
        <v>14</v>
      </c>
      <c r="T940">
        <v>70</v>
      </c>
      <c r="U940">
        <v>22</v>
      </c>
      <c r="V940">
        <v>4</v>
      </c>
      <c r="W940">
        <v>2</v>
      </c>
      <c r="X940">
        <v>0</v>
      </c>
      <c r="Y940">
        <v>3</v>
      </c>
      <c r="Z940">
        <v>0</v>
      </c>
      <c r="AA940">
        <v>32</v>
      </c>
      <c r="AB940">
        <v>9</v>
      </c>
      <c r="AC940">
        <v>10</v>
      </c>
      <c r="AD940">
        <v>1</v>
      </c>
      <c r="AE940">
        <v>56</v>
      </c>
      <c r="AF940">
        <v>0</v>
      </c>
      <c r="AG940">
        <v>28</v>
      </c>
      <c r="AH940">
        <v>49</v>
      </c>
      <c r="AI940">
        <v>0</v>
      </c>
      <c r="AJ940">
        <v>53</v>
      </c>
      <c r="AK940">
        <v>0</v>
      </c>
      <c r="AL940">
        <v>0</v>
      </c>
      <c r="AM940">
        <v>14</v>
      </c>
      <c r="AN940">
        <v>7</v>
      </c>
      <c r="AO940">
        <v>17</v>
      </c>
      <c r="AQ940" t="str">
        <f t="shared" si="14"/>
        <v>Forward</v>
      </c>
    </row>
    <row r="941" spans="1:43" x14ac:dyDescent="0.35">
      <c r="A941" t="s">
        <v>584</v>
      </c>
      <c r="B941" t="s">
        <v>47</v>
      </c>
      <c r="C941" t="s">
        <v>1807</v>
      </c>
      <c r="D941">
        <v>1989</v>
      </c>
      <c r="E941">
        <v>27</v>
      </c>
      <c r="F941" t="s">
        <v>50</v>
      </c>
      <c r="G941" t="s">
        <v>112</v>
      </c>
      <c r="H941">
        <v>9000000</v>
      </c>
      <c r="I941">
        <v>13500000</v>
      </c>
      <c r="J941" t="s">
        <v>42</v>
      </c>
      <c r="K941">
        <v>32</v>
      </c>
      <c r="L941">
        <v>2724</v>
      </c>
      <c r="M941">
        <v>6</v>
      </c>
      <c r="N941">
        <v>861</v>
      </c>
      <c r="O941">
        <v>5</v>
      </c>
      <c r="P941">
        <v>9</v>
      </c>
      <c r="Q941">
        <v>1</v>
      </c>
      <c r="R941">
        <v>0</v>
      </c>
      <c r="S941">
        <v>11</v>
      </c>
      <c r="T941">
        <v>60</v>
      </c>
      <c r="U941">
        <v>19</v>
      </c>
      <c r="V941">
        <v>2</v>
      </c>
      <c r="W941">
        <v>4</v>
      </c>
      <c r="X941">
        <v>0</v>
      </c>
      <c r="Y941">
        <v>0</v>
      </c>
      <c r="Z941">
        <v>0</v>
      </c>
      <c r="AA941">
        <v>32</v>
      </c>
      <c r="AB941">
        <v>8</v>
      </c>
      <c r="AC941">
        <v>12</v>
      </c>
      <c r="AD941">
        <v>20</v>
      </c>
      <c r="AE941">
        <v>110</v>
      </c>
      <c r="AF941">
        <v>2</v>
      </c>
      <c r="AG941">
        <v>25</v>
      </c>
      <c r="AH941">
        <v>41</v>
      </c>
      <c r="AI941">
        <v>0</v>
      </c>
      <c r="AJ941">
        <v>32</v>
      </c>
      <c r="AK941">
        <v>0</v>
      </c>
      <c r="AL941">
        <v>0</v>
      </c>
      <c r="AM941">
        <v>20</v>
      </c>
      <c r="AN941">
        <v>13</v>
      </c>
      <c r="AO941">
        <v>32</v>
      </c>
      <c r="AQ941" t="str">
        <f t="shared" si="14"/>
        <v>Forward</v>
      </c>
    </row>
    <row r="942" spans="1:43" x14ac:dyDescent="0.35">
      <c r="A942" t="s">
        <v>584</v>
      </c>
      <c r="B942" t="s">
        <v>43</v>
      </c>
      <c r="C942" t="s">
        <v>1808</v>
      </c>
      <c r="D942">
        <v>1989</v>
      </c>
      <c r="E942">
        <v>28</v>
      </c>
      <c r="F942" t="s">
        <v>50</v>
      </c>
      <c r="G942" t="s">
        <v>112</v>
      </c>
      <c r="H942">
        <v>13500000</v>
      </c>
      <c r="I942">
        <v>22500000</v>
      </c>
      <c r="J942" t="s">
        <v>42</v>
      </c>
      <c r="K942">
        <v>31</v>
      </c>
      <c r="L942">
        <v>2322</v>
      </c>
      <c r="M942">
        <v>11</v>
      </c>
      <c r="N942">
        <v>684</v>
      </c>
      <c r="O942">
        <v>6</v>
      </c>
      <c r="P942">
        <v>5</v>
      </c>
      <c r="Q942">
        <v>1</v>
      </c>
      <c r="R942">
        <v>3</v>
      </c>
      <c r="S942">
        <v>13</v>
      </c>
      <c r="T942">
        <v>71</v>
      </c>
      <c r="U942">
        <v>33</v>
      </c>
      <c r="V942">
        <v>5</v>
      </c>
      <c r="W942">
        <v>19</v>
      </c>
      <c r="X942">
        <v>0</v>
      </c>
      <c r="Y942">
        <v>0</v>
      </c>
      <c r="Z942">
        <v>0</v>
      </c>
      <c r="AA942">
        <v>43</v>
      </c>
      <c r="AB942">
        <v>9</v>
      </c>
      <c r="AC942">
        <v>38</v>
      </c>
      <c r="AD942">
        <v>3</v>
      </c>
      <c r="AE942">
        <v>61</v>
      </c>
      <c r="AF942">
        <v>3</v>
      </c>
      <c r="AG942">
        <v>13</v>
      </c>
      <c r="AH942">
        <v>35</v>
      </c>
      <c r="AI942">
        <v>0</v>
      </c>
      <c r="AJ942">
        <v>21</v>
      </c>
      <c r="AK942">
        <v>0</v>
      </c>
      <c r="AL942">
        <v>0</v>
      </c>
      <c r="AM942">
        <v>32</v>
      </c>
      <c r="AN942">
        <v>22</v>
      </c>
      <c r="AO942">
        <v>40</v>
      </c>
      <c r="AQ942" t="str">
        <f t="shared" si="14"/>
        <v>Forward</v>
      </c>
    </row>
    <row r="943" spans="1:43" x14ac:dyDescent="0.35">
      <c r="A943" t="s">
        <v>584</v>
      </c>
      <c r="B943" t="s">
        <v>46</v>
      </c>
      <c r="C943" t="s">
        <v>1809</v>
      </c>
      <c r="D943">
        <v>1989</v>
      </c>
      <c r="E943">
        <v>29</v>
      </c>
      <c r="F943" t="s">
        <v>50</v>
      </c>
      <c r="G943" t="s">
        <v>112</v>
      </c>
      <c r="H943">
        <v>22500000</v>
      </c>
      <c r="I943">
        <v>31500000</v>
      </c>
      <c r="J943" t="s">
        <v>42</v>
      </c>
      <c r="K943">
        <v>28</v>
      </c>
      <c r="L943">
        <v>1999</v>
      </c>
      <c r="M943">
        <v>10</v>
      </c>
      <c r="N943">
        <v>640</v>
      </c>
      <c r="O943">
        <v>4</v>
      </c>
      <c r="P943">
        <v>3</v>
      </c>
      <c r="Q943">
        <v>0</v>
      </c>
      <c r="R943">
        <v>4</v>
      </c>
      <c r="S943">
        <v>14</v>
      </c>
      <c r="T943">
        <v>62</v>
      </c>
      <c r="U943">
        <v>32</v>
      </c>
      <c r="V943">
        <v>1</v>
      </c>
      <c r="W943">
        <v>3</v>
      </c>
      <c r="X943">
        <v>1</v>
      </c>
      <c r="Y943">
        <v>1</v>
      </c>
      <c r="Z943">
        <v>0</v>
      </c>
      <c r="AA943">
        <v>21</v>
      </c>
      <c r="AB943">
        <v>6</v>
      </c>
      <c r="AC943">
        <v>30</v>
      </c>
      <c r="AD943">
        <v>0</v>
      </c>
      <c r="AE943">
        <v>18</v>
      </c>
      <c r="AF943">
        <v>2</v>
      </c>
      <c r="AG943">
        <v>3</v>
      </c>
      <c r="AH943">
        <v>30</v>
      </c>
      <c r="AI943">
        <v>0</v>
      </c>
      <c r="AJ943">
        <v>9</v>
      </c>
      <c r="AK943">
        <v>0</v>
      </c>
      <c r="AL943">
        <v>0</v>
      </c>
      <c r="AM943">
        <v>5</v>
      </c>
      <c r="AN943">
        <v>24</v>
      </c>
      <c r="AO943">
        <v>26</v>
      </c>
      <c r="AQ943" t="str">
        <f t="shared" si="14"/>
        <v>Forward</v>
      </c>
    </row>
    <row r="944" spans="1:43" x14ac:dyDescent="0.35">
      <c r="A944" t="s">
        <v>585</v>
      </c>
      <c r="B944" t="s">
        <v>47</v>
      </c>
      <c r="C944" t="s">
        <v>1810</v>
      </c>
      <c r="D944">
        <v>1992</v>
      </c>
      <c r="E944">
        <v>24</v>
      </c>
      <c r="F944" t="s">
        <v>71</v>
      </c>
      <c r="G944" t="s">
        <v>87</v>
      </c>
      <c r="H944">
        <v>22000000</v>
      </c>
      <c r="I944">
        <v>16500000</v>
      </c>
      <c r="J944" t="s">
        <v>55</v>
      </c>
      <c r="K944">
        <v>15</v>
      </c>
      <c r="L944">
        <v>633</v>
      </c>
      <c r="M944">
        <v>0</v>
      </c>
      <c r="N944">
        <v>182</v>
      </c>
      <c r="O944">
        <v>0</v>
      </c>
      <c r="P944">
        <v>1</v>
      </c>
      <c r="Q944">
        <v>0</v>
      </c>
      <c r="R944">
        <v>9</v>
      </c>
      <c r="S944">
        <v>4</v>
      </c>
      <c r="T944">
        <v>3</v>
      </c>
      <c r="U944">
        <v>0</v>
      </c>
      <c r="V944">
        <v>0</v>
      </c>
      <c r="W944">
        <v>5</v>
      </c>
      <c r="X944">
        <v>0</v>
      </c>
      <c r="Y944">
        <v>0</v>
      </c>
      <c r="Z944">
        <v>0</v>
      </c>
      <c r="AA944">
        <v>1</v>
      </c>
      <c r="AB944">
        <v>1</v>
      </c>
      <c r="AC944">
        <v>0</v>
      </c>
      <c r="AD944">
        <v>0</v>
      </c>
      <c r="AE944">
        <v>12</v>
      </c>
      <c r="AF944">
        <v>3</v>
      </c>
      <c r="AG944">
        <v>5</v>
      </c>
      <c r="AH944">
        <v>15</v>
      </c>
      <c r="AI944">
        <v>0</v>
      </c>
      <c r="AJ944">
        <v>14</v>
      </c>
      <c r="AK944">
        <v>0</v>
      </c>
      <c r="AL944">
        <v>0</v>
      </c>
      <c r="AM944">
        <v>13</v>
      </c>
      <c r="AN944">
        <v>7</v>
      </c>
      <c r="AO944">
        <v>14</v>
      </c>
      <c r="AQ944" t="str">
        <f t="shared" si="14"/>
        <v>Midfielder</v>
      </c>
    </row>
    <row r="945" spans="1:43" x14ac:dyDescent="0.35">
      <c r="A945" t="s">
        <v>586</v>
      </c>
      <c r="B945" t="s">
        <v>43</v>
      </c>
      <c r="C945" t="s">
        <v>1811</v>
      </c>
      <c r="D945">
        <v>1987</v>
      </c>
      <c r="E945">
        <v>30</v>
      </c>
      <c r="F945" t="s">
        <v>134</v>
      </c>
      <c r="G945" t="s">
        <v>112</v>
      </c>
      <c r="H945">
        <v>2200000</v>
      </c>
      <c r="I945">
        <v>2750000</v>
      </c>
      <c r="J945" t="s">
        <v>52</v>
      </c>
      <c r="K945">
        <v>14</v>
      </c>
      <c r="L945">
        <v>1178</v>
      </c>
      <c r="M945">
        <v>0</v>
      </c>
      <c r="N945">
        <v>438</v>
      </c>
      <c r="O945">
        <v>0</v>
      </c>
      <c r="P945">
        <v>0</v>
      </c>
      <c r="Q945">
        <v>0</v>
      </c>
      <c r="R945">
        <v>1</v>
      </c>
      <c r="S945">
        <v>0</v>
      </c>
      <c r="T945">
        <v>0</v>
      </c>
      <c r="U945">
        <v>0</v>
      </c>
      <c r="V945">
        <v>0</v>
      </c>
      <c r="W945">
        <v>20</v>
      </c>
      <c r="X945">
        <v>0</v>
      </c>
      <c r="Y945">
        <v>0</v>
      </c>
      <c r="Z945">
        <v>0</v>
      </c>
      <c r="AA945">
        <v>0</v>
      </c>
      <c r="AB945">
        <v>1</v>
      </c>
      <c r="AC945">
        <v>0</v>
      </c>
      <c r="AD945">
        <v>4</v>
      </c>
      <c r="AE945">
        <v>45</v>
      </c>
      <c r="AF945">
        <v>2</v>
      </c>
      <c r="AG945">
        <v>12</v>
      </c>
      <c r="AH945">
        <v>5</v>
      </c>
      <c r="AI945">
        <v>0</v>
      </c>
      <c r="AJ945">
        <v>25</v>
      </c>
      <c r="AK945">
        <v>0</v>
      </c>
      <c r="AL945">
        <v>0</v>
      </c>
      <c r="AM945">
        <v>37</v>
      </c>
      <c r="AN945">
        <v>14</v>
      </c>
      <c r="AO945">
        <v>13</v>
      </c>
      <c r="AQ945" t="str">
        <f t="shared" si="14"/>
        <v>Defensive Forward</v>
      </c>
    </row>
    <row r="946" spans="1:43" x14ac:dyDescent="0.35">
      <c r="A946" t="s">
        <v>587</v>
      </c>
      <c r="B946" t="s">
        <v>39</v>
      </c>
      <c r="C946" t="s">
        <v>1812</v>
      </c>
      <c r="D946">
        <v>1984</v>
      </c>
      <c r="E946">
        <v>31</v>
      </c>
      <c r="F946" t="s">
        <v>64</v>
      </c>
      <c r="G946" t="s">
        <v>588</v>
      </c>
      <c r="H946">
        <v>2200000</v>
      </c>
      <c r="I946">
        <v>1800000</v>
      </c>
      <c r="J946" t="s">
        <v>42</v>
      </c>
      <c r="K946">
        <v>10</v>
      </c>
      <c r="L946">
        <v>250</v>
      </c>
      <c r="M946">
        <v>0</v>
      </c>
      <c r="N946">
        <v>93</v>
      </c>
      <c r="O946">
        <v>0</v>
      </c>
      <c r="P946">
        <v>1</v>
      </c>
      <c r="Q946">
        <v>0</v>
      </c>
      <c r="R946">
        <v>9</v>
      </c>
      <c r="S946">
        <v>1</v>
      </c>
      <c r="T946">
        <v>2</v>
      </c>
      <c r="U946">
        <v>1</v>
      </c>
      <c r="V946">
        <v>0</v>
      </c>
      <c r="W946">
        <v>3</v>
      </c>
      <c r="X946">
        <v>0</v>
      </c>
      <c r="Y946">
        <v>0</v>
      </c>
      <c r="Z946">
        <v>0</v>
      </c>
      <c r="AA946">
        <v>4</v>
      </c>
      <c r="AB946">
        <v>0</v>
      </c>
      <c r="AC946">
        <v>1</v>
      </c>
      <c r="AD946">
        <v>0</v>
      </c>
      <c r="AE946">
        <v>1</v>
      </c>
      <c r="AF946">
        <v>2</v>
      </c>
      <c r="AG946">
        <v>1</v>
      </c>
      <c r="AH946">
        <v>7</v>
      </c>
      <c r="AI946">
        <v>0</v>
      </c>
      <c r="AJ946">
        <v>7</v>
      </c>
      <c r="AK946">
        <v>0</v>
      </c>
      <c r="AL946">
        <v>0</v>
      </c>
      <c r="AM946">
        <v>3</v>
      </c>
      <c r="AN946">
        <v>8</v>
      </c>
      <c r="AO946">
        <v>14</v>
      </c>
      <c r="AQ946" t="str">
        <f t="shared" si="14"/>
        <v>Forward</v>
      </c>
    </row>
    <row r="947" spans="1:43" x14ac:dyDescent="0.35">
      <c r="A947" t="s">
        <v>589</v>
      </c>
      <c r="B947" t="s">
        <v>39</v>
      </c>
      <c r="C947" t="s">
        <v>1813</v>
      </c>
      <c r="D947">
        <v>1987</v>
      </c>
      <c r="E947">
        <v>27</v>
      </c>
      <c r="F947" t="s">
        <v>129</v>
      </c>
      <c r="G947" t="s">
        <v>95</v>
      </c>
      <c r="H947">
        <v>16500000</v>
      </c>
      <c r="I947">
        <v>13200000</v>
      </c>
      <c r="J947" t="s">
        <v>55</v>
      </c>
      <c r="K947">
        <v>18</v>
      </c>
      <c r="L947">
        <v>1068</v>
      </c>
      <c r="M947">
        <v>1</v>
      </c>
      <c r="N947">
        <v>590</v>
      </c>
      <c r="O947">
        <v>0</v>
      </c>
      <c r="P947">
        <v>2</v>
      </c>
      <c r="Q947">
        <v>0</v>
      </c>
      <c r="R947">
        <v>6</v>
      </c>
      <c r="S947">
        <v>6</v>
      </c>
      <c r="T947">
        <v>23</v>
      </c>
      <c r="U947">
        <v>8</v>
      </c>
      <c r="V947">
        <v>1</v>
      </c>
      <c r="W947">
        <v>18</v>
      </c>
      <c r="X947">
        <v>0</v>
      </c>
      <c r="Y947">
        <v>0</v>
      </c>
      <c r="Z947">
        <v>0</v>
      </c>
      <c r="AA947">
        <v>4</v>
      </c>
      <c r="AB947">
        <v>0</v>
      </c>
      <c r="AC947">
        <v>5</v>
      </c>
      <c r="AD947">
        <v>0</v>
      </c>
      <c r="AE947">
        <v>2</v>
      </c>
      <c r="AF947">
        <v>2</v>
      </c>
      <c r="AG947">
        <v>10</v>
      </c>
      <c r="AH947">
        <v>33</v>
      </c>
      <c r="AI947">
        <v>0</v>
      </c>
      <c r="AJ947">
        <v>25</v>
      </c>
      <c r="AK947">
        <v>0</v>
      </c>
      <c r="AL947">
        <v>0</v>
      </c>
      <c r="AM947">
        <v>22</v>
      </c>
      <c r="AN947">
        <v>49</v>
      </c>
      <c r="AO947">
        <v>45</v>
      </c>
      <c r="AQ947" t="str">
        <f t="shared" si="14"/>
        <v>Midfielder</v>
      </c>
    </row>
    <row r="948" spans="1:43" x14ac:dyDescent="0.35">
      <c r="A948" t="s">
        <v>589</v>
      </c>
      <c r="B948" t="s">
        <v>47</v>
      </c>
      <c r="C948" t="s">
        <v>1814</v>
      </c>
      <c r="D948">
        <v>1987</v>
      </c>
      <c r="E948">
        <v>28</v>
      </c>
      <c r="F948" t="s">
        <v>129</v>
      </c>
      <c r="G948" t="s">
        <v>95</v>
      </c>
      <c r="H948">
        <v>13200000</v>
      </c>
      <c r="I948">
        <v>13200000</v>
      </c>
      <c r="J948" t="s">
        <v>55</v>
      </c>
      <c r="K948">
        <v>28</v>
      </c>
      <c r="L948">
        <v>1599</v>
      </c>
      <c r="M948">
        <v>1</v>
      </c>
      <c r="N948">
        <v>1057</v>
      </c>
      <c r="O948">
        <v>0</v>
      </c>
      <c r="P948">
        <v>9</v>
      </c>
      <c r="Q948">
        <v>1</v>
      </c>
      <c r="R948">
        <v>10</v>
      </c>
      <c r="S948">
        <v>4</v>
      </c>
      <c r="T948">
        <v>23</v>
      </c>
      <c r="U948">
        <v>7</v>
      </c>
      <c r="V948">
        <v>1</v>
      </c>
      <c r="W948">
        <v>39</v>
      </c>
      <c r="X948">
        <v>1</v>
      </c>
      <c r="Y948">
        <v>0</v>
      </c>
      <c r="Z948">
        <v>0</v>
      </c>
      <c r="AA948">
        <v>3</v>
      </c>
      <c r="AB948">
        <v>1</v>
      </c>
      <c r="AC948">
        <v>0</v>
      </c>
      <c r="AD948">
        <v>0</v>
      </c>
      <c r="AE948">
        <v>4</v>
      </c>
      <c r="AF948">
        <v>5</v>
      </c>
      <c r="AG948">
        <v>30</v>
      </c>
      <c r="AH948">
        <v>41</v>
      </c>
      <c r="AI948">
        <v>0</v>
      </c>
      <c r="AJ948">
        <v>55</v>
      </c>
      <c r="AK948">
        <v>0</v>
      </c>
      <c r="AL948">
        <v>0</v>
      </c>
      <c r="AM948">
        <v>52</v>
      </c>
      <c r="AN948">
        <v>94</v>
      </c>
      <c r="AO948">
        <v>29</v>
      </c>
      <c r="AQ948" t="str">
        <f t="shared" si="14"/>
        <v>Midfielder</v>
      </c>
    </row>
    <row r="949" spans="1:43" x14ac:dyDescent="0.35">
      <c r="A949" t="s">
        <v>589</v>
      </c>
      <c r="B949" t="s">
        <v>43</v>
      </c>
      <c r="C949" t="s">
        <v>1815</v>
      </c>
      <c r="D949">
        <v>1987</v>
      </c>
      <c r="E949">
        <v>30</v>
      </c>
      <c r="F949" t="s">
        <v>129</v>
      </c>
      <c r="G949" t="s">
        <v>95</v>
      </c>
      <c r="H949">
        <v>13200000</v>
      </c>
      <c r="I949">
        <v>11300000</v>
      </c>
      <c r="J949" t="s">
        <v>55</v>
      </c>
      <c r="K949">
        <v>16</v>
      </c>
      <c r="L949">
        <v>612</v>
      </c>
      <c r="M949">
        <v>4</v>
      </c>
      <c r="N949">
        <v>393</v>
      </c>
      <c r="O949">
        <v>0</v>
      </c>
      <c r="P949">
        <v>1</v>
      </c>
      <c r="Q949">
        <v>0</v>
      </c>
      <c r="R949">
        <v>11</v>
      </c>
      <c r="S949">
        <v>2</v>
      </c>
      <c r="T949">
        <v>10</v>
      </c>
      <c r="U949">
        <v>7</v>
      </c>
      <c r="V949">
        <v>1</v>
      </c>
      <c r="W949">
        <v>13</v>
      </c>
      <c r="X949">
        <v>2</v>
      </c>
      <c r="Y949">
        <v>0</v>
      </c>
      <c r="Z949">
        <v>0</v>
      </c>
      <c r="AA949">
        <v>3</v>
      </c>
      <c r="AB949">
        <v>0</v>
      </c>
      <c r="AC949">
        <v>3</v>
      </c>
      <c r="AD949">
        <v>0</v>
      </c>
      <c r="AE949">
        <v>3</v>
      </c>
      <c r="AF949">
        <v>3</v>
      </c>
      <c r="AG949">
        <v>14</v>
      </c>
      <c r="AH949">
        <v>13</v>
      </c>
      <c r="AI949">
        <v>0</v>
      </c>
      <c r="AJ949">
        <v>15</v>
      </c>
      <c r="AK949">
        <v>0</v>
      </c>
      <c r="AL949">
        <v>0</v>
      </c>
      <c r="AM949">
        <v>18</v>
      </c>
      <c r="AN949">
        <v>38</v>
      </c>
      <c r="AO949">
        <v>26</v>
      </c>
      <c r="AQ949" t="str">
        <f t="shared" si="14"/>
        <v>Midfielder</v>
      </c>
    </row>
    <row r="950" spans="1:43" x14ac:dyDescent="0.35">
      <c r="A950" t="s">
        <v>589</v>
      </c>
      <c r="B950" t="s">
        <v>46</v>
      </c>
      <c r="C950" t="s">
        <v>1816</v>
      </c>
      <c r="D950">
        <v>1987</v>
      </c>
      <c r="E950">
        <v>30</v>
      </c>
      <c r="F950" t="s">
        <v>129</v>
      </c>
      <c r="G950" t="s">
        <v>95</v>
      </c>
      <c r="H950">
        <v>9000000</v>
      </c>
      <c r="I950">
        <v>9000000</v>
      </c>
      <c r="J950" t="s">
        <v>55</v>
      </c>
      <c r="K950">
        <v>14</v>
      </c>
      <c r="L950">
        <v>746</v>
      </c>
      <c r="M950">
        <v>0</v>
      </c>
      <c r="N950">
        <v>425</v>
      </c>
      <c r="O950">
        <v>1</v>
      </c>
      <c r="P950">
        <v>1</v>
      </c>
      <c r="Q950">
        <v>0</v>
      </c>
      <c r="R950">
        <v>8</v>
      </c>
      <c r="S950">
        <v>0</v>
      </c>
      <c r="T950">
        <v>7</v>
      </c>
      <c r="U950">
        <v>3</v>
      </c>
      <c r="V950">
        <v>0</v>
      </c>
      <c r="W950">
        <v>21</v>
      </c>
      <c r="X950">
        <v>0</v>
      </c>
      <c r="Y950">
        <v>0</v>
      </c>
      <c r="Z950">
        <v>0</v>
      </c>
      <c r="AA950">
        <v>2</v>
      </c>
      <c r="AB950">
        <v>0</v>
      </c>
      <c r="AC950">
        <v>4</v>
      </c>
      <c r="AD950">
        <v>0</v>
      </c>
      <c r="AE950">
        <v>6</v>
      </c>
      <c r="AF950">
        <v>5</v>
      </c>
      <c r="AG950">
        <v>4</v>
      </c>
      <c r="AH950">
        <v>15</v>
      </c>
      <c r="AI950">
        <v>0</v>
      </c>
      <c r="AJ950">
        <v>21</v>
      </c>
      <c r="AK950">
        <v>0</v>
      </c>
      <c r="AL950">
        <v>0</v>
      </c>
      <c r="AM950">
        <v>33</v>
      </c>
      <c r="AN950">
        <v>48</v>
      </c>
      <c r="AO950">
        <v>23</v>
      </c>
      <c r="AQ950" t="str">
        <f t="shared" si="14"/>
        <v>Midfielder</v>
      </c>
    </row>
    <row r="951" spans="1:43" x14ac:dyDescent="0.35">
      <c r="A951" t="s">
        <v>590</v>
      </c>
      <c r="B951" t="s">
        <v>39</v>
      </c>
      <c r="C951" t="s">
        <v>1817</v>
      </c>
      <c r="D951">
        <v>1980</v>
      </c>
      <c r="E951">
        <v>34</v>
      </c>
      <c r="F951" t="s">
        <v>114</v>
      </c>
      <c r="G951" t="s">
        <v>262</v>
      </c>
      <c r="H951">
        <v>5500000</v>
      </c>
      <c r="I951">
        <v>3850000</v>
      </c>
      <c r="J951" t="s">
        <v>55</v>
      </c>
      <c r="K951">
        <v>20</v>
      </c>
      <c r="L951">
        <v>1015</v>
      </c>
      <c r="M951">
        <v>0</v>
      </c>
      <c r="N951">
        <v>551</v>
      </c>
      <c r="O951">
        <v>0</v>
      </c>
      <c r="P951">
        <v>3</v>
      </c>
      <c r="Q951">
        <v>0</v>
      </c>
      <c r="R951">
        <v>10</v>
      </c>
      <c r="S951">
        <v>1</v>
      </c>
      <c r="T951">
        <v>5</v>
      </c>
      <c r="U951">
        <v>0</v>
      </c>
      <c r="V951">
        <v>0</v>
      </c>
      <c r="W951">
        <v>44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4</v>
      </c>
      <c r="AG951">
        <v>35</v>
      </c>
      <c r="AH951">
        <v>12</v>
      </c>
      <c r="AI951">
        <v>0</v>
      </c>
      <c r="AJ951">
        <v>20</v>
      </c>
      <c r="AK951">
        <v>0</v>
      </c>
      <c r="AL951">
        <v>0</v>
      </c>
      <c r="AM951">
        <v>76</v>
      </c>
      <c r="AN951">
        <v>35</v>
      </c>
      <c r="AO951">
        <v>13</v>
      </c>
      <c r="AQ951" t="str">
        <f t="shared" si="14"/>
        <v>Midfielder</v>
      </c>
    </row>
    <row r="952" spans="1:43" x14ac:dyDescent="0.35">
      <c r="A952" t="s">
        <v>591</v>
      </c>
      <c r="B952" t="s">
        <v>46</v>
      </c>
      <c r="C952" t="s">
        <v>1818</v>
      </c>
      <c r="D952">
        <v>1991</v>
      </c>
      <c r="E952">
        <v>27</v>
      </c>
      <c r="F952" t="s">
        <v>134</v>
      </c>
      <c r="G952" t="s">
        <v>45</v>
      </c>
      <c r="H952">
        <v>9000000</v>
      </c>
      <c r="I952">
        <v>7200000</v>
      </c>
      <c r="J952" t="s">
        <v>52</v>
      </c>
      <c r="K952">
        <v>25</v>
      </c>
      <c r="L952">
        <v>2166</v>
      </c>
      <c r="M952">
        <v>0</v>
      </c>
      <c r="N952">
        <v>858</v>
      </c>
      <c r="O952">
        <v>1</v>
      </c>
      <c r="P952">
        <v>0</v>
      </c>
      <c r="Q952">
        <v>0</v>
      </c>
      <c r="R952">
        <v>1</v>
      </c>
      <c r="S952">
        <v>0</v>
      </c>
      <c r="T952">
        <v>8</v>
      </c>
      <c r="U952">
        <v>1</v>
      </c>
      <c r="V952">
        <v>1</v>
      </c>
      <c r="W952">
        <v>24</v>
      </c>
      <c r="X952">
        <v>0</v>
      </c>
      <c r="Y952">
        <v>0</v>
      </c>
      <c r="Z952">
        <v>0</v>
      </c>
      <c r="AA952">
        <v>0</v>
      </c>
      <c r="AB952">
        <v>1</v>
      </c>
      <c r="AC952">
        <v>7</v>
      </c>
      <c r="AD952">
        <v>0</v>
      </c>
      <c r="AE952">
        <v>36</v>
      </c>
      <c r="AF952">
        <v>10</v>
      </c>
      <c r="AG952">
        <v>48</v>
      </c>
      <c r="AH952">
        <v>29</v>
      </c>
      <c r="AI952">
        <v>0</v>
      </c>
      <c r="AJ952">
        <v>58</v>
      </c>
      <c r="AK952">
        <v>0</v>
      </c>
      <c r="AL952">
        <v>0</v>
      </c>
      <c r="AM952">
        <v>63</v>
      </c>
      <c r="AN952">
        <v>24</v>
      </c>
      <c r="AO952">
        <v>27</v>
      </c>
      <c r="AQ952" t="str">
        <f t="shared" si="14"/>
        <v>Defensive Forward</v>
      </c>
    </row>
    <row r="953" spans="1:43" x14ac:dyDescent="0.35">
      <c r="A953" t="s">
        <v>592</v>
      </c>
      <c r="B953" t="s">
        <v>47</v>
      </c>
      <c r="C953" t="s">
        <v>1819</v>
      </c>
      <c r="D953">
        <v>1991</v>
      </c>
      <c r="E953">
        <v>25</v>
      </c>
      <c r="F953" t="s">
        <v>48</v>
      </c>
      <c r="G953" t="s">
        <v>216</v>
      </c>
      <c r="H953">
        <v>2200000</v>
      </c>
      <c r="I953">
        <v>1100000</v>
      </c>
      <c r="J953" t="s">
        <v>55</v>
      </c>
      <c r="K953">
        <v>33</v>
      </c>
      <c r="L953">
        <v>2777</v>
      </c>
      <c r="M953">
        <v>4</v>
      </c>
      <c r="N953">
        <v>1322</v>
      </c>
      <c r="O953">
        <v>0</v>
      </c>
      <c r="P953">
        <v>8</v>
      </c>
      <c r="Q953">
        <v>0</v>
      </c>
      <c r="R953">
        <v>1</v>
      </c>
      <c r="S953">
        <v>5</v>
      </c>
      <c r="T953">
        <v>29</v>
      </c>
      <c r="U953">
        <v>7</v>
      </c>
      <c r="V953">
        <v>0</v>
      </c>
      <c r="W953">
        <v>34</v>
      </c>
      <c r="X953">
        <v>2</v>
      </c>
      <c r="Y953">
        <v>0</v>
      </c>
      <c r="Z953">
        <v>0</v>
      </c>
      <c r="AA953">
        <v>3</v>
      </c>
      <c r="AB953">
        <v>1</v>
      </c>
      <c r="AC953">
        <v>1</v>
      </c>
      <c r="AD953">
        <v>0</v>
      </c>
      <c r="AE953">
        <v>23</v>
      </c>
      <c r="AF953">
        <v>9</v>
      </c>
      <c r="AG953">
        <v>43</v>
      </c>
      <c r="AH953">
        <v>66</v>
      </c>
      <c r="AI953">
        <v>0</v>
      </c>
      <c r="AJ953">
        <v>73</v>
      </c>
      <c r="AK953">
        <v>0</v>
      </c>
      <c r="AL953">
        <v>0</v>
      </c>
      <c r="AM953">
        <v>64</v>
      </c>
      <c r="AN953">
        <v>67</v>
      </c>
      <c r="AO953">
        <v>60</v>
      </c>
      <c r="AQ953" t="str">
        <f t="shared" si="14"/>
        <v>Midfielder</v>
      </c>
    </row>
    <row r="954" spans="1:43" x14ac:dyDescent="0.35">
      <c r="A954" t="s">
        <v>593</v>
      </c>
      <c r="B954" t="s">
        <v>39</v>
      </c>
      <c r="C954" t="s">
        <v>1820</v>
      </c>
      <c r="D954">
        <v>1990</v>
      </c>
      <c r="E954">
        <v>25</v>
      </c>
      <c r="F954" t="s">
        <v>64</v>
      </c>
      <c r="G954" t="s">
        <v>51</v>
      </c>
      <c r="H954">
        <v>3850000</v>
      </c>
      <c r="I954">
        <v>3300000</v>
      </c>
      <c r="J954" t="s">
        <v>55</v>
      </c>
      <c r="K954">
        <v>13</v>
      </c>
      <c r="L954">
        <v>1043</v>
      </c>
      <c r="M954">
        <v>0</v>
      </c>
      <c r="N954">
        <v>379</v>
      </c>
      <c r="O954">
        <v>0</v>
      </c>
      <c r="P954">
        <v>3</v>
      </c>
      <c r="Q954">
        <v>0</v>
      </c>
      <c r="R954">
        <v>2</v>
      </c>
      <c r="S954">
        <v>0</v>
      </c>
      <c r="T954">
        <v>1</v>
      </c>
      <c r="U954">
        <v>0</v>
      </c>
      <c r="V954">
        <v>0</v>
      </c>
      <c r="W954">
        <v>15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17</v>
      </c>
      <c r="AF954">
        <v>5</v>
      </c>
      <c r="AG954">
        <v>18</v>
      </c>
      <c r="AH954">
        <v>11</v>
      </c>
      <c r="AI954">
        <v>0</v>
      </c>
      <c r="AJ954">
        <v>32</v>
      </c>
      <c r="AK954">
        <v>0</v>
      </c>
      <c r="AL954">
        <v>0</v>
      </c>
      <c r="AM954">
        <v>38</v>
      </c>
      <c r="AN954">
        <v>10</v>
      </c>
      <c r="AO954">
        <v>9</v>
      </c>
      <c r="AQ954" t="str">
        <f t="shared" si="14"/>
        <v>Midfielder</v>
      </c>
    </row>
    <row r="955" spans="1:43" x14ac:dyDescent="0.35">
      <c r="A955" t="s">
        <v>593</v>
      </c>
      <c r="B955" t="s">
        <v>47</v>
      </c>
      <c r="C955" t="s">
        <v>1821</v>
      </c>
      <c r="D955">
        <v>1990</v>
      </c>
      <c r="E955">
        <v>26</v>
      </c>
      <c r="F955" t="s">
        <v>64</v>
      </c>
      <c r="G955" t="s">
        <v>51</v>
      </c>
      <c r="H955">
        <v>3300000</v>
      </c>
      <c r="I955">
        <v>3300000</v>
      </c>
      <c r="J955" t="s">
        <v>55</v>
      </c>
      <c r="K955">
        <v>29</v>
      </c>
      <c r="L955">
        <v>2128</v>
      </c>
      <c r="M955">
        <v>0</v>
      </c>
      <c r="N955">
        <v>626</v>
      </c>
      <c r="O955">
        <v>2</v>
      </c>
      <c r="P955">
        <v>4</v>
      </c>
      <c r="Q955">
        <v>0</v>
      </c>
      <c r="R955">
        <v>4</v>
      </c>
      <c r="S955">
        <v>10</v>
      </c>
      <c r="T955">
        <v>3</v>
      </c>
      <c r="U955">
        <v>0</v>
      </c>
      <c r="V955">
        <v>0</v>
      </c>
      <c r="W955">
        <v>71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36</v>
      </c>
      <c r="AF955">
        <v>17</v>
      </c>
      <c r="AG955">
        <v>25</v>
      </c>
      <c r="AH955">
        <v>19</v>
      </c>
      <c r="AI955">
        <v>0</v>
      </c>
      <c r="AJ955">
        <v>46</v>
      </c>
      <c r="AK955">
        <v>2</v>
      </c>
      <c r="AL955">
        <v>0</v>
      </c>
      <c r="AM955">
        <v>131</v>
      </c>
      <c r="AN955">
        <v>56</v>
      </c>
      <c r="AO955">
        <v>39</v>
      </c>
      <c r="AQ955" t="str">
        <f t="shared" si="14"/>
        <v>Midfielder</v>
      </c>
    </row>
    <row r="956" spans="1:43" x14ac:dyDescent="0.35">
      <c r="A956" t="s">
        <v>593</v>
      </c>
      <c r="B956" t="s">
        <v>46</v>
      </c>
      <c r="C956" t="s">
        <v>1822</v>
      </c>
      <c r="D956">
        <v>1990</v>
      </c>
      <c r="E956">
        <v>28</v>
      </c>
      <c r="F956" t="s">
        <v>64</v>
      </c>
      <c r="G956" t="s">
        <v>51</v>
      </c>
      <c r="H956">
        <v>33000000</v>
      </c>
      <c r="I956">
        <v>38500000</v>
      </c>
      <c r="J956" t="s">
        <v>55</v>
      </c>
      <c r="K956">
        <v>13</v>
      </c>
      <c r="L956">
        <v>1110</v>
      </c>
      <c r="M956">
        <v>0</v>
      </c>
      <c r="N956">
        <v>357</v>
      </c>
      <c r="O956">
        <v>0</v>
      </c>
      <c r="P956">
        <v>2</v>
      </c>
      <c r="Q956">
        <v>0</v>
      </c>
      <c r="R956">
        <v>1</v>
      </c>
      <c r="S956">
        <v>0</v>
      </c>
      <c r="T956">
        <v>3</v>
      </c>
      <c r="U956">
        <v>1</v>
      </c>
      <c r="V956">
        <v>0</v>
      </c>
      <c r="W956">
        <v>41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2</v>
      </c>
      <c r="AD956">
        <v>0</v>
      </c>
      <c r="AE956">
        <v>2</v>
      </c>
      <c r="AF956">
        <v>12</v>
      </c>
      <c r="AG956">
        <v>11</v>
      </c>
      <c r="AH956">
        <v>6</v>
      </c>
      <c r="AI956">
        <v>0</v>
      </c>
      <c r="AJ956">
        <v>21</v>
      </c>
      <c r="AK956">
        <v>0</v>
      </c>
      <c r="AL956">
        <v>1</v>
      </c>
      <c r="AM956">
        <v>85</v>
      </c>
      <c r="AN956">
        <v>35</v>
      </c>
      <c r="AO956">
        <v>26</v>
      </c>
      <c r="AQ956" t="str">
        <f t="shared" si="14"/>
        <v>Midfielder</v>
      </c>
    </row>
    <row r="957" spans="1:43" x14ac:dyDescent="0.35">
      <c r="A957" t="s">
        <v>593</v>
      </c>
      <c r="B957" t="s">
        <v>43</v>
      </c>
      <c r="C957" t="s">
        <v>1823</v>
      </c>
      <c r="D957">
        <v>1990</v>
      </c>
      <c r="E957">
        <v>27</v>
      </c>
      <c r="F957" t="s">
        <v>64</v>
      </c>
      <c r="G957" t="s">
        <v>51</v>
      </c>
      <c r="H957">
        <v>3300000</v>
      </c>
      <c r="I957">
        <v>3300000</v>
      </c>
      <c r="J957" t="s">
        <v>52</v>
      </c>
      <c r="K957">
        <v>15</v>
      </c>
      <c r="L957">
        <v>1194</v>
      </c>
      <c r="M957">
        <v>0</v>
      </c>
      <c r="N957">
        <v>343</v>
      </c>
      <c r="O957">
        <v>0</v>
      </c>
      <c r="P957">
        <v>1</v>
      </c>
      <c r="Q957">
        <v>0</v>
      </c>
      <c r="R957">
        <v>3</v>
      </c>
      <c r="S957">
        <v>2</v>
      </c>
      <c r="T957">
        <v>2</v>
      </c>
      <c r="U957">
        <v>2</v>
      </c>
      <c r="V957">
        <v>0</v>
      </c>
      <c r="W957">
        <v>34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6</v>
      </c>
      <c r="AF957">
        <v>11</v>
      </c>
      <c r="AG957">
        <v>9</v>
      </c>
      <c r="AH957">
        <v>8</v>
      </c>
      <c r="AI957">
        <v>1</v>
      </c>
      <c r="AJ957">
        <v>19</v>
      </c>
      <c r="AK957">
        <v>1</v>
      </c>
      <c r="AL957">
        <v>1</v>
      </c>
      <c r="AM957">
        <v>63</v>
      </c>
      <c r="AN957">
        <v>27</v>
      </c>
      <c r="AO957">
        <v>36</v>
      </c>
      <c r="AQ957" t="str">
        <f t="shared" si="14"/>
        <v>Defensive Forward</v>
      </c>
    </row>
    <row r="958" spans="1:43" x14ac:dyDescent="0.35">
      <c r="A958" t="s">
        <v>594</v>
      </c>
      <c r="B958" t="s">
        <v>43</v>
      </c>
      <c r="C958" t="s">
        <v>1824</v>
      </c>
      <c r="D958">
        <v>1988</v>
      </c>
      <c r="E958">
        <v>29</v>
      </c>
      <c r="F958" t="s">
        <v>40</v>
      </c>
      <c r="G958" t="s">
        <v>484</v>
      </c>
      <c r="H958">
        <v>5500000</v>
      </c>
      <c r="I958">
        <v>5500000</v>
      </c>
      <c r="J958" t="s">
        <v>52</v>
      </c>
      <c r="K958">
        <v>36</v>
      </c>
      <c r="L958">
        <v>3154</v>
      </c>
      <c r="M958">
        <v>0</v>
      </c>
      <c r="N958">
        <v>1144</v>
      </c>
      <c r="O958">
        <v>1</v>
      </c>
      <c r="P958">
        <v>7</v>
      </c>
      <c r="Q958">
        <v>0</v>
      </c>
      <c r="R958">
        <v>0</v>
      </c>
      <c r="S958">
        <v>5</v>
      </c>
      <c r="T958">
        <v>18</v>
      </c>
      <c r="U958">
        <v>1</v>
      </c>
      <c r="V958">
        <v>0</v>
      </c>
      <c r="W958">
        <v>27</v>
      </c>
      <c r="X958">
        <v>0</v>
      </c>
      <c r="Y958">
        <v>0</v>
      </c>
      <c r="Z958">
        <v>0</v>
      </c>
      <c r="AA958">
        <v>2</v>
      </c>
      <c r="AB958">
        <v>0</v>
      </c>
      <c r="AC958">
        <v>17</v>
      </c>
      <c r="AD958">
        <v>0</v>
      </c>
      <c r="AE958">
        <v>163</v>
      </c>
      <c r="AF958">
        <v>4</v>
      </c>
      <c r="AG958">
        <v>31</v>
      </c>
      <c r="AH958">
        <v>27</v>
      </c>
      <c r="AI958">
        <v>0</v>
      </c>
      <c r="AJ958">
        <v>34</v>
      </c>
      <c r="AK958">
        <v>0</v>
      </c>
      <c r="AL958">
        <v>0</v>
      </c>
      <c r="AM958">
        <v>67</v>
      </c>
      <c r="AN958">
        <v>47</v>
      </c>
      <c r="AO958">
        <v>34</v>
      </c>
      <c r="AQ958" t="str">
        <f t="shared" si="14"/>
        <v>Defensive Forward</v>
      </c>
    </row>
    <row r="959" spans="1:43" x14ac:dyDescent="0.35">
      <c r="A959" t="s">
        <v>594</v>
      </c>
      <c r="B959" t="s">
        <v>39</v>
      </c>
      <c r="C959" t="s">
        <v>1825</v>
      </c>
      <c r="D959">
        <v>1988</v>
      </c>
      <c r="E959">
        <v>27</v>
      </c>
      <c r="F959" t="s">
        <v>123</v>
      </c>
      <c r="G959" t="s">
        <v>484</v>
      </c>
      <c r="H959">
        <v>4400000</v>
      </c>
      <c r="I959">
        <v>3850000</v>
      </c>
      <c r="J959" t="s">
        <v>52</v>
      </c>
      <c r="K959">
        <v>20</v>
      </c>
      <c r="L959">
        <v>1773</v>
      </c>
      <c r="M959">
        <v>1</v>
      </c>
      <c r="N959">
        <v>479</v>
      </c>
      <c r="O959">
        <v>2</v>
      </c>
      <c r="P959">
        <v>2</v>
      </c>
      <c r="Q959">
        <v>0</v>
      </c>
      <c r="R959">
        <v>4</v>
      </c>
      <c r="S959">
        <v>2</v>
      </c>
      <c r="T959">
        <v>7</v>
      </c>
      <c r="U959">
        <v>6</v>
      </c>
      <c r="V959">
        <v>0</v>
      </c>
      <c r="W959">
        <v>41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1</v>
      </c>
      <c r="AE959">
        <v>72</v>
      </c>
      <c r="AF959">
        <v>5</v>
      </c>
      <c r="AG959">
        <v>25</v>
      </c>
      <c r="AH959">
        <v>18</v>
      </c>
      <c r="AI959">
        <v>0</v>
      </c>
      <c r="AJ959">
        <v>26</v>
      </c>
      <c r="AK959">
        <v>1</v>
      </c>
      <c r="AL959">
        <v>0</v>
      </c>
      <c r="AM959">
        <v>66</v>
      </c>
      <c r="AN959">
        <v>27</v>
      </c>
      <c r="AO959">
        <v>21</v>
      </c>
      <c r="AQ959" t="str">
        <f t="shared" si="14"/>
        <v>Defensive Forward</v>
      </c>
    </row>
    <row r="960" spans="1:43" x14ac:dyDescent="0.35">
      <c r="A960" t="s">
        <v>594</v>
      </c>
      <c r="B960" t="s">
        <v>47</v>
      </c>
      <c r="C960" t="s">
        <v>1826</v>
      </c>
      <c r="D960">
        <v>1988</v>
      </c>
      <c r="E960">
        <v>28</v>
      </c>
      <c r="F960" t="s">
        <v>40</v>
      </c>
      <c r="G960" t="s">
        <v>484</v>
      </c>
      <c r="H960">
        <v>3850000</v>
      </c>
      <c r="I960">
        <v>5500000</v>
      </c>
      <c r="J960" t="s">
        <v>52</v>
      </c>
      <c r="K960">
        <v>15</v>
      </c>
      <c r="L960">
        <v>1253</v>
      </c>
      <c r="M960">
        <v>2</v>
      </c>
      <c r="N960">
        <v>496</v>
      </c>
      <c r="O960">
        <v>0</v>
      </c>
      <c r="P960">
        <v>2</v>
      </c>
      <c r="Q960">
        <v>0</v>
      </c>
      <c r="R960">
        <v>1</v>
      </c>
      <c r="S960">
        <v>2</v>
      </c>
      <c r="T960">
        <v>9</v>
      </c>
      <c r="U960">
        <v>4</v>
      </c>
      <c r="V960">
        <v>0</v>
      </c>
      <c r="W960">
        <v>30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59</v>
      </c>
      <c r="AF960">
        <v>4</v>
      </c>
      <c r="AG960">
        <v>10</v>
      </c>
      <c r="AH960">
        <v>12</v>
      </c>
      <c r="AI960">
        <v>0</v>
      </c>
      <c r="AJ960">
        <v>10</v>
      </c>
      <c r="AK960">
        <v>0</v>
      </c>
      <c r="AL960">
        <v>0</v>
      </c>
      <c r="AM960">
        <v>49</v>
      </c>
      <c r="AN960">
        <v>21</v>
      </c>
      <c r="AO960">
        <v>21</v>
      </c>
      <c r="AQ960" t="str">
        <f t="shared" si="14"/>
        <v>Defensive Forward</v>
      </c>
    </row>
    <row r="961" spans="1:43" x14ac:dyDescent="0.35">
      <c r="A961" t="s">
        <v>595</v>
      </c>
      <c r="B961" t="s">
        <v>39</v>
      </c>
      <c r="C961" t="s">
        <v>1827</v>
      </c>
      <c r="D961">
        <v>1984</v>
      </c>
      <c r="E961">
        <v>31</v>
      </c>
      <c r="F961" t="s">
        <v>80</v>
      </c>
      <c r="G961" t="s">
        <v>596</v>
      </c>
      <c r="H961">
        <v>11700000</v>
      </c>
      <c r="I961">
        <v>9000000</v>
      </c>
      <c r="J961" t="s">
        <v>52</v>
      </c>
      <c r="K961">
        <v>22</v>
      </c>
      <c r="L961">
        <v>1886</v>
      </c>
      <c r="M961">
        <v>1</v>
      </c>
      <c r="N961">
        <v>1173</v>
      </c>
      <c r="O961">
        <v>0</v>
      </c>
      <c r="P961">
        <v>5</v>
      </c>
      <c r="Q961">
        <v>0</v>
      </c>
      <c r="R961">
        <v>1</v>
      </c>
      <c r="S961">
        <v>1</v>
      </c>
      <c r="T961">
        <v>10</v>
      </c>
      <c r="U961">
        <v>3</v>
      </c>
      <c r="V961">
        <v>0</v>
      </c>
      <c r="W961">
        <v>71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20</v>
      </c>
      <c r="AG961">
        <v>41</v>
      </c>
      <c r="AH961">
        <v>21</v>
      </c>
      <c r="AI961">
        <v>0</v>
      </c>
      <c r="AJ961">
        <v>23</v>
      </c>
      <c r="AK961">
        <v>0</v>
      </c>
      <c r="AL961">
        <v>0</v>
      </c>
      <c r="AM961">
        <v>147</v>
      </c>
      <c r="AN961">
        <v>58</v>
      </c>
      <c r="AO961">
        <v>29</v>
      </c>
      <c r="AQ961" t="str">
        <f t="shared" si="14"/>
        <v>Defensive Forward</v>
      </c>
    </row>
    <row r="962" spans="1:43" x14ac:dyDescent="0.35">
      <c r="A962" t="s">
        <v>597</v>
      </c>
      <c r="B962" t="s">
        <v>43</v>
      </c>
      <c r="C962" t="s">
        <v>1828</v>
      </c>
      <c r="D962">
        <v>1990</v>
      </c>
      <c r="E962">
        <v>27</v>
      </c>
      <c r="F962" t="s">
        <v>66</v>
      </c>
      <c r="G962" t="s">
        <v>216</v>
      </c>
      <c r="H962">
        <v>3300000</v>
      </c>
      <c r="I962">
        <v>2750000</v>
      </c>
      <c r="J962" t="s">
        <v>52</v>
      </c>
      <c r="K962">
        <v>12</v>
      </c>
      <c r="L962">
        <v>995</v>
      </c>
      <c r="M962">
        <v>0</v>
      </c>
      <c r="N962">
        <v>422</v>
      </c>
      <c r="O962">
        <v>1</v>
      </c>
      <c r="P962">
        <v>4</v>
      </c>
      <c r="Q962">
        <v>1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13</v>
      </c>
      <c r="X962">
        <v>0</v>
      </c>
      <c r="Y962">
        <v>0</v>
      </c>
      <c r="Z962">
        <v>0</v>
      </c>
      <c r="AA962">
        <v>0</v>
      </c>
      <c r="AB962">
        <v>1</v>
      </c>
      <c r="AC962">
        <v>0</v>
      </c>
      <c r="AD962">
        <v>1</v>
      </c>
      <c r="AE962">
        <v>38</v>
      </c>
      <c r="AF962">
        <v>1</v>
      </c>
      <c r="AG962">
        <v>20</v>
      </c>
      <c r="AH962">
        <v>17</v>
      </c>
      <c r="AI962">
        <v>0</v>
      </c>
      <c r="AJ962">
        <v>23</v>
      </c>
      <c r="AK962">
        <v>0</v>
      </c>
      <c r="AL962">
        <v>0</v>
      </c>
      <c r="AM962">
        <v>25</v>
      </c>
      <c r="AN962">
        <v>13</v>
      </c>
      <c r="AO962">
        <v>8</v>
      </c>
      <c r="AQ962" t="str">
        <f t="shared" ref="AQ962:AQ1025" si="15">IF(J962 = "FW", REPLACE(J962,1,2,"Forward"),IF(J962 = "DF", "Defensive Forward", "Midfielder"))</f>
        <v>Defensive Forward</v>
      </c>
    </row>
    <row r="963" spans="1:43" x14ac:dyDescent="0.35">
      <c r="A963" t="s">
        <v>598</v>
      </c>
      <c r="B963" t="s">
        <v>47</v>
      </c>
      <c r="C963" t="s">
        <v>1829</v>
      </c>
      <c r="D963">
        <v>1996</v>
      </c>
      <c r="E963">
        <v>19</v>
      </c>
      <c r="F963" t="s">
        <v>54</v>
      </c>
      <c r="G963" t="s">
        <v>51</v>
      </c>
      <c r="H963">
        <v>900000</v>
      </c>
      <c r="I963">
        <v>4500000</v>
      </c>
      <c r="J963" t="s">
        <v>52</v>
      </c>
      <c r="K963">
        <v>18</v>
      </c>
      <c r="L963">
        <v>1371</v>
      </c>
      <c r="M963">
        <v>0</v>
      </c>
      <c r="N963">
        <v>643</v>
      </c>
      <c r="O963">
        <v>1</v>
      </c>
      <c r="P963">
        <v>2</v>
      </c>
      <c r="Q963">
        <v>0</v>
      </c>
      <c r="R963">
        <v>2</v>
      </c>
      <c r="S963">
        <v>3</v>
      </c>
      <c r="T963">
        <v>6</v>
      </c>
      <c r="U963">
        <v>3</v>
      </c>
      <c r="V963">
        <v>0</v>
      </c>
      <c r="W963">
        <v>44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48</v>
      </c>
      <c r="AF963">
        <v>5</v>
      </c>
      <c r="AG963">
        <v>21</v>
      </c>
      <c r="AH963">
        <v>12</v>
      </c>
      <c r="AI963">
        <v>0</v>
      </c>
      <c r="AJ963">
        <v>41</v>
      </c>
      <c r="AK963">
        <v>0</v>
      </c>
      <c r="AL963">
        <v>0</v>
      </c>
      <c r="AM963">
        <v>67</v>
      </c>
      <c r="AN963">
        <v>33</v>
      </c>
      <c r="AO963">
        <v>26</v>
      </c>
      <c r="AQ963" t="str">
        <f t="shared" si="15"/>
        <v>Defensive Forward</v>
      </c>
    </row>
    <row r="964" spans="1:43" x14ac:dyDescent="0.35">
      <c r="A964" t="s">
        <v>598</v>
      </c>
      <c r="B964" t="s">
        <v>43</v>
      </c>
      <c r="C964" t="s">
        <v>1830</v>
      </c>
      <c r="D964">
        <v>1996</v>
      </c>
      <c r="E964">
        <v>21</v>
      </c>
      <c r="F964" t="s">
        <v>54</v>
      </c>
      <c r="G964" t="s">
        <v>51</v>
      </c>
      <c r="H964">
        <v>4500000</v>
      </c>
      <c r="I964">
        <v>6300000</v>
      </c>
      <c r="J964" t="s">
        <v>52</v>
      </c>
      <c r="K964">
        <v>15</v>
      </c>
      <c r="L964">
        <v>1183</v>
      </c>
      <c r="M964">
        <v>0</v>
      </c>
      <c r="N964">
        <v>475</v>
      </c>
      <c r="O964">
        <v>0</v>
      </c>
      <c r="P964">
        <v>3</v>
      </c>
      <c r="Q964">
        <v>0</v>
      </c>
      <c r="R964">
        <v>2</v>
      </c>
      <c r="S964">
        <v>0</v>
      </c>
      <c r="T964">
        <v>2</v>
      </c>
      <c r="U964">
        <v>2</v>
      </c>
      <c r="V964">
        <v>1</v>
      </c>
      <c r="W964">
        <v>44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12</v>
      </c>
      <c r="AF964">
        <v>9</v>
      </c>
      <c r="AG964">
        <v>23</v>
      </c>
      <c r="AH964">
        <v>12</v>
      </c>
      <c r="AI964">
        <v>0</v>
      </c>
      <c r="AJ964">
        <v>23</v>
      </c>
      <c r="AK964">
        <v>1</v>
      </c>
      <c r="AL964">
        <v>0</v>
      </c>
      <c r="AM964">
        <v>82</v>
      </c>
      <c r="AN964">
        <v>0</v>
      </c>
      <c r="AO964">
        <v>41</v>
      </c>
      <c r="AQ964" t="str">
        <f t="shared" si="15"/>
        <v>Defensive Forward</v>
      </c>
    </row>
    <row r="965" spans="1:43" x14ac:dyDescent="0.35">
      <c r="A965" t="s">
        <v>599</v>
      </c>
      <c r="B965" t="s">
        <v>46</v>
      </c>
      <c r="C965" t="s">
        <v>1831</v>
      </c>
      <c r="D965">
        <v>1992</v>
      </c>
      <c r="E965">
        <v>26</v>
      </c>
      <c r="F965" t="s">
        <v>56</v>
      </c>
      <c r="G965" t="s">
        <v>600</v>
      </c>
      <c r="H965">
        <v>11000000</v>
      </c>
      <c r="I965">
        <v>7200000</v>
      </c>
      <c r="J965" t="s">
        <v>42</v>
      </c>
      <c r="K965">
        <v>13</v>
      </c>
      <c r="L965">
        <v>313</v>
      </c>
      <c r="M965">
        <v>0</v>
      </c>
      <c r="N965">
        <v>73</v>
      </c>
      <c r="O965">
        <v>0</v>
      </c>
      <c r="P965">
        <v>0</v>
      </c>
      <c r="Q965">
        <v>0</v>
      </c>
      <c r="R965">
        <v>10</v>
      </c>
      <c r="S965">
        <v>3</v>
      </c>
      <c r="T965">
        <v>6</v>
      </c>
      <c r="U965">
        <v>3</v>
      </c>
      <c r="V965">
        <v>0</v>
      </c>
      <c r="W965">
        <v>3</v>
      </c>
      <c r="X965">
        <v>0</v>
      </c>
      <c r="Y965">
        <v>0</v>
      </c>
      <c r="Z965">
        <v>0</v>
      </c>
      <c r="AA965">
        <v>2</v>
      </c>
      <c r="AB965">
        <v>0</v>
      </c>
      <c r="AC965">
        <v>3</v>
      </c>
      <c r="AD965">
        <v>0</v>
      </c>
      <c r="AE965">
        <v>0</v>
      </c>
      <c r="AF965">
        <v>1</v>
      </c>
      <c r="AG965">
        <v>0</v>
      </c>
      <c r="AH965">
        <v>7</v>
      </c>
      <c r="AI965">
        <v>0</v>
      </c>
      <c r="AJ965">
        <v>2</v>
      </c>
      <c r="AK965">
        <v>0</v>
      </c>
      <c r="AL965">
        <v>0</v>
      </c>
      <c r="AM965">
        <v>6</v>
      </c>
      <c r="AN965">
        <v>5</v>
      </c>
      <c r="AO965">
        <v>12</v>
      </c>
      <c r="AQ965" t="str">
        <f t="shared" si="15"/>
        <v>Forward</v>
      </c>
    </row>
    <row r="966" spans="1:43" x14ac:dyDescent="0.35">
      <c r="A966" t="s">
        <v>601</v>
      </c>
      <c r="B966" t="s">
        <v>46</v>
      </c>
      <c r="C966" t="s">
        <v>1832</v>
      </c>
      <c r="D966">
        <v>1994</v>
      </c>
      <c r="E966">
        <v>24</v>
      </c>
      <c r="F966" t="s">
        <v>44</v>
      </c>
      <c r="G966" t="s">
        <v>308</v>
      </c>
      <c r="H966">
        <v>3600000</v>
      </c>
      <c r="I966">
        <v>2700000</v>
      </c>
      <c r="J966" t="s">
        <v>55</v>
      </c>
      <c r="K966">
        <v>32</v>
      </c>
      <c r="L966">
        <v>1744</v>
      </c>
      <c r="M966">
        <v>0</v>
      </c>
      <c r="N966">
        <v>1468</v>
      </c>
      <c r="O966">
        <v>2</v>
      </c>
      <c r="P966">
        <v>3</v>
      </c>
      <c r="Q966">
        <v>0</v>
      </c>
      <c r="R966">
        <v>11</v>
      </c>
      <c r="S966">
        <v>19</v>
      </c>
      <c r="T966">
        <v>28</v>
      </c>
      <c r="U966">
        <v>4</v>
      </c>
      <c r="V966">
        <v>1</v>
      </c>
      <c r="W966">
        <v>10</v>
      </c>
      <c r="X966">
        <v>0</v>
      </c>
      <c r="Y966">
        <v>0</v>
      </c>
      <c r="Z966">
        <v>0</v>
      </c>
      <c r="AA966">
        <v>0</v>
      </c>
      <c r="AB966">
        <v>8</v>
      </c>
      <c r="AC966">
        <v>24</v>
      </c>
      <c r="AD966">
        <v>1</v>
      </c>
      <c r="AE966">
        <v>8</v>
      </c>
      <c r="AF966">
        <v>2</v>
      </c>
      <c r="AG966">
        <v>8</v>
      </c>
      <c r="AH966">
        <v>19</v>
      </c>
      <c r="AI966">
        <v>0</v>
      </c>
      <c r="AJ966">
        <v>45</v>
      </c>
      <c r="AK966">
        <v>0</v>
      </c>
      <c r="AL966">
        <v>0</v>
      </c>
      <c r="AM966">
        <v>18</v>
      </c>
      <c r="AN966">
        <v>10</v>
      </c>
      <c r="AO966">
        <v>9</v>
      </c>
      <c r="AQ966" t="str">
        <f t="shared" si="15"/>
        <v>Midfielder</v>
      </c>
    </row>
    <row r="967" spans="1:43" x14ac:dyDescent="0.35">
      <c r="A967" t="s">
        <v>602</v>
      </c>
      <c r="B967" t="s">
        <v>39</v>
      </c>
      <c r="C967" t="s">
        <v>1833</v>
      </c>
      <c r="D967">
        <v>1984</v>
      </c>
      <c r="E967">
        <v>31</v>
      </c>
      <c r="F967" t="s">
        <v>61</v>
      </c>
      <c r="G967" t="s">
        <v>67</v>
      </c>
      <c r="H967">
        <v>5400000</v>
      </c>
      <c r="I967">
        <v>8100000</v>
      </c>
      <c r="J967" t="s">
        <v>55</v>
      </c>
      <c r="K967">
        <v>16</v>
      </c>
      <c r="L967">
        <v>1089</v>
      </c>
      <c r="M967">
        <v>0</v>
      </c>
      <c r="N967">
        <v>627</v>
      </c>
      <c r="O967">
        <v>0</v>
      </c>
      <c r="P967">
        <v>3</v>
      </c>
      <c r="Q967">
        <v>0</v>
      </c>
      <c r="R967">
        <v>4</v>
      </c>
      <c r="S967">
        <v>3</v>
      </c>
      <c r="T967">
        <v>7</v>
      </c>
      <c r="U967">
        <v>0</v>
      </c>
      <c r="V967">
        <v>0</v>
      </c>
      <c r="W967">
        <v>8</v>
      </c>
      <c r="X967">
        <v>0</v>
      </c>
      <c r="Y967">
        <v>0</v>
      </c>
      <c r="Z967">
        <v>0</v>
      </c>
      <c r="AA967">
        <v>0</v>
      </c>
      <c r="AB967">
        <v>2</v>
      </c>
      <c r="AC967">
        <v>2</v>
      </c>
      <c r="AD967">
        <v>0</v>
      </c>
      <c r="AE967">
        <v>5</v>
      </c>
      <c r="AF967">
        <v>13</v>
      </c>
      <c r="AG967">
        <v>35</v>
      </c>
      <c r="AH967">
        <v>18</v>
      </c>
      <c r="AI967">
        <v>0</v>
      </c>
      <c r="AJ967">
        <v>31</v>
      </c>
      <c r="AK967">
        <v>0</v>
      </c>
      <c r="AL967">
        <v>0</v>
      </c>
      <c r="AM967">
        <v>25</v>
      </c>
      <c r="AN967">
        <v>12</v>
      </c>
      <c r="AO967">
        <v>5</v>
      </c>
      <c r="AQ967" t="str">
        <f t="shared" si="15"/>
        <v>Midfielder</v>
      </c>
    </row>
    <row r="968" spans="1:43" x14ac:dyDescent="0.35">
      <c r="A968" t="s">
        <v>603</v>
      </c>
      <c r="B968" t="s">
        <v>46</v>
      </c>
      <c r="C968" t="s">
        <v>1834</v>
      </c>
      <c r="D968">
        <v>1992</v>
      </c>
      <c r="E968">
        <v>26</v>
      </c>
      <c r="F968" t="s">
        <v>90</v>
      </c>
      <c r="G968" t="s">
        <v>260</v>
      </c>
      <c r="H968">
        <v>2250000</v>
      </c>
      <c r="I968">
        <v>13500000</v>
      </c>
      <c r="J968" t="s">
        <v>52</v>
      </c>
      <c r="K968">
        <v>38</v>
      </c>
      <c r="L968">
        <v>3147</v>
      </c>
      <c r="M968">
        <v>4</v>
      </c>
      <c r="N968">
        <v>1399</v>
      </c>
      <c r="O968">
        <v>5</v>
      </c>
      <c r="P968">
        <v>5</v>
      </c>
      <c r="Q968">
        <v>0</v>
      </c>
      <c r="R968">
        <v>3</v>
      </c>
      <c r="S968">
        <v>6</v>
      </c>
      <c r="T968">
        <v>46</v>
      </c>
      <c r="U968">
        <v>18</v>
      </c>
      <c r="V968">
        <v>1</v>
      </c>
      <c r="W968">
        <v>63</v>
      </c>
      <c r="X968">
        <v>2</v>
      </c>
      <c r="Y968">
        <v>0</v>
      </c>
      <c r="Z968">
        <v>0</v>
      </c>
      <c r="AA968">
        <v>3</v>
      </c>
      <c r="AB968">
        <v>3</v>
      </c>
      <c r="AC968">
        <v>28</v>
      </c>
      <c r="AD968">
        <v>0</v>
      </c>
      <c r="AE968">
        <v>62</v>
      </c>
      <c r="AF968">
        <v>7</v>
      </c>
      <c r="AG968">
        <v>60</v>
      </c>
      <c r="AH968">
        <v>30</v>
      </c>
      <c r="AI968">
        <v>0</v>
      </c>
      <c r="AJ968">
        <v>67</v>
      </c>
      <c r="AK968">
        <v>0</v>
      </c>
      <c r="AL968">
        <v>1</v>
      </c>
      <c r="AM968">
        <v>84</v>
      </c>
      <c r="AN968">
        <v>145</v>
      </c>
      <c r="AO968">
        <v>103</v>
      </c>
      <c r="AQ968" t="str">
        <f t="shared" si="15"/>
        <v>Defensive Forward</v>
      </c>
    </row>
    <row r="969" spans="1:43" x14ac:dyDescent="0.35">
      <c r="A969" t="s">
        <v>604</v>
      </c>
      <c r="B969" t="s">
        <v>47</v>
      </c>
      <c r="C969" t="s">
        <v>1835</v>
      </c>
      <c r="D969">
        <v>1991</v>
      </c>
      <c r="E969">
        <v>25</v>
      </c>
      <c r="F969" t="s">
        <v>103</v>
      </c>
      <c r="G969" t="s">
        <v>108</v>
      </c>
      <c r="H969">
        <v>8100000</v>
      </c>
      <c r="I969">
        <v>8100000</v>
      </c>
      <c r="J969" t="s">
        <v>55</v>
      </c>
      <c r="K969">
        <v>27</v>
      </c>
      <c r="L969">
        <v>2193</v>
      </c>
      <c r="M969">
        <v>4</v>
      </c>
      <c r="N969">
        <v>486</v>
      </c>
      <c r="O969">
        <v>8</v>
      </c>
      <c r="P969">
        <v>2</v>
      </c>
      <c r="Q969">
        <v>0</v>
      </c>
      <c r="R969">
        <v>1</v>
      </c>
      <c r="S969">
        <v>13</v>
      </c>
      <c r="T969">
        <v>47</v>
      </c>
      <c r="U969">
        <v>10</v>
      </c>
      <c r="V969">
        <v>2</v>
      </c>
      <c r="W969">
        <v>13</v>
      </c>
      <c r="X969">
        <v>0</v>
      </c>
      <c r="Y969">
        <v>0</v>
      </c>
      <c r="Z969">
        <v>0</v>
      </c>
      <c r="AA969">
        <v>3</v>
      </c>
      <c r="AB969">
        <v>2</v>
      </c>
      <c r="AC969">
        <v>2</v>
      </c>
      <c r="AD969">
        <v>34</v>
      </c>
      <c r="AE969">
        <v>144</v>
      </c>
      <c r="AF969">
        <v>3</v>
      </c>
      <c r="AG969">
        <v>19</v>
      </c>
      <c r="AH969">
        <v>12</v>
      </c>
      <c r="AI969">
        <v>0</v>
      </c>
      <c r="AJ969">
        <v>22</v>
      </c>
      <c r="AK969">
        <v>0</v>
      </c>
      <c r="AL969">
        <v>0</v>
      </c>
      <c r="AM969">
        <v>25</v>
      </c>
      <c r="AN969">
        <v>37</v>
      </c>
      <c r="AO969">
        <v>51</v>
      </c>
      <c r="AQ969" t="str">
        <f t="shared" si="15"/>
        <v>Midfielder</v>
      </c>
    </row>
    <row r="970" spans="1:43" x14ac:dyDescent="0.35">
      <c r="A970" t="s">
        <v>604</v>
      </c>
      <c r="B970" t="s">
        <v>43</v>
      </c>
      <c r="C970" t="s">
        <v>1836</v>
      </c>
      <c r="D970">
        <v>1991</v>
      </c>
      <c r="E970">
        <v>26</v>
      </c>
      <c r="F970" t="s">
        <v>103</v>
      </c>
      <c r="G970" t="s">
        <v>108</v>
      </c>
      <c r="H970">
        <v>2700000</v>
      </c>
      <c r="I970">
        <v>6600000</v>
      </c>
      <c r="J970" t="s">
        <v>55</v>
      </c>
      <c r="K970">
        <v>30</v>
      </c>
      <c r="L970">
        <v>2097</v>
      </c>
      <c r="M970">
        <v>2</v>
      </c>
      <c r="N970">
        <v>497</v>
      </c>
      <c r="O970">
        <v>2</v>
      </c>
      <c r="P970">
        <v>3</v>
      </c>
      <c r="Q970">
        <v>0</v>
      </c>
      <c r="R970">
        <v>7</v>
      </c>
      <c r="S970">
        <v>10</v>
      </c>
      <c r="T970">
        <v>28</v>
      </c>
      <c r="U970">
        <v>8</v>
      </c>
      <c r="V970">
        <v>0</v>
      </c>
      <c r="W970">
        <v>8</v>
      </c>
      <c r="X970">
        <v>0</v>
      </c>
      <c r="Y970">
        <v>0</v>
      </c>
      <c r="Z970">
        <v>0</v>
      </c>
      <c r="AA970">
        <v>11</v>
      </c>
      <c r="AB970">
        <v>0</v>
      </c>
      <c r="AC970">
        <v>20</v>
      </c>
      <c r="AD970">
        <v>43</v>
      </c>
      <c r="AE970">
        <v>164</v>
      </c>
      <c r="AF970">
        <v>1</v>
      </c>
      <c r="AG970">
        <v>24</v>
      </c>
      <c r="AH970">
        <v>14</v>
      </c>
      <c r="AI970">
        <v>0</v>
      </c>
      <c r="AJ970">
        <v>27</v>
      </c>
      <c r="AK970">
        <v>0</v>
      </c>
      <c r="AL970">
        <v>0</v>
      </c>
      <c r="AM970">
        <v>26</v>
      </c>
      <c r="AN970">
        <v>0</v>
      </c>
      <c r="AO970">
        <v>37</v>
      </c>
      <c r="AQ970" t="str">
        <f t="shared" si="15"/>
        <v>Midfielder</v>
      </c>
    </row>
    <row r="971" spans="1:43" x14ac:dyDescent="0.35">
      <c r="A971" t="s">
        <v>605</v>
      </c>
      <c r="B971" t="s">
        <v>39</v>
      </c>
      <c r="C971" t="s">
        <v>1837</v>
      </c>
      <c r="D971">
        <v>1989</v>
      </c>
      <c r="E971">
        <v>25</v>
      </c>
      <c r="F971" t="s">
        <v>84</v>
      </c>
      <c r="G971" t="s">
        <v>108</v>
      </c>
      <c r="H971">
        <v>8100000</v>
      </c>
      <c r="I971">
        <v>10800000</v>
      </c>
      <c r="J971" t="s">
        <v>55</v>
      </c>
      <c r="K971">
        <v>37</v>
      </c>
      <c r="L971">
        <v>2976</v>
      </c>
      <c r="M971">
        <v>4</v>
      </c>
      <c r="N971">
        <v>1429</v>
      </c>
      <c r="O971">
        <v>6</v>
      </c>
      <c r="P971">
        <v>5</v>
      </c>
      <c r="Q971">
        <v>0</v>
      </c>
      <c r="R971">
        <v>4</v>
      </c>
      <c r="S971">
        <v>9</v>
      </c>
      <c r="T971">
        <v>77</v>
      </c>
      <c r="U971">
        <v>17</v>
      </c>
      <c r="V971">
        <v>0</v>
      </c>
      <c r="W971">
        <v>7</v>
      </c>
      <c r="X971">
        <v>0</v>
      </c>
      <c r="Y971">
        <v>0</v>
      </c>
      <c r="Z971">
        <v>0</v>
      </c>
      <c r="AA971">
        <v>4</v>
      </c>
      <c r="AB971">
        <v>4</v>
      </c>
      <c r="AC971">
        <v>2</v>
      </c>
      <c r="AD971">
        <v>100</v>
      </c>
      <c r="AE971">
        <v>204</v>
      </c>
      <c r="AF971">
        <v>1</v>
      </c>
      <c r="AG971">
        <v>48</v>
      </c>
      <c r="AH971">
        <v>41</v>
      </c>
      <c r="AI971">
        <v>0</v>
      </c>
      <c r="AJ971">
        <v>54</v>
      </c>
      <c r="AK971">
        <v>0</v>
      </c>
      <c r="AL971">
        <v>0</v>
      </c>
      <c r="AM971">
        <v>32</v>
      </c>
      <c r="AN971">
        <v>23</v>
      </c>
      <c r="AO971">
        <v>46</v>
      </c>
      <c r="AQ971" t="str">
        <f t="shared" si="15"/>
        <v>Midfielder</v>
      </c>
    </row>
    <row r="972" spans="1:43" x14ac:dyDescent="0.35">
      <c r="A972" t="s">
        <v>605</v>
      </c>
      <c r="B972" t="s">
        <v>43</v>
      </c>
      <c r="C972" t="s">
        <v>1838</v>
      </c>
      <c r="D972">
        <v>1989</v>
      </c>
      <c r="E972">
        <v>28</v>
      </c>
      <c r="F972" t="s">
        <v>117</v>
      </c>
      <c r="G972" t="s">
        <v>108</v>
      </c>
      <c r="H972">
        <v>10800000</v>
      </c>
      <c r="I972">
        <v>10800000</v>
      </c>
      <c r="J972" t="s">
        <v>55</v>
      </c>
      <c r="K972">
        <v>35</v>
      </c>
      <c r="L972">
        <v>2812</v>
      </c>
      <c r="M972">
        <v>3</v>
      </c>
      <c r="N972">
        <v>1046</v>
      </c>
      <c r="O972">
        <v>5</v>
      </c>
      <c r="P972">
        <v>6</v>
      </c>
      <c r="Q972">
        <v>0</v>
      </c>
      <c r="R972">
        <v>3</v>
      </c>
      <c r="S972">
        <v>11</v>
      </c>
      <c r="T972">
        <v>59</v>
      </c>
      <c r="U972">
        <v>16</v>
      </c>
      <c r="V972">
        <v>3</v>
      </c>
      <c r="W972">
        <v>27</v>
      </c>
      <c r="X972">
        <v>0</v>
      </c>
      <c r="Y972">
        <v>0</v>
      </c>
      <c r="Z972">
        <v>0</v>
      </c>
      <c r="AA972">
        <v>3</v>
      </c>
      <c r="AB972">
        <v>7</v>
      </c>
      <c r="AC972">
        <v>43</v>
      </c>
      <c r="AD972">
        <v>89</v>
      </c>
      <c r="AE972">
        <v>190</v>
      </c>
      <c r="AF972">
        <v>5</v>
      </c>
      <c r="AG972">
        <v>35</v>
      </c>
      <c r="AH972">
        <v>37</v>
      </c>
      <c r="AI972">
        <v>0</v>
      </c>
      <c r="AJ972">
        <v>46</v>
      </c>
      <c r="AK972">
        <v>1</v>
      </c>
      <c r="AL972">
        <v>0</v>
      </c>
      <c r="AM972">
        <v>53</v>
      </c>
      <c r="AN972">
        <v>0</v>
      </c>
      <c r="AO972">
        <v>81</v>
      </c>
      <c r="AQ972" t="str">
        <f t="shared" si="15"/>
        <v>Midfielder</v>
      </c>
    </row>
    <row r="973" spans="1:43" x14ac:dyDescent="0.35">
      <c r="A973" t="s">
        <v>605</v>
      </c>
      <c r="B973" t="s">
        <v>46</v>
      </c>
      <c r="C973" t="s">
        <v>1839</v>
      </c>
      <c r="D973">
        <v>1989</v>
      </c>
      <c r="E973">
        <v>28</v>
      </c>
      <c r="F973" t="s">
        <v>117</v>
      </c>
      <c r="G973" t="s">
        <v>108</v>
      </c>
      <c r="H973">
        <v>6300000</v>
      </c>
      <c r="I973">
        <v>31500000</v>
      </c>
      <c r="J973" t="s">
        <v>55</v>
      </c>
      <c r="K973">
        <v>36</v>
      </c>
      <c r="L973">
        <v>2939</v>
      </c>
      <c r="M973">
        <v>2</v>
      </c>
      <c r="N973">
        <v>1100</v>
      </c>
      <c r="O973">
        <v>8</v>
      </c>
      <c r="P973">
        <v>9</v>
      </c>
      <c r="Q973">
        <v>0</v>
      </c>
      <c r="R973">
        <v>0</v>
      </c>
      <c r="S973">
        <v>14</v>
      </c>
      <c r="T973">
        <v>41</v>
      </c>
      <c r="U973">
        <v>10</v>
      </c>
      <c r="V973">
        <v>0</v>
      </c>
      <c r="W973">
        <v>32</v>
      </c>
      <c r="X973">
        <v>0</v>
      </c>
      <c r="Y973">
        <v>0</v>
      </c>
      <c r="Z973">
        <v>0</v>
      </c>
      <c r="AA973">
        <v>1</v>
      </c>
      <c r="AB973">
        <v>5</v>
      </c>
      <c r="AC973">
        <v>31</v>
      </c>
      <c r="AD973">
        <v>102</v>
      </c>
      <c r="AE973">
        <v>259</v>
      </c>
      <c r="AF973">
        <v>11</v>
      </c>
      <c r="AG973">
        <v>51</v>
      </c>
      <c r="AH973">
        <v>55</v>
      </c>
      <c r="AI973">
        <v>0</v>
      </c>
      <c r="AJ973">
        <v>70</v>
      </c>
      <c r="AK973">
        <v>0</v>
      </c>
      <c r="AL973">
        <v>0</v>
      </c>
      <c r="AM973">
        <v>61</v>
      </c>
      <c r="AN973">
        <v>35</v>
      </c>
      <c r="AO973">
        <v>65</v>
      </c>
      <c r="AQ973" t="str">
        <f t="shared" si="15"/>
        <v>Midfielder</v>
      </c>
    </row>
    <row r="974" spans="1:43" x14ac:dyDescent="0.35">
      <c r="A974" t="s">
        <v>606</v>
      </c>
      <c r="B974" t="s">
        <v>39</v>
      </c>
      <c r="C974" t="s">
        <v>1840</v>
      </c>
      <c r="D974">
        <v>1995</v>
      </c>
      <c r="E974">
        <v>19</v>
      </c>
      <c r="F974" t="s">
        <v>220</v>
      </c>
      <c r="G974" t="s">
        <v>51</v>
      </c>
      <c r="H974">
        <v>1800000</v>
      </c>
      <c r="I974">
        <v>2700000</v>
      </c>
      <c r="J974" t="s">
        <v>52</v>
      </c>
      <c r="K974">
        <v>14</v>
      </c>
      <c r="L974">
        <v>1069</v>
      </c>
      <c r="M974">
        <v>0</v>
      </c>
      <c r="N974">
        <v>404</v>
      </c>
      <c r="O974">
        <v>0</v>
      </c>
      <c r="P974">
        <v>1</v>
      </c>
      <c r="Q974">
        <v>0</v>
      </c>
      <c r="R974">
        <v>1</v>
      </c>
      <c r="S974">
        <v>5</v>
      </c>
      <c r="T974">
        <v>3</v>
      </c>
      <c r="U974">
        <v>2</v>
      </c>
      <c r="V974">
        <v>0</v>
      </c>
      <c r="W974">
        <v>16</v>
      </c>
      <c r="X974">
        <v>0</v>
      </c>
      <c r="Y974">
        <v>0</v>
      </c>
      <c r="Z974">
        <v>0</v>
      </c>
      <c r="AA974">
        <v>0</v>
      </c>
      <c r="AB974">
        <v>1</v>
      </c>
      <c r="AC974">
        <v>0</v>
      </c>
      <c r="AD974">
        <v>0</v>
      </c>
      <c r="AE974">
        <v>44</v>
      </c>
      <c r="AF974">
        <v>0</v>
      </c>
      <c r="AG974">
        <v>26</v>
      </c>
      <c r="AH974">
        <v>4</v>
      </c>
      <c r="AI974">
        <v>0</v>
      </c>
      <c r="AJ974">
        <v>20</v>
      </c>
      <c r="AK974">
        <v>0</v>
      </c>
      <c r="AL974">
        <v>0</v>
      </c>
      <c r="AM974">
        <v>33</v>
      </c>
      <c r="AN974">
        <v>16</v>
      </c>
      <c r="AO974">
        <v>13</v>
      </c>
      <c r="AQ974" t="str">
        <f t="shared" si="15"/>
        <v>Defensive Forward</v>
      </c>
    </row>
    <row r="975" spans="1:43" x14ac:dyDescent="0.35">
      <c r="A975" t="s">
        <v>606</v>
      </c>
      <c r="B975" t="s">
        <v>46</v>
      </c>
      <c r="C975" t="s">
        <v>1841</v>
      </c>
      <c r="D975">
        <v>1995</v>
      </c>
      <c r="E975">
        <v>22</v>
      </c>
      <c r="F975" t="s">
        <v>220</v>
      </c>
      <c r="G975" t="s">
        <v>51</v>
      </c>
      <c r="H975">
        <v>6300000</v>
      </c>
      <c r="I975">
        <v>6300000</v>
      </c>
      <c r="J975" t="s">
        <v>52</v>
      </c>
      <c r="K975">
        <v>16</v>
      </c>
      <c r="L975">
        <v>1187</v>
      </c>
      <c r="M975">
        <v>0</v>
      </c>
      <c r="N975">
        <v>443</v>
      </c>
      <c r="O975">
        <v>3</v>
      </c>
      <c r="P975">
        <v>2</v>
      </c>
      <c r="Q975">
        <v>0</v>
      </c>
      <c r="R975">
        <v>3</v>
      </c>
      <c r="S975">
        <v>2</v>
      </c>
      <c r="T975">
        <v>11</v>
      </c>
      <c r="U975">
        <v>3</v>
      </c>
      <c r="V975">
        <v>0</v>
      </c>
      <c r="W975">
        <v>10</v>
      </c>
      <c r="X975">
        <v>0</v>
      </c>
      <c r="Y975">
        <v>0</v>
      </c>
      <c r="Z975">
        <v>0</v>
      </c>
      <c r="AA975">
        <v>1</v>
      </c>
      <c r="AB975">
        <v>2</v>
      </c>
      <c r="AC975">
        <v>8</v>
      </c>
      <c r="AD975">
        <v>20</v>
      </c>
      <c r="AE975">
        <v>77</v>
      </c>
      <c r="AF975">
        <v>3</v>
      </c>
      <c r="AG975">
        <v>27</v>
      </c>
      <c r="AH975">
        <v>6</v>
      </c>
      <c r="AI975">
        <v>0</v>
      </c>
      <c r="AJ975">
        <v>27</v>
      </c>
      <c r="AK975">
        <v>0</v>
      </c>
      <c r="AL975">
        <v>0</v>
      </c>
      <c r="AM975">
        <v>31</v>
      </c>
      <c r="AN975">
        <v>17</v>
      </c>
      <c r="AO975">
        <v>22</v>
      </c>
      <c r="AQ975" t="str">
        <f t="shared" si="15"/>
        <v>Defensive Forward</v>
      </c>
    </row>
    <row r="976" spans="1:43" x14ac:dyDescent="0.35">
      <c r="A976" t="s">
        <v>607</v>
      </c>
      <c r="B976" t="s">
        <v>47</v>
      </c>
      <c r="C976" t="s">
        <v>1842</v>
      </c>
      <c r="D976">
        <v>1989</v>
      </c>
      <c r="E976">
        <v>26</v>
      </c>
      <c r="F976" t="s">
        <v>129</v>
      </c>
      <c r="G976" t="s">
        <v>82</v>
      </c>
      <c r="H976">
        <v>13500000</v>
      </c>
      <c r="I976">
        <v>10800000</v>
      </c>
      <c r="J976" t="s">
        <v>52</v>
      </c>
      <c r="K976">
        <v>18</v>
      </c>
      <c r="L976">
        <v>1333</v>
      </c>
      <c r="M976">
        <v>0</v>
      </c>
      <c r="N976">
        <v>595</v>
      </c>
      <c r="O976">
        <v>0</v>
      </c>
      <c r="P976">
        <v>3</v>
      </c>
      <c r="Q976">
        <v>0</v>
      </c>
      <c r="R976">
        <v>3</v>
      </c>
      <c r="S976">
        <v>3</v>
      </c>
      <c r="T976">
        <v>2</v>
      </c>
      <c r="U976">
        <v>0</v>
      </c>
      <c r="V976">
        <v>0</v>
      </c>
      <c r="W976">
        <v>26</v>
      </c>
      <c r="X976">
        <v>0</v>
      </c>
      <c r="Y976">
        <v>0</v>
      </c>
      <c r="Z976">
        <v>0</v>
      </c>
      <c r="AA976">
        <v>1</v>
      </c>
      <c r="AB976">
        <v>0</v>
      </c>
      <c r="AC976">
        <v>0</v>
      </c>
      <c r="AD976">
        <v>1</v>
      </c>
      <c r="AE976">
        <v>19</v>
      </c>
      <c r="AF976">
        <v>2</v>
      </c>
      <c r="AG976">
        <v>39</v>
      </c>
      <c r="AH976">
        <v>19</v>
      </c>
      <c r="AI976">
        <v>0</v>
      </c>
      <c r="AJ976">
        <v>42</v>
      </c>
      <c r="AK976">
        <v>0</v>
      </c>
      <c r="AL976">
        <v>0</v>
      </c>
      <c r="AM976">
        <v>71</v>
      </c>
      <c r="AN976">
        <v>25</v>
      </c>
      <c r="AO976">
        <v>14</v>
      </c>
      <c r="AQ976" t="str">
        <f t="shared" si="15"/>
        <v>Defensive Forward</v>
      </c>
    </row>
    <row r="977" spans="1:43" x14ac:dyDescent="0.35">
      <c r="A977" t="s">
        <v>607</v>
      </c>
      <c r="B977" t="s">
        <v>39</v>
      </c>
      <c r="C977" t="s">
        <v>1843</v>
      </c>
      <c r="D977">
        <v>1989</v>
      </c>
      <c r="E977">
        <v>25</v>
      </c>
      <c r="F977" t="s">
        <v>129</v>
      </c>
      <c r="G977" t="s">
        <v>82</v>
      </c>
      <c r="H977">
        <v>10800000</v>
      </c>
      <c r="I977">
        <v>13500000</v>
      </c>
      <c r="J977" t="s">
        <v>52</v>
      </c>
      <c r="K977">
        <v>28</v>
      </c>
      <c r="L977">
        <v>1930</v>
      </c>
      <c r="M977">
        <v>1</v>
      </c>
      <c r="N977">
        <v>934</v>
      </c>
      <c r="O977">
        <v>0</v>
      </c>
      <c r="P977">
        <v>8</v>
      </c>
      <c r="Q977">
        <v>0</v>
      </c>
      <c r="R977">
        <v>4</v>
      </c>
      <c r="S977">
        <v>11</v>
      </c>
      <c r="T977">
        <v>6</v>
      </c>
      <c r="U977">
        <v>1</v>
      </c>
      <c r="V977">
        <v>0</v>
      </c>
      <c r="W977">
        <v>17</v>
      </c>
      <c r="X977">
        <v>0</v>
      </c>
      <c r="Y977">
        <v>0</v>
      </c>
      <c r="Z977">
        <v>0</v>
      </c>
      <c r="AA977">
        <v>4</v>
      </c>
      <c r="AB977">
        <v>0</v>
      </c>
      <c r="AC977">
        <v>0</v>
      </c>
      <c r="AD977">
        <v>0</v>
      </c>
      <c r="AE977">
        <v>53</v>
      </c>
      <c r="AF977">
        <v>2</v>
      </c>
      <c r="AG977">
        <v>42</v>
      </c>
      <c r="AH977">
        <v>27</v>
      </c>
      <c r="AI977">
        <v>0</v>
      </c>
      <c r="AJ977">
        <v>84</v>
      </c>
      <c r="AK977">
        <v>0</v>
      </c>
      <c r="AL977">
        <v>0</v>
      </c>
      <c r="AM977">
        <v>53</v>
      </c>
      <c r="AN977">
        <v>20</v>
      </c>
      <c r="AO977">
        <v>13</v>
      </c>
      <c r="AQ977" t="str">
        <f t="shared" si="15"/>
        <v>Defensive Forward</v>
      </c>
    </row>
    <row r="978" spans="1:43" x14ac:dyDescent="0.35">
      <c r="A978" t="s">
        <v>608</v>
      </c>
      <c r="B978" t="s">
        <v>46</v>
      </c>
      <c r="C978" t="s">
        <v>1844</v>
      </c>
      <c r="D978">
        <v>1999</v>
      </c>
      <c r="E978">
        <v>19</v>
      </c>
      <c r="F978" t="s">
        <v>61</v>
      </c>
      <c r="G978" t="s">
        <v>67</v>
      </c>
      <c r="H978">
        <v>1500000</v>
      </c>
      <c r="I978">
        <v>1500000</v>
      </c>
      <c r="J978" t="s">
        <v>55</v>
      </c>
      <c r="K978">
        <v>33</v>
      </c>
      <c r="L978">
        <v>2142</v>
      </c>
      <c r="M978">
        <v>0</v>
      </c>
      <c r="N978">
        <v>1598</v>
      </c>
      <c r="O978">
        <v>0</v>
      </c>
      <c r="P978">
        <v>9</v>
      </c>
      <c r="Q978">
        <v>0</v>
      </c>
      <c r="R978">
        <v>10</v>
      </c>
      <c r="S978">
        <v>4</v>
      </c>
      <c r="T978">
        <v>16</v>
      </c>
      <c r="U978">
        <v>4</v>
      </c>
      <c r="V978">
        <v>0</v>
      </c>
      <c r="W978">
        <v>13</v>
      </c>
      <c r="X978">
        <v>0</v>
      </c>
      <c r="Y978">
        <v>0</v>
      </c>
      <c r="Z978">
        <v>0</v>
      </c>
      <c r="AA978">
        <v>0</v>
      </c>
      <c r="AB978">
        <v>9</v>
      </c>
      <c r="AC978">
        <v>12</v>
      </c>
      <c r="AD978">
        <v>2</v>
      </c>
      <c r="AE978">
        <v>15</v>
      </c>
      <c r="AF978">
        <v>5</v>
      </c>
      <c r="AG978">
        <v>30</v>
      </c>
      <c r="AH978">
        <v>24</v>
      </c>
      <c r="AI978">
        <v>0</v>
      </c>
      <c r="AJ978">
        <v>44</v>
      </c>
      <c r="AK978">
        <v>1</v>
      </c>
      <c r="AL978">
        <v>0</v>
      </c>
      <c r="AM978">
        <v>24</v>
      </c>
      <c r="AN978">
        <v>18</v>
      </c>
      <c r="AO978">
        <v>24</v>
      </c>
      <c r="AQ978" t="str">
        <f t="shared" si="15"/>
        <v>Midfielder</v>
      </c>
    </row>
    <row r="979" spans="1:43" x14ac:dyDescent="0.35">
      <c r="A979" t="s">
        <v>609</v>
      </c>
      <c r="B979" t="s">
        <v>39</v>
      </c>
      <c r="C979" t="s">
        <v>1845</v>
      </c>
      <c r="D979">
        <v>1986</v>
      </c>
      <c r="E979">
        <v>29</v>
      </c>
      <c r="F979" t="s">
        <v>123</v>
      </c>
      <c r="G979" t="s">
        <v>51</v>
      </c>
      <c r="H979">
        <v>2700000</v>
      </c>
      <c r="I979">
        <v>2700000</v>
      </c>
      <c r="J979" t="s">
        <v>42</v>
      </c>
      <c r="K979">
        <v>22</v>
      </c>
      <c r="L979">
        <v>1093</v>
      </c>
      <c r="M979">
        <v>1</v>
      </c>
      <c r="N979">
        <v>268</v>
      </c>
      <c r="O979">
        <v>1</v>
      </c>
      <c r="P979">
        <v>0</v>
      </c>
      <c r="Q979">
        <v>0</v>
      </c>
      <c r="R979">
        <v>9</v>
      </c>
      <c r="S979">
        <v>10</v>
      </c>
      <c r="T979">
        <v>10</v>
      </c>
      <c r="U979">
        <v>4</v>
      </c>
      <c r="V979">
        <v>0</v>
      </c>
      <c r="W979">
        <v>3</v>
      </c>
      <c r="X979">
        <v>0</v>
      </c>
      <c r="Y979">
        <v>0</v>
      </c>
      <c r="Z979">
        <v>0</v>
      </c>
      <c r="AA979">
        <v>2</v>
      </c>
      <c r="AB979">
        <v>0</v>
      </c>
      <c r="AC979">
        <v>0</v>
      </c>
      <c r="AD979">
        <v>14</v>
      </c>
      <c r="AE979">
        <v>86</v>
      </c>
      <c r="AF979">
        <v>2</v>
      </c>
      <c r="AG979">
        <v>6</v>
      </c>
      <c r="AH979">
        <v>4</v>
      </c>
      <c r="AI979">
        <v>0</v>
      </c>
      <c r="AJ979">
        <v>13</v>
      </c>
      <c r="AK979">
        <v>0</v>
      </c>
      <c r="AL979">
        <v>0</v>
      </c>
      <c r="AM979">
        <v>4</v>
      </c>
      <c r="AN979">
        <v>6</v>
      </c>
      <c r="AO979">
        <v>19</v>
      </c>
      <c r="AQ979" t="str">
        <f t="shared" si="15"/>
        <v>Forward</v>
      </c>
    </row>
    <row r="980" spans="1:43" x14ac:dyDescent="0.35">
      <c r="A980" t="s">
        <v>610</v>
      </c>
      <c r="B980" t="s">
        <v>46</v>
      </c>
      <c r="C980" t="s">
        <v>1846</v>
      </c>
      <c r="D980">
        <v>1989</v>
      </c>
      <c r="E980">
        <v>29</v>
      </c>
      <c r="F980" t="s">
        <v>56</v>
      </c>
      <c r="G980" t="s">
        <v>51</v>
      </c>
      <c r="H980">
        <v>4500000</v>
      </c>
      <c r="I980">
        <v>4500000</v>
      </c>
      <c r="J980" t="s">
        <v>52</v>
      </c>
      <c r="K980">
        <v>21</v>
      </c>
      <c r="L980">
        <v>1748</v>
      </c>
      <c r="M980">
        <v>0</v>
      </c>
      <c r="N980">
        <v>638</v>
      </c>
      <c r="O980">
        <v>0</v>
      </c>
      <c r="P980">
        <v>7</v>
      </c>
      <c r="Q980">
        <v>0</v>
      </c>
      <c r="R980">
        <v>2</v>
      </c>
      <c r="S980">
        <v>0</v>
      </c>
      <c r="T980">
        <v>4</v>
      </c>
      <c r="U980">
        <v>1</v>
      </c>
      <c r="V980">
        <v>0</v>
      </c>
      <c r="W980">
        <v>34</v>
      </c>
      <c r="X980">
        <v>0</v>
      </c>
      <c r="Y980">
        <v>0</v>
      </c>
      <c r="Z980">
        <v>0</v>
      </c>
      <c r="AA980">
        <v>0</v>
      </c>
      <c r="AB980">
        <v>3</v>
      </c>
      <c r="AC980">
        <v>3</v>
      </c>
      <c r="AD980">
        <v>0</v>
      </c>
      <c r="AE980">
        <v>58</v>
      </c>
      <c r="AF980">
        <v>7</v>
      </c>
      <c r="AG980">
        <v>29</v>
      </c>
      <c r="AH980">
        <v>22</v>
      </c>
      <c r="AI980">
        <v>0</v>
      </c>
      <c r="AJ980">
        <v>56</v>
      </c>
      <c r="AK980">
        <v>1</v>
      </c>
      <c r="AL980">
        <v>0</v>
      </c>
      <c r="AM980">
        <v>71</v>
      </c>
      <c r="AN980">
        <v>26</v>
      </c>
      <c r="AO980">
        <v>13</v>
      </c>
      <c r="AQ980" t="str">
        <f t="shared" si="15"/>
        <v>Defensive Forward</v>
      </c>
    </row>
    <row r="981" spans="1:43" x14ac:dyDescent="0.35">
      <c r="A981" t="s">
        <v>610</v>
      </c>
      <c r="B981" t="s">
        <v>47</v>
      </c>
      <c r="C981" t="s">
        <v>1847</v>
      </c>
      <c r="D981">
        <v>1989</v>
      </c>
      <c r="E981">
        <v>27</v>
      </c>
      <c r="F981" t="s">
        <v>56</v>
      </c>
      <c r="G981" t="s">
        <v>51</v>
      </c>
      <c r="H981">
        <v>1350000</v>
      </c>
      <c r="I981">
        <v>2250000</v>
      </c>
      <c r="J981" t="s">
        <v>52</v>
      </c>
      <c r="K981">
        <v>36</v>
      </c>
      <c r="L981">
        <v>3240</v>
      </c>
      <c r="M981">
        <v>0</v>
      </c>
      <c r="N981">
        <v>1084</v>
      </c>
      <c r="O981">
        <v>2</v>
      </c>
      <c r="P981">
        <v>9</v>
      </c>
      <c r="Q981">
        <v>0</v>
      </c>
      <c r="R981">
        <v>0</v>
      </c>
      <c r="S981">
        <v>0</v>
      </c>
      <c r="T981">
        <v>6</v>
      </c>
      <c r="U981">
        <v>2</v>
      </c>
      <c r="V981">
        <v>0</v>
      </c>
      <c r="W981">
        <v>96</v>
      </c>
      <c r="X981">
        <v>0</v>
      </c>
      <c r="Y981">
        <v>0</v>
      </c>
      <c r="Z981">
        <v>0</v>
      </c>
      <c r="AA981">
        <v>0</v>
      </c>
      <c r="AB981">
        <v>4</v>
      </c>
      <c r="AC981">
        <v>1</v>
      </c>
      <c r="AD981">
        <v>0</v>
      </c>
      <c r="AE981">
        <v>115</v>
      </c>
      <c r="AF981">
        <v>28</v>
      </c>
      <c r="AG981">
        <v>65</v>
      </c>
      <c r="AH981">
        <v>34</v>
      </c>
      <c r="AI981">
        <v>0</v>
      </c>
      <c r="AJ981">
        <v>101</v>
      </c>
      <c r="AK981">
        <v>0</v>
      </c>
      <c r="AL981">
        <v>0</v>
      </c>
      <c r="AM981">
        <v>176</v>
      </c>
      <c r="AN981">
        <v>53</v>
      </c>
      <c r="AO981">
        <v>37</v>
      </c>
      <c r="AQ981" t="str">
        <f t="shared" si="15"/>
        <v>Defensive Forward</v>
      </c>
    </row>
    <row r="982" spans="1:43" x14ac:dyDescent="0.35">
      <c r="A982" t="s">
        <v>610</v>
      </c>
      <c r="B982" t="s">
        <v>43</v>
      </c>
      <c r="C982" t="s">
        <v>1848</v>
      </c>
      <c r="D982">
        <v>1989</v>
      </c>
      <c r="E982">
        <v>28</v>
      </c>
      <c r="F982" t="s">
        <v>56</v>
      </c>
      <c r="G982" t="s">
        <v>51</v>
      </c>
      <c r="H982">
        <v>2250000</v>
      </c>
      <c r="I982">
        <v>4500000</v>
      </c>
      <c r="J982" t="s">
        <v>52</v>
      </c>
      <c r="K982">
        <v>26</v>
      </c>
      <c r="L982">
        <v>2295</v>
      </c>
      <c r="M982">
        <v>0</v>
      </c>
      <c r="N982">
        <v>823</v>
      </c>
      <c r="O982">
        <v>3</v>
      </c>
      <c r="P982">
        <v>1</v>
      </c>
      <c r="Q982">
        <v>0</v>
      </c>
      <c r="R982">
        <v>1</v>
      </c>
      <c r="S982">
        <v>0</v>
      </c>
      <c r="T982">
        <v>1</v>
      </c>
      <c r="U982">
        <v>1</v>
      </c>
      <c r="V982">
        <v>0</v>
      </c>
      <c r="W982">
        <v>55</v>
      </c>
      <c r="X982">
        <v>0</v>
      </c>
      <c r="Y982">
        <v>0</v>
      </c>
      <c r="Z982">
        <v>0</v>
      </c>
      <c r="AA982">
        <v>0</v>
      </c>
      <c r="AB982">
        <v>1</v>
      </c>
      <c r="AC982">
        <v>0</v>
      </c>
      <c r="AD982">
        <v>0</v>
      </c>
      <c r="AE982">
        <v>71</v>
      </c>
      <c r="AF982">
        <v>15</v>
      </c>
      <c r="AG982">
        <v>39</v>
      </c>
      <c r="AH982">
        <v>19</v>
      </c>
      <c r="AI982">
        <v>0</v>
      </c>
      <c r="AJ982">
        <v>55</v>
      </c>
      <c r="AK982">
        <v>0</v>
      </c>
      <c r="AL982">
        <v>0</v>
      </c>
      <c r="AM982">
        <v>112</v>
      </c>
      <c r="AN982">
        <v>0</v>
      </c>
      <c r="AO982">
        <v>29</v>
      </c>
      <c r="AQ982" t="str">
        <f t="shared" si="15"/>
        <v>Defensive Forward</v>
      </c>
    </row>
    <row r="983" spans="1:43" x14ac:dyDescent="0.35">
      <c r="A983" t="s">
        <v>611</v>
      </c>
      <c r="B983" t="s">
        <v>43</v>
      </c>
      <c r="C983" t="s">
        <v>1849</v>
      </c>
      <c r="D983">
        <v>1991</v>
      </c>
      <c r="E983">
        <v>26</v>
      </c>
      <c r="F983" t="s">
        <v>99</v>
      </c>
      <c r="G983" t="s">
        <v>51</v>
      </c>
      <c r="H983">
        <v>16200000</v>
      </c>
      <c r="I983">
        <v>13500000</v>
      </c>
      <c r="J983" t="s">
        <v>55</v>
      </c>
      <c r="K983">
        <v>13</v>
      </c>
      <c r="L983">
        <v>994</v>
      </c>
      <c r="M983">
        <v>0</v>
      </c>
      <c r="N983">
        <v>446</v>
      </c>
      <c r="O983">
        <v>0</v>
      </c>
      <c r="P983">
        <v>2</v>
      </c>
      <c r="Q983">
        <v>0</v>
      </c>
      <c r="R983">
        <v>2</v>
      </c>
      <c r="S983">
        <v>4</v>
      </c>
      <c r="T983">
        <v>11</v>
      </c>
      <c r="U983">
        <v>2</v>
      </c>
      <c r="V983">
        <v>1</v>
      </c>
      <c r="W983">
        <v>9</v>
      </c>
      <c r="X983">
        <v>0</v>
      </c>
      <c r="Y983">
        <v>0</v>
      </c>
      <c r="Z983">
        <v>0</v>
      </c>
      <c r="AA983">
        <v>0</v>
      </c>
      <c r="AB983">
        <v>1</v>
      </c>
      <c r="AC983">
        <v>9</v>
      </c>
      <c r="AD983">
        <v>0</v>
      </c>
      <c r="AE983">
        <v>2</v>
      </c>
      <c r="AF983">
        <v>2</v>
      </c>
      <c r="AG983">
        <v>17</v>
      </c>
      <c r="AH983">
        <v>21</v>
      </c>
      <c r="AI983">
        <v>0</v>
      </c>
      <c r="AJ983">
        <v>19</v>
      </c>
      <c r="AK983">
        <v>0</v>
      </c>
      <c r="AL983">
        <v>0</v>
      </c>
      <c r="AM983">
        <v>24</v>
      </c>
      <c r="AN983">
        <v>20</v>
      </c>
      <c r="AO983">
        <v>15</v>
      </c>
      <c r="AQ983" t="str">
        <f t="shared" si="15"/>
        <v>Midfielder</v>
      </c>
    </row>
    <row r="984" spans="1:43" x14ac:dyDescent="0.35">
      <c r="A984" t="s">
        <v>612</v>
      </c>
      <c r="B984" t="s">
        <v>39</v>
      </c>
      <c r="C984" t="s">
        <v>1850</v>
      </c>
      <c r="D984">
        <v>1987</v>
      </c>
      <c r="E984">
        <v>28</v>
      </c>
      <c r="F984" t="s">
        <v>50</v>
      </c>
      <c r="G984" t="s">
        <v>262</v>
      </c>
      <c r="H984">
        <v>3300000</v>
      </c>
      <c r="I984">
        <v>2700000</v>
      </c>
      <c r="J984" t="s">
        <v>42</v>
      </c>
      <c r="K984">
        <v>15</v>
      </c>
      <c r="L984">
        <v>790</v>
      </c>
      <c r="M984">
        <v>3</v>
      </c>
      <c r="N984">
        <v>263</v>
      </c>
      <c r="O984">
        <v>0</v>
      </c>
      <c r="P984">
        <v>1</v>
      </c>
      <c r="Q984">
        <v>0</v>
      </c>
      <c r="R984">
        <v>6</v>
      </c>
      <c r="S984">
        <v>8</v>
      </c>
      <c r="T984">
        <v>29</v>
      </c>
      <c r="U984">
        <v>11</v>
      </c>
      <c r="V984">
        <v>2</v>
      </c>
      <c r="W984">
        <v>0</v>
      </c>
      <c r="X984">
        <v>0</v>
      </c>
      <c r="Y984">
        <v>0</v>
      </c>
      <c r="Z984">
        <v>1</v>
      </c>
      <c r="AA984">
        <v>0</v>
      </c>
      <c r="AB984">
        <v>0</v>
      </c>
      <c r="AC984">
        <v>0</v>
      </c>
      <c r="AD984">
        <v>27</v>
      </c>
      <c r="AE984">
        <v>61</v>
      </c>
      <c r="AF984">
        <v>0</v>
      </c>
      <c r="AG984">
        <v>7</v>
      </c>
      <c r="AH984">
        <v>12</v>
      </c>
      <c r="AI984">
        <v>0</v>
      </c>
      <c r="AJ984">
        <v>25</v>
      </c>
      <c r="AK984">
        <v>0</v>
      </c>
      <c r="AL984">
        <v>0</v>
      </c>
      <c r="AM984">
        <v>8</v>
      </c>
      <c r="AN984">
        <v>3</v>
      </c>
      <c r="AO984">
        <v>7</v>
      </c>
      <c r="AQ984" t="str">
        <f t="shared" si="15"/>
        <v>Forward</v>
      </c>
    </row>
    <row r="985" spans="1:43" x14ac:dyDescent="0.35">
      <c r="A985" t="s">
        <v>613</v>
      </c>
      <c r="B985" t="s">
        <v>46</v>
      </c>
      <c r="C985" t="s">
        <v>1851</v>
      </c>
      <c r="D985">
        <v>1995</v>
      </c>
      <c r="E985">
        <v>22</v>
      </c>
      <c r="F985" t="s">
        <v>64</v>
      </c>
      <c r="G985" t="s">
        <v>146</v>
      </c>
      <c r="H985">
        <v>55000000</v>
      </c>
      <c r="I985">
        <v>55000000</v>
      </c>
      <c r="J985" t="s">
        <v>55</v>
      </c>
      <c r="K985">
        <v>29</v>
      </c>
      <c r="L985">
        <v>1410</v>
      </c>
      <c r="M985">
        <v>1</v>
      </c>
      <c r="N985">
        <v>663</v>
      </c>
      <c r="O985">
        <v>2</v>
      </c>
      <c r="P985">
        <v>3</v>
      </c>
      <c r="Q985">
        <v>0</v>
      </c>
      <c r="R985">
        <v>14</v>
      </c>
      <c r="S985">
        <v>12</v>
      </c>
      <c r="T985">
        <v>38</v>
      </c>
      <c r="U985">
        <v>8</v>
      </c>
      <c r="V985">
        <v>1</v>
      </c>
      <c r="W985">
        <v>4</v>
      </c>
      <c r="X985">
        <v>0</v>
      </c>
      <c r="Y985">
        <v>0</v>
      </c>
      <c r="Z985">
        <v>0</v>
      </c>
      <c r="AA985">
        <v>1</v>
      </c>
      <c r="AB985">
        <v>0</v>
      </c>
      <c r="AC985">
        <v>30</v>
      </c>
      <c r="AD985">
        <v>19</v>
      </c>
      <c r="AE985">
        <v>24</v>
      </c>
      <c r="AF985">
        <v>0</v>
      </c>
      <c r="AG985">
        <v>15</v>
      </c>
      <c r="AH985">
        <v>10</v>
      </c>
      <c r="AI985">
        <v>0</v>
      </c>
      <c r="AJ985">
        <v>33</v>
      </c>
      <c r="AK985">
        <v>0</v>
      </c>
      <c r="AL985">
        <v>0</v>
      </c>
      <c r="AM985">
        <v>18</v>
      </c>
      <c r="AN985">
        <v>4</v>
      </c>
      <c r="AO985">
        <v>16</v>
      </c>
      <c r="AQ985" t="str">
        <f t="shared" si="15"/>
        <v>Midfielder</v>
      </c>
    </row>
    <row r="986" spans="1:43" x14ac:dyDescent="0.35">
      <c r="A986" t="s">
        <v>614</v>
      </c>
      <c r="B986" t="s">
        <v>39</v>
      </c>
      <c r="C986" t="s">
        <v>1852</v>
      </c>
      <c r="D986">
        <v>1987</v>
      </c>
      <c r="E986">
        <v>28</v>
      </c>
      <c r="F986" t="s">
        <v>84</v>
      </c>
      <c r="G986" t="s">
        <v>172</v>
      </c>
      <c r="H986">
        <v>5850000</v>
      </c>
      <c r="I986">
        <v>8100000</v>
      </c>
      <c r="J986" t="s">
        <v>42</v>
      </c>
      <c r="K986">
        <v>14</v>
      </c>
      <c r="L986">
        <v>899</v>
      </c>
      <c r="M986">
        <v>1</v>
      </c>
      <c r="N986">
        <v>286</v>
      </c>
      <c r="O986">
        <v>0</v>
      </c>
      <c r="P986">
        <v>1</v>
      </c>
      <c r="Q986">
        <v>0</v>
      </c>
      <c r="R986">
        <v>3</v>
      </c>
      <c r="S986">
        <v>11</v>
      </c>
      <c r="T986">
        <v>18</v>
      </c>
      <c r="U986">
        <v>6</v>
      </c>
      <c r="V986">
        <v>0</v>
      </c>
      <c r="W986">
        <v>2</v>
      </c>
      <c r="X986">
        <v>0</v>
      </c>
      <c r="Y986">
        <v>0</v>
      </c>
      <c r="Z986">
        <v>0</v>
      </c>
      <c r="AA986">
        <v>3</v>
      </c>
      <c r="AB986">
        <v>0</v>
      </c>
      <c r="AC986">
        <v>2</v>
      </c>
      <c r="AD986">
        <v>14</v>
      </c>
      <c r="AE986">
        <v>46</v>
      </c>
      <c r="AF986">
        <v>1</v>
      </c>
      <c r="AG986">
        <v>13</v>
      </c>
      <c r="AH986">
        <v>11</v>
      </c>
      <c r="AI986">
        <v>0</v>
      </c>
      <c r="AJ986">
        <v>23</v>
      </c>
      <c r="AK986">
        <v>0</v>
      </c>
      <c r="AL986">
        <v>0</v>
      </c>
      <c r="AM986">
        <v>5</v>
      </c>
      <c r="AN986">
        <v>5</v>
      </c>
      <c r="AO986">
        <v>7</v>
      </c>
      <c r="AQ986" t="str">
        <f t="shared" si="15"/>
        <v>Forward</v>
      </c>
    </row>
    <row r="987" spans="1:43" x14ac:dyDescent="0.35">
      <c r="A987" t="s">
        <v>614</v>
      </c>
      <c r="B987" t="s">
        <v>47</v>
      </c>
      <c r="C987" t="s">
        <v>1853</v>
      </c>
      <c r="D987">
        <v>1987</v>
      </c>
      <c r="E987">
        <v>29</v>
      </c>
      <c r="F987" t="s">
        <v>84</v>
      </c>
      <c r="G987" t="s">
        <v>172</v>
      </c>
      <c r="H987">
        <v>8100000</v>
      </c>
      <c r="I987">
        <v>6300000</v>
      </c>
      <c r="J987" t="s">
        <v>42</v>
      </c>
      <c r="K987">
        <v>11</v>
      </c>
      <c r="L987">
        <v>125</v>
      </c>
      <c r="M987">
        <v>0</v>
      </c>
      <c r="N987">
        <v>54</v>
      </c>
      <c r="O987">
        <v>0</v>
      </c>
      <c r="P987">
        <v>3</v>
      </c>
      <c r="Q987">
        <v>0</v>
      </c>
      <c r="R987">
        <v>11</v>
      </c>
      <c r="S987">
        <v>0</v>
      </c>
      <c r="T987">
        <v>5</v>
      </c>
      <c r="U987">
        <v>2</v>
      </c>
      <c r="V987">
        <v>0</v>
      </c>
      <c r="W987">
        <v>2</v>
      </c>
      <c r="X987">
        <v>0</v>
      </c>
      <c r="Y987">
        <v>0</v>
      </c>
      <c r="Z987">
        <v>0</v>
      </c>
      <c r="AA987">
        <v>2</v>
      </c>
      <c r="AB987">
        <v>0</v>
      </c>
      <c r="AC987">
        <v>0</v>
      </c>
      <c r="AD987">
        <v>5</v>
      </c>
      <c r="AE987">
        <v>8</v>
      </c>
      <c r="AF987">
        <v>0</v>
      </c>
      <c r="AG987">
        <v>3</v>
      </c>
      <c r="AH987">
        <v>4</v>
      </c>
      <c r="AI987">
        <v>0</v>
      </c>
      <c r="AJ987">
        <v>4</v>
      </c>
      <c r="AK987">
        <v>0</v>
      </c>
      <c r="AL987">
        <v>0</v>
      </c>
      <c r="AM987">
        <v>4</v>
      </c>
      <c r="AN987">
        <v>2</v>
      </c>
      <c r="AO987">
        <v>4</v>
      </c>
      <c r="AQ987" t="str">
        <f t="shared" si="15"/>
        <v>Forward</v>
      </c>
    </row>
    <row r="988" spans="1:43" x14ac:dyDescent="0.35">
      <c r="A988" t="s">
        <v>615</v>
      </c>
      <c r="B988" t="s">
        <v>46</v>
      </c>
      <c r="C988" t="s">
        <v>1854</v>
      </c>
      <c r="D988">
        <v>1989</v>
      </c>
      <c r="E988">
        <v>28</v>
      </c>
      <c r="F988" t="s">
        <v>74</v>
      </c>
      <c r="G988" t="s">
        <v>67</v>
      </c>
      <c r="H988">
        <v>3600000</v>
      </c>
      <c r="I988">
        <v>4500000</v>
      </c>
      <c r="J988" t="s">
        <v>52</v>
      </c>
      <c r="K988">
        <v>26</v>
      </c>
      <c r="L988">
        <v>2252</v>
      </c>
      <c r="M988">
        <v>0</v>
      </c>
      <c r="N988">
        <v>1386</v>
      </c>
      <c r="O988">
        <v>1</v>
      </c>
      <c r="P988">
        <v>5</v>
      </c>
      <c r="Q988">
        <v>0</v>
      </c>
      <c r="R988">
        <v>1</v>
      </c>
      <c r="S988">
        <v>2</v>
      </c>
      <c r="T988">
        <v>5</v>
      </c>
      <c r="U988">
        <v>0</v>
      </c>
      <c r="V988">
        <v>0</v>
      </c>
      <c r="W988">
        <v>48</v>
      </c>
      <c r="X988">
        <v>0</v>
      </c>
      <c r="Y988">
        <v>0</v>
      </c>
      <c r="Z988">
        <v>0</v>
      </c>
      <c r="AA988">
        <v>3</v>
      </c>
      <c r="AB988">
        <v>1</v>
      </c>
      <c r="AC988">
        <v>5</v>
      </c>
      <c r="AD988">
        <v>0</v>
      </c>
      <c r="AE988">
        <v>17</v>
      </c>
      <c r="AF988">
        <v>16</v>
      </c>
      <c r="AG988">
        <v>54</v>
      </c>
      <c r="AH988">
        <v>28</v>
      </c>
      <c r="AI988">
        <v>0</v>
      </c>
      <c r="AJ988">
        <v>56</v>
      </c>
      <c r="AK988">
        <v>1</v>
      </c>
      <c r="AL988">
        <v>0</v>
      </c>
      <c r="AM988">
        <v>122</v>
      </c>
      <c r="AN988">
        <v>56</v>
      </c>
      <c r="AO988">
        <v>45</v>
      </c>
      <c r="AQ988" t="str">
        <f t="shared" si="15"/>
        <v>Defensive Forward</v>
      </c>
    </row>
    <row r="989" spans="1:43" x14ac:dyDescent="0.35">
      <c r="A989" t="s">
        <v>616</v>
      </c>
      <c r="B989" t="s">
        <v>39</v>
      </c>
      <c r="C989" t="s">
        <v>1855</v>
      </c>
      <c r="D989">
        <v>1988</v>
      </c>
      <c r="E989">
        <v>26</v>
      </c>
      <c r="F989" t="s">
        <v>220</v>
      </c>
      <c r="G989" t="s">
        <v>617</v>
      </c>
      <c r="H989">
        <v>4500000</v>
      </c>
      <c r="I989">
        <v>3600000</v>
      </c>
      <c r="J989" t="s">
        <v>52</v>
      </c>
      <c r="K989">
        <v>20</v>
      </c>
      <c r="L989">
        <v>1014</v>
      </c>
      <c r="M989">
        <v>0</v>
      </c>
      <c r="N989">
        <v>485</v>
      </c>
      <c r="O989">
        <v>0</v>
      </c>
      <c r="P989">
        <v>0</v>
      </c>
      <c r="Q989">
        <v>0</v>
      </c>
      <c r="R989">
        <v>10</v>
      </c>
      <c r="S989">
        <v>2</v>
      </c>
      <c r="T989">
        <v>2</v>
      </c>
      <c r="U989">
        <v>2</v>
      </c>
      <c r="V989">
        <v>0</v>
      </c>
      <c r="W989">
        <v>27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7</v>
      </c>
      <c r="AF989">
        <v>9</v>
      </c>
      <c r="AG989">
        <v>33</v>
      </c>
      <c r="AH989">
        <v>7</v>
      </c>
      <c r="AI989">
        <v>2</v>
      </c>
      <c r="AJ989">
        <v>13</v>
      </c>
      <c r="AK989">
        <v>3</v>
      </c>
      <c r="AL989">
        <v>0</v>
      </c>
      <c r="AM989">
        <v>67</v>
      </c>
      <c r="AN989">
        <v>22</v>
      </c>
      <c r="AO989">
        <v>10</v>
      </c>
      <c r="AQ989" t="str">
        <f t="shared" si="15"/>
        <v>Defensive Forward</v>
      </c>
    </row>
    <row r="990" spans="1:43" x14ac:dyDescent="0.35">
      <c r="A990" t="s">
        <v>616</v>
      </c>
      <c r="B990" t="s">
        <v>43</v>
      </c>
      <c r="C990" t="s">
        <v>1856</v>
      </c>
      <c r="D990">
        <v>1988</v>
      </c>
      <c r="E990">
        <v>28</v>
      </c>
      <c r="F990" t="s">
        <v>220</v>
      </c>
      <c r="G990" t="s">
        <v>617</v>
      </c>
      <c r="H990">
        <v>4500000</v>
      </c>
      <c r="I990">
        <v>6300000</v>
      </c>
      <c r="J990" t="s">
        <v>52</v>
      </c>
      <c r="K990">
        <v>24</v>
      </c>
      <c r="L990">
        <v>2051</v>
      </c>
      <c r="M990">
        <v>2</v>
      </c>
      <c r="N990">
        <v>1062</v>
      </c>
      <c r="O990">
        <v>0</v>
      </c>
      <c r="P990">
        <v>2</v>
      </c>
      <c r="Q990">
        <v>1</v>
      </c>
      <c r="R990">
        <v>1</v>
      </c>
      <c r="S990">
        <v>1</v>
      </c>
      <c r="T990">
        <v>19</v>
      </c>
      <c r="U990">
        <v>4</v>
      </c>
      <c r="V990">
        <v>1</v>
      </c>
      <c r="W990">
        <v>83</v>
      </c>
      <c r="X990">
        <v>1</v>
      </c>
      <c r="Y990">
        <v>0</v>
      </c>
      <c r="Z990">
        <v>0</v>
      </c>
      <c r="AA990">
        <v>0</v>
      </c>
      <c r="AB990">
        <v>0</v>
      </c>
      <c r="AC990">
        <v>15</v>
      </c>
      <c r="AD990">
        <v>0</v>
      </c>
      <c r="AE990">
        <v>2</v>
      </c>
      <c r="AF990">
        <v>14</v>
      </c>
      <c r="AG990">
        <v>41</v>
      </c>
      <c r="AH990">
        <v>19</v>
      </c>
      <c r="AI990">
        <v>1</v>
      </c>
      <c r="AJ990">
        <v>27</v>
      </c>
      <c r="AK990">
        <v>0</v>
      </c>
      <c r="AL990">
        <v>0</v>
      </c>
      <c r="AM990">
        <v>130</v>
      </c>
      <c r="AN990">
        <v>67</v>
      </c>
      <c r="AO990">
        <v>39</v>
      </c>
      <c r="AQ990" t="str">
        <f t="shared" si="15"/>
        <v>Defensive Forward</v>
      </c>
    </row>
    <row r="991" spans="1:43" x14ac:dyDescent="0.35">
      <c r="A991" t="s">
        <v>616</v>
      </c>
      <c r="B991" t="s">
        <v>47</v>
      </c>
      <c r="C991" t="s">
        <v>1857</v>
      </c>
      <c r="D991">
        <v>1988</v>
      </c>
      <c r="E991">
        <v>27</v>
      </c>
      <c r="F991" t="s">
        <v>220</v>
      </c>
      <c r="G991" t="s">
        <v>617</v>
      </c>
      <c r="H991">
        <v>3600000</v>
      </c>
      <c r="I991">
        <v>4500000</v>
      </c>
      <c r="J991" t="s">
        <v>52</v>
      </c>
      <c r="K991">
        <v>23</v>
      </c>
      <c r="L991">
        <v>2070</v>
      </c>
      <c r="M991">
        <v>1</v>
      </c>
      <c r="N991">
        <v>1126</v>
      </c>
      <c r="O991">
        <v>0</v>
      </c>
      <c r="P991">
        <v>2</v>
      </c>
      <c r="Q991">
        <v>0</v>
      </c>
      <c r="R991">
        <v>0</v>
      </c>
      <c r="S991">
        <v>0</v>
      </c>
      <c r="T991">
        <v>15</v>
      </c>
      <c r="U991">
        <v>7</v>
      </c>
      <c r="V991">
        <v>0</v>
      </c>
      <c r="W991">
        <v>81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8</v>
      </c>
      <c r="AF991">
        <v>14</v>
      </c>
      <c r="AG991">
        <v>47</v>
      </c>
      <c r="AH991">
        <v>18</v>
      </c>
      <c r="AI991">
        <v>0</v>
      </c>
      <c r="AJ991">
        <v>30</v>
      </c>
      <c r="AK991">
        <v>0</v>
      </c>
      <c r="AL991">
        <v>0</v>
      </c>
      <c r="AM991">
        <v>144</v>
      </c>
      <c r="AN991">
        <v>75</v>
      </c>
      <c r="AO991">
        <v>56</v>
      </c>
      <c r="AQ991" t="str">
        <f t="shared" si="15"/>
        <v>Defensive Forward</v>
      </c>
    </row>
    <row r="992" spans="1:43" x14ac:dyDescent="0.35">
      <c r="A992" t="s">
        <v>616</v>
      </c>
      <c r="B992" t="s">
        <v>46</v>
      </c>
      <c r="C992" t="s">
        <v>1858</v>
      </c>
      <c r="D992">
        <v>1988</v>
      </c>
      <c r="E992">
        <v>29</v>
      </c>
      <c r="F992" t="s">
        <v>220</v>
      </c>
      <c r="G992" t="s">
        <v>617</v>
      </c>
      <c r="H992">
        <v>6300000</v>
      </c>
      <c r="I992">
        <v>6300000</v>
      </c>
      <c r="J992" t="s">
        <v>52</v>
      </c>
      <c r="K992">
        <v>17</v>
      </c>
      <c r="L992">
        <v>1519</v>
      </c>
      <c r="M992">
        <v>0</v>
      </c>
      <c r="N992">
        <v>556</v>
      </c>
      <c r="O992">
        <v>0</v>
      </c>
      <c r="P992">
        <v>0</v>
      </c>
      <c r="Q992">
        <v>0</v>
      </c>
      <c r="R992">
        <v>0</v>
      </c>
      <c r="S992">
        <v>2</v>
      </c>
      <c r="T992">
        <v>13</v>
      </c>
      <c r="U992">
        <v>3</v>
      </c>
      <c r="V992">
        <v>0</v>
      </c>
      <c r="W992">
        <v>44</v>
      </c>
      <c r="X992">
        <v>0</v>
      </c>
      <c r="Y992">
        <v>0</v>
      </c>
      <c r="Z992">
        <v>0</v>
      </c>
      <c r="AA992">
        <v>2</v>
      </c>
      <c r="AB992">
        <v>0</v>
      </c>
      <c r="AC992">
        <v>10</v>
      </c>
      <c r="AD992">
        <v>0</v>
      </c>
      <c r="AE992">
        <v>0</v>
      </c>
      <c r="AF992">
        <v>20</v>
      </c>
      <c r="AG992">
        <v>42</v>
      </c>
      <c r="AH992">
        <v>4</v>
      </c>
      <c r="AI992">
        <v>0</v>
      </c>
      <c r="AJ992">
        <v>16</v>
      </c>
      <c r="AK992">
        <v>0</v>
      </c>
      <c r="AL992">
        <v>0</v>
      </c>
      <c r="AM992">
        <v>100</v>
      </c>
      <c r="AN992">
        <v>35</v>
      </c>
      <c r="AO992">
        <v>29</v>
      </c>
      <c r="AQ992" t="str">
        <f t="shared" si="15"/>
        <v>Defensive Forward</v>
      </c>
    </row>
    <row r="993" spans="1:43" x14ac:dyDescent="0.35">
      <c r="A993" t="s">
        <v>618</v>
      </c>
      <c r="B993" t="s">
        <v>39</v>
      </c>
      <c r="C993" t="s">
        <v>1859</v>
      </c>
      <c r="D993">
        <v>1994</v>
      </c>
      <c r="E993">
        <v>21</v>
      </c>
      <c r="F993" t="s">
        <v>129</v>
      </c>
      <c r="G993" t="s">
        <v>216</v>
      </c>
      <c r="H993">
        <v>30800000</v>
      </c>
      <c r="I993">
        <v>22500000</v>
      </c>
      <c r="J993" t="s">
        <v>42</v>
      </c>
      <c r="K993">
        <v>29</v>
      </c>
      <c r="L993">
        <v>1474</v>
      </c>
      <c r="M993">
        <v>2</v>
      </c>
      <c r="N993">
        <v>642</v>
      </c>
      <c r="O993">
        <v>0</v>
      </c>
      <c r="P993">
        <v>2</v>
      </c>
      <c r="Q993">
        <v>0</v>
      </c>
      <c r="R993">
        <v>13</v>
      </c>
      <c r="S993">
        <v>6</v>
      </c>
      <c r="T993">
        <v>57</v>
      </c>
      <c r="U993">
        <v>17</v>
      </c>
      <c r="V993">
        <v>2</v>
      </c>
      <c r="W993">
        <v>5</v>
      </c>
      <c r="X993">
        <v>0</v>
      </c>
      <c r="Y993">
        <v>0</v>
      </c>
      <c r="Z993">
        <v>0</v>
      </c>
      <c r="AA993">
        <v>8</v>
      </c>
      <c r="AB993">
        <v>0</v>
      </c>
      <c r="AC993">
        <v>5</v>
      </c>
      <c r="AD993">
        <v>38</v>
      </c>
      <c r="AE993">
        <v>89</v>
      </c>
      <c r="AF993">
        <v>1</v>
      </c>
      <c r="AG993">
        <v>10</v>
      </c>
      <c r="AH993">
        <v>20</v>
      </c>
      <c r="AI993">
        <v>0</v>
      </c>
      <c r="AJ993">
        <v>13</v>
      </c>
      <c r="AK993">
        <v>0</v>
      </c>
      <c r="AL993">
        <v>0</v>
      </c>
      <c r="AM993">
        <v>8</v>
      </c>
      <c r="AN993">
        <v>8</v>
      </c>
      <c r="AO993">
        <v>16</v>
      </c>
      <c r="AQ993" t="str">
        <f t="shared" si="15"/>
        <v>Forward</v>
      </c>
    </row>
    <row r="994" spans="1:43" x14ac:dyDescent="0.35">
      <c r="A994" t="s">
        <v>619</v>
      </c>
      <c r="B994" t="s">
        <v>39</v>
      </c>
      <c r="C994" t="s">
        <v>1860</v>
      </c>
      <c r="D994">
        <v>1988</v>
      </c>
      <c r="E994">
        <v>26</v>
      </c>
      <c r="F994" t="s">
        <v>61</v>
      </c>
      <c r="G994" t="s">
        <v>146</v>
      </c>
      <c r="H994">
        <v>55000000</v>
      </c>
      <c r="I994">
        <v>49500000</v>
      </c>
      <c r="J994" t="s">
        <v>55</v>
      </c>
      <c r="K994">
        <v>35</v>
      </c>
      <c r="L994">
        <v>3047</v>
      </c>
      <c r="M994">
        <v>6</v>
      </c>
      <c r="N994">
        <v>2276</v>
      </c>
      <c r="O994">
        <v>19</v>
      </c>
      <c r="P994">
        <v>4</v>
      </c>
      <c r="Q994">
        <v>0</v>
      </c>
      <c r="R994">
        <v>0</v>
      </c>
      <c r="S994">
        <v>14</v>
      </c>
      <c r="T994">
        <v>47</v>
      </c>
      <c r="U994">
        <v>20</v>
      </c>
      <c r="V994">
        <v>3</v>
      </c>
      <c r="W994">
        <v>4</v>
      </c>
      <c r="X994">
        <v>0</v>
      </c>
      <c r="Y994">
        <v>0</v>
      </c>
      <c r="Z994">
        <v>0</v>
      </c>
      <c r="AA994">
        <v>15</v>
      </c>
      <c r="AB994">
        <v>42</v>
      </c>
      <c r="AC994">
        <v>8</v>
      </c>
      <c r="AD994">
        <v>144</v>
      </c>
      <c r="AE994">
        <v>228</v>
      </c>
      <c r="AF994">
        <v>0</v>
      </c>
      <c r="AG994">
        <v>22</v>
      </c>
      <c r="AH994">
        <v>20</v>
      </c>
      <c r="AI994">
        <v>0</v>
      </c>
      <c r="AJ994">
        <v>35</v>
      </c>
      <c r="AK994">
        <v>0</v>
      </c>
      <c r="AL994">
        <v>0</v>
      </c>
      <c r="AM994">
        <v>10</v>
      </c>
      <c r="AN994">
        <v>4</v>
      </c>
      <c r="AO994">
        <v>15</v>
      </c>
      <c r="AQ994" t="str">
        <f t="shared" si="15"/>
        <v>Midfielder</v>
      </c>
    </row>
    <row r="995" spans="1:43" x14ac:dyDescent="0.35">
      <c r="A995" t="s">
        <v>619</v>
      </c>
      <c r="B995" t="s">
        <v>43</v>
      </c>
      <c r="C995" t="s">
        <v>1861</v>
      </c>
      <c r="D995">
        <v>1988</v>
      </c>
      <c r="E995">
        <v>29</v>
      </c>
      <c r="F995" t="s">
        <v>61</v>
      </c>
      <c r="G995" t="s">
        <v>146</v>
      </c>
      <c r="H995">
        <v>49500000</v>
      </c>
      <c r="I995">
        <v>27500000</v>
      </c>
      <c r="J995" t="s">
        <v>55</v>
      </c>
      <c r="K995">
        <v>26</v>
      </c>
      <c r="L995">
        <v>2164</v>
      </c>
      <c r="M995">
        <v>4</v>
      </c>
      <c r="N995">
        <v>1809</v>
      </c>
      <c r="O995">
        <v>8</v>
      </c>
      <c r="P995">
        <v>4</v>
      </c>
      <c r="Q995">
        <v>0</v>
      </c>
      <c r="R995">
        <v>2</v>
      </c>
      <c r="S995">
        <v>3</v>
      </c>
      <c r="T995">
        <v>39</v>
      </c>
      <c r="U995">
        <v>14</v>
      </c>
      <c r="V995">
        <v>0</v>
      </c>
      <c r="W995">
        <v>2</v>
      </c>
      <c r="X995">
        <v>1</v>
      </c>
      <c r="Y995">
        <v>0</v>
      </c>
      <c r="Z995">
        <v>0</v>
      </c>
      <c r="AA995">
        <v>12</v>
      </c>
      <c r="AB995">
        <v>18</v>
      </c>
      <c r="AC995">
        <v>25</v>
      </c>
      <c r="AD995">
        <v>76</v>
      </c>
      <c r="AE995">
        <v>98</v>
      </c>
      <c r="AF995">
        <v>1</v>
      </c>
      <c r="AG995">
        <v>12</v>
      </c>
      <c r="AH995">
        <v>18</v>
      </c>
      <c r="AI995">
        <v>0</v>
      </c>
      <c r="AJ995">
        <v>20</v>
      </c>
      <c r="AK995">
        <v>0</v>
      </c>
      <c r="AL995">
        <v>0</v>
      </c>
      <c r="AM995">
        <v>5</v>
      </c>
      <c r="AN995">
        <v>1</v>
      </c>
      <c r="AO995">
        <v>12</v>
      </c>
      <c r="AQ995" t="str">
        <f t="shared" si="15"/>
        <v>Midfielder</v>
      </c>
    </row>
    <row r="996" spans="1:43" x14ac:dyDescent="0.35">
      <c r="A996" t="s">
        <v>619</v>
      </c>
      <c r="B996" t="s">
        <v>46</v>
      </c>
      <c r="C996" t="s">
        <v>1862</v>
      </c>
      <c r="D996">
        <v>1988</v>
      </c>
      <c r="E996">
        <v>29</v>
      </c>
      <c r="F996" t="s">
        <v>61</v>
      </c>
      <c r="G996" t="s">
        <v>146</v>
      </c>
      <c r="H996">
        <v>4400000</v>
      </c>
      <c r="I996">
        <v>3300000</v>
      </c>
      <c r="J996" t="s">
        <v>55</v>
      </c>
      <c r="K996">
        <v>24</v>
      </c>
      <c r="L996">
        <v>1741</v>
      </c>
      <c r="M996">
        <v>5</v>
      </c>
      <c r="N996">
        <v>1118</v>
      </c>
      <c r="O996">
        <v>2</v>
      </c>
      <c r="P996">
        <v>0</v>
      </c>
      <c r="Q996">
        <v>0</v>
      </c>
      <c r="R996">
        <v>4</v>
      </c>
      <c r="S996">
        <v>10</v>
      </c>
      <c r="T996">
        <v>11</v>
      </c>
      <c r="U996">
        <v>6</v>
      </c>
      <c r="V996">
        <v>1</v>
      </c>
      <c r="W996">
        <v>2</v>
      </c>
      <c r="X996">
        <v>0</v>
      </c>
      <c r="Y996">
        <v>0</v>
      </c>
      <c r="Z996">
        <v>0</v>
      </c>
      <c r="AA996">
        <v>10</v>
      </c>
      <c r="AB996">
        <v>7</v>
      </c>
      <c r="AC996">
        <v>5</v>
      </c>
      <c r="AD996">
        <v>38</v>
      </c>
      <c r="AE996">
        <v>42</v>
      </c>
      <c r="AF996">
        <v>2</v>
      </c>
      <c r="AG996">
        <v>4</v>
      </c>
      <c r="AH996">
        <v>10</v>
      </c>
      <c r="AI996">
        <v>0</v>
      </c>
      <c r="AJ996">
        <v>12</v>
      </c>
      <c r="AK996">
        <v>0</v>
      </c>
      <c r="AL996">
        <v>0</v>
      </c>
      <c r="AM996">
        <v>4</v>
      </c>
      <c r="AN996">
        <v>5</v>
      </c>
      <c r="AO996">
        <v>13</v>
      </c>
      <c r="AQ996" t="str">
        <f t="shared" si="15"/>
        <v>Midfielder</v>
      </c>
    </row>
    <row r="997" spans="1:43" x14ac:dyDescent="0.35">
      <c r="A997" t="s">
        <v>619</v>
      </c>
      <c r="B997" t="s">
        <v>47</v>
      </c>
      <c r="C997" t="s">
        <v>1863</v>
      </c>
      <c r="D997">
        <v>1988</v>
      </c>
      <c r="E997">
        <v>28</v>
      </c>
      <c r="F997" t="s">
        <v>61</v>
      </c>
      <c r="G997" t="s">
        <v>146</v>
      </c>
      <c r="H997">
        <v>44000000</v>
      </c>
      <c r="I997">
        <v>55000000</v>
      </c>
      <c r="J997" t="s">
        <v>55</v>
      </c>
      <c r="K997">
        <v>33</v>
      </c>
      <c r="L997">
        <v>2847</v>
      </c>
      <c r="M997">
        <v>8</v>
      </c>
      <c r="N997">
        <v>2110</v>
      </c>
      <c r="O997">
        <v>9</v>
      </c>
      <c r="P997">
        <v>2</v>
      </c>
      <c r="Q997">
        <v>0</v>
      </c>
      <c r="R997">
        <v>1</v>
      </c>
      <c r="S997">
        <v>8</v>
      </c>
      <c r="T997">
        <v>40</v>
      </c>
      <c r="U997">
        <v>18</v>
      </c>
      <c r="V997">
        <v>0</v>
      </c>
      <c r="W997">
        <v>3</v>
      </c>
      <c r="X997">
        <v>2</v>
      </c>
      <c r="Y997">
        <v>0</v>
      </c>
      <c r="Z997">
        <v>0</v>
      </c>
      <c r="AA997">
        <v>20</v>
      </c>
      <c r="AB997">
        <v>16</v>
      </c>
      <c r="AC997">
        <v>4</v>
      </c>
      <c r="AD997">
        <v>143</v>
      </c>
      <c r="AE997">
        <v>187</v>
      </c>
      <c r="AF997">
        <v>1</v>
      </c>
      <c r="AG997">
        <v>15</v>
      </c>
      <c r="AH997">
        <v>14</v>
      </c>
      <c r="AI997">
        <v>0</v>
      </c>
      <c r="AJ997">
        <v>26</v>
      </c>
      <c r="AK997">
        <v>0</v>
      </c>
      <c r="AL997">
        <v>0</v>
      </c>
      <c r="AM997">
        <v>9</v>
      </c>
      <c r="AN997">
        <v>7</v>
      </c>
      <c r="AO997">
        <v>16</v>
      </c>
      <c r="AQ997" t="str">
        <f t="shared" si="15"/>
        <v>Midfielder</v>
      </c>
    </row>
    <row r="998" spans="1:43" x14ac:dyDescent="0.35">
      <c r="A998" t="s">
        <v>620</v>
      </c>
      <c r="B998" t="s">
        <v>39</v>
      </c>
      <c r="C998" t="s">
        <v>1864</v>
      </c>
      <c r="D998">
        <v>1988</v>
      </c>
      <c r="E998">
        <v>27</v>
      </c>
      <c r="F998" t="s">
        <v>89</v>
      </c>
      <c r="G998" t="s">
        <v>51</v>
      </c>
      <c r="H998">
        <v>5000000</v>
      </c>
      <c r="I998">
        <v>4000000</v>
      </c>
      <c r="J998" t="s">
        <v>52</v>
      </c>
      <c r="K998">
        <v>23</v>
      </c>
      <c r="L998">
        <v>2044</v>
      </c>
      <c r="M998">
        <v>1</v>
      </c>
      <c r="N998">
        <v>717</v>
      </c>
      <c r="O998">
        <v>1</v>
      </c>
      <c r="P998">
        <v>3</v>
      </c>
      <c r="Q998">
        <v>0</v>
      </c>
      <c r="R998">
        <v>1</v>
      </c>
      <c r="S998">
        <v>3</v>
      </c>
      <c r="T998">
        <v>11</v>
      </c>
      <c r="U998">
        <v>2</v>
      </c>
      <c r="V998">
        <v>0</v>
      </c>
      <c r="W998">
        <v>92</v>
      </c>
      <c r="X998">
        <v>0</v>
      </c>
      <c r="Y998">
        <v>0</v>
      </c>
      <c r="Z998">
        <v>0</v>
      </c>
      <c r="AA998">
        <v>0</v>
      </c>
      <c r="AB998">
        <v>1</v>
      </c>
      <c r="AC998">
        <v>2</v>
      </c>
      <c r="AD998">
        <v>0</v>
      </c>
      <c r="AE998">
        <v>2</v>
      </c>
      <c r="AF998">
        <v>15</v>
      </c>
      <c r="AG998">
        <v>61</v>
      </c>
      <c r="AH998">
        <v>16</v>
      </c>
      <c r="AI998">
        <v>0</v>
      </c>
      <c r="AJ998">
        <v>42</v>
      </c>
      <c r="AK998">
        <v>1</v>
      </c>
      <c r="AL998">
        <v>0</v>
      </c>
      <c r="AM998">
        <v>142</v>
      </c>
      <c r="AN998">
        <v>61</v>
      </c>
      <c r="AO998">
        <v>22</v>
      </c>
      <c r="AQ998" t="str">
        <f t="shared" si="15"/>
        <v>Defensive Forward</v>
      </c>
    </row>
    <row r="999" spans="1:43" x14ac:dyDescent="0.35">
      <c r="A999" t="s">
        <v>621</v>
      </c>
      <c r="B999" t="s">
        <v>39</v>
      </c>
      <c r="C999" t="s">
        <v>1865</v>
      </c>
      <c r="D999">
        <v>1981</v>
      </c>
      <c r="E999">
        <v>34</v>
      </c>
      <c r="F999" t="s">
        <v>129</v>
      </c>
      <c r="G999" t="s">
        <v>51</v>
      </c>
      <c r="H999">
        <v>3300000</v>
      </c>
      <c r="I999">
        <v>1650000</v>
      </c>
      <c r="J999" t="s">
        <v>55</v>
      </c>
      <c r="K999">
        <v>28</v>
      </c>
      <c r="L999">
        <v>1975</v>
      </c>
      <c r="M999">
        <v>0</v>
      </c>
      <c r="N999">
        <v>1568</v>
      </c>
      <c r="O999">
        <v>0</v>
      </c>
      <c r="P999">
        <v>4</v>
      </c>
      <c r="Q999">
        <v>0</v>
      </c>
      <c r="R999">
        <v>6</v>
      </c>
      <c r="S999">
        <v>7</v>
      </c>
      <c r="T999">
        <v>7</v>
      </c>
      <c r="U999">
        <v>1</v>
      </c>
      <c r="V999">
        <v>1</v>
      </c>
      <c r="W999">
        <v>16</v>
      </c>
      <c r="X999">
        <v>0</v>
      </c>
      <c r="Y999">
        <v>0</v>
      </c>
      <c r="Z999">
        <v>0</v>
      </c>
      <c r="AA999">
        <v>0</v>
      </c>
      <c r="AB999">
        <v>4</v>
      </c>
      <c r="AC999">
        <v>0</v>
      </c>
      <c r="AD999">
        <v>0</v>
      </c>
      <c r="AE999">
        <v>6</v>
      </c>
      <c r="AF999">
        <v>3</v>
      </c>
      <c r="AG999">
        <v>44</v>
      </c>
      <c r="AH999">
        <v>11</v>
      </c>
      <c r="AI999">
        <v>0</v>
      </c>
      <c r="AJ999">
        <v>43</v>
      </c>
      <c r="AK999">
        <v>0</v>
      </c>
      <c r="AL999">
        <v>0</v>
      </c>
      <c r="AM999">
        <v>36</v>
      </c>
      <c r="AN999">
        <v>16</v>
      </c>
      <c r="AO999">
        <v>10</v>
      </c>
      <c r="AQ999" t="str">
        <f t="shared" si="15"/>
        <v>Midfielder</v>
      </c>
    </row>
    <row r="1000" spans="1:43" x14ac:dyDescent="0.35">
      <c r="A1000" t="s">
        <v>621</v>
      </c>
      <c r="B1000" t="s">
        <v>47</v>
      </c>
      <c r="C1000" t="s">
        <v>1866</v>
      </c>
      <c r="D1000">
        <v>1981</v>
      </c>
      <c r="E1000">
        <v>35</v>
      </c>
      <c r="F1000" t="s">
        <v>129</v>
      </c>
      <c r="G1000" t="s">
        <v>51</v>
      </c>
      <c r="H1000">
        <v>18000000</v>
      </c>
      <c r="I1000">
        <v>15000000</v>
      </c>
      <c r="J1000" t="s">
        <v>55</v>
      </c>
      <c r="K1000">
        <v>23</v>
      </c>
      <c r="L1000">
        <v>1599</v>
      </c>
      <c r="M1000">
        <v>0</v>
      </c>
      <c r="N1000">
        <v>1263</v>
      </c>
      <c r="O1000">
        <v>0</v>
      </c>
      <c r="P1000">
        <v>2</v>
      </c>
      <c r="Q1000">
        <v>0</v>
      </c>
      <c r="R1000">
        <v>5</v>
      </c>
      <c r="S1000">
        <v>4</v>
      </c>
      <c r="T1000">
        <v>8</v>
      </c>
      <c r="U1000">
        <v>0</v>
      </c>
      <c r="V1000">
        <v>0</v>
      </c>
      <c r="W1000">
        <v>18</v>
      </c>
      <c r="X1000">
        <v>0</v>
      </c>
      <c r="Y1000">
        <v>0</v>
      </c>
      <c r="Z1000">
        <v>0</v>
      </c>
      <c r="AA1000">
        <v>0</v>
      </c>
      <c r="AB1000">
        <v>4</v>
      </c>
      <c r="AC1000">
        <v>0</v>
      </c>
      <c r="AD1000">
        <v>0</v>
      </c>
      <c r="AE1000">
        <v>4</v>
      </c>
      <c r="AF1000">
        <v>8</v>
      </c>
      <c r="AG1000">
        <v>41</v>
      </c>
      <c r="AH1000">
        <v>5</v>
      </c>
      <c r="AI1000">
        <v>0</v>
      </c>
      <c r="AJ1000">
        <v>26</v>
      </c>
      <c r="AK1000">
        <v>0</v>
      </c>
      <c r="AL1000">
        <v>0</v>
      </c>
      <c r="AM1000">
        <v>37</v>
      </c>
      <c r="AN1000">
        <v>10</v>
      </c>
      <c r="AO1000">
        <v>8</v>
      </c>
      <c r="AQ1000" t="str">
        <f t="shared" si="15"/>
        <v>Midfielder</v>
      </c>
    </row>
    <row r="1001" spans="1:43" x14ac:dyDescent="0.35">
      <c r="A1001" t="s">
        <v>622</v>
      </c>
      <c r="B1001" t="s">
        <v>47</v>
      </c>
      <c r="C1001" t="s">
        <v>1867</v>
      </c>
      <c r="D1001">
        <v>1983</v>
      </c>
      <c r="E1001">
        <v>32</v>
      </c>
      <c r="F1001" t="s">
        <v>71</v>
      </c>
      <c r="G1001" t="s">
        <v>51</v>
      </c>
      <c r="H1001">
        <v>3850000</v>
      </c>
      <c r="I1001">
        <v>2750000</v>
      </c>
      <c r="J1001" t="s">
        <v>52</v>
      </c>
      <c r="K1001">
        <v>22</v>
      </c>
      <c r="L1001">
        <v>1721</v>
      </c>
      <c r="M1001">
        <v>3</v>
      </c>
      <c r="N1001">
        <v>656</v>
      </c>
      <c r="O1001">
        <v>0</v>
      </c>
      <c r="P1001">
        <v>4</v>
      </c>
      <c r="Q1001">
        <v>0</v>
      </c>
      <c r="R1001">
        <v>3</v>
      </c>
      <c r="S1001">
        <v>0</v>
      </c>
      <c r="T1001">
        <v>12</v>
      </c>
      <c r="U1001">
        <v>8</v>
      </c>
      <c r="V1001">
        <v>0</v>
      </c>
      <c r="W1001">
        <v>78</v>
      </c>
      <c r="X1001">
        <v>1</v>
      </c>
      <c r="Y1001">
        <v>0</v>
      </c>
      <c r="Z1001">
        <v>0</v>
      </c>
      <c r="AA1001">
        <v>1</v>
      </c>
      <c r="AB1001">
        <v>0</v>
      </c>
      <c r="AC1001">
        <v>1</v>
      </c>
      <c r="AD1001">
        <v>0</v>
      </c>
      <c r="AE1001">
        <v>0</v>
      </c>
      <c r="AF1001">
        <v>32</v>
      </c>
      <c r="AG1001">
        <v>30</v>
      </c>
      <c r="AH1001">
        <v>13</v>
      </c>
      <c r="AI1001">
        <v>0</v>
      </c>
      <c r="AJ1001">
        <v>15</v>
      </c>
      <c r="AK1001">
        <v>0</v>
      </c>
      <c r="AL1001">
        <v>1</v>
      </c>
      <c r="AM1001">
        <v>129</v>
      </c>
      <c r="AN1001">
        <v>46</v>
      </c>
      <c r="AO1001">
        <v>33</v>
      </c>
      <c r="AQ1001" t="str">
        <f t="shared" si="15"/>
        <v>Defensive Forward</v>
      </c>
    </row>
    <row r="1002" spans="1:43" x14ac:dyDescent="0.35">
      <c r="A1002" t="s">
        <v>623</v>
      </c>
      <c r="B1002" t="s">
        <v>47</v>
      </c>
      <c r="C1002" t="s">
        <v>1868</v>
      </c>
      <c r="D1002">
        <v>1993</v>
      </c>
      <c r="E1002">
        <v>23</v>
      </c>
      <c r="F1002" t="s">
        <v>56</v>
      </c>
      <c r="G1002" t="s">
        <v>51</v>
      </c>
      <c r="H1002">
        <v>7200000</v>
      </c>
      <c r="I1002">
        <v>16200000</v>
      </c>
      <c r="J1002" t="s">
        <v>52</v>
      </c>
      <c r="K1002">
        <v>35</v>
      </c>
      <c r="L1002">
        <v>3150</v>
      </c>
      <c r="M1002">
        <v>2</v>
      </c>
      <c r="N1002">
        <v>1128</v>
      </c>
      <c r="O1002">
        <v>1</v>
      </c>
      <c r="P1002">
        <v>4</v>
      </c>
      <c r="Q1002">
        <v>0</v>
      </c>
      <c r="R1002">
        <v>0</v>
      </c>
      <c r="S1002">
        <v>0</v>
      </c>
      <c r="T1002">
        <v>23</v>
      </c>
      <c r="U1002">
        <v>8</v>
      </c>
      <c r="V1002">
        <v>0</v>
      </c>
      <c r="W1002">
        <v>176</v>
      </c>
      <c r="X1002">
        <v>1</v>
      </c>
      <c r="Y1002">
        <v>0</v>
      </c>
      <c r="Z1002">
        <v>0</v>
      </c>
      <c r="AA1002">
        <v>1</v>
      </c>
      <c r="AB1002">
        <v>0</v>
      </c>
      <c r="AC1002">
        <v>0</v>
      </c>
      <c r="AD1002">
        <v>0</v>
      </c>
      <c r="AE1002">
        <v>3</v>
      </c>
      <c r="AF1002">
        <v>44</v>
      </c>
      <c r="AG1002">
        <v>63</v>
      </c>
      <c r="AH1002">
        <v>14</v>
      </c>
      <c r="AI1002">
        <v>0</v>
      </c>
      <c r="AJ1002">
        <v>28</v>
      </c>
      <c r="AK1002">
        <v>0</v>
      </c>
      <c r="AL1002">
        <v>0</v>
      </c>
      <c r="AM1002">
        <v>260</v>
      </c>
      <c r="AN1002">
        <v>152</v>
      </c>
      <c r="AO1002">
        <v>78</v>
      </c>
      <c r="AQ1002" t="str">
        <f t="shared" si="15"/>
        <v>Defensive Forward</v>
      </c>
    </row>
    <row r="1003" spans="1:43" x14ac:dyDescent="0.35">
      <c r="A1003" t="s">
        <v>623</v>
      </c>
      <c r="B1003" t="s">
        <v>46</v>
      </c>
      <c r="C1003" t="s">
        <v>1869</v>
      </c>
      <c r="D1003">
        <v>1993</v>
      </c>
      <c r="E1003">
        <v>25</v>
      </c>
      <c r="F1003" t="s">
        <v>54</v>
      </c>
      <c r="G1003" t="s">
        <v>51</v>
      </c>
      <c r="H1003">
        <v>18000000</v>
      </c>
      <c r="I1003">
        <v>27000000</v>
      </c>
      <c r="J1003" t="s">
        <v>52</v>
      </c>
      <c r="K1003">
        <v>33</v>
      </c>
      <c r="L1003">
        <v>2969</v>
      </c>
      <c r="M1003">
        <v>1</v>
      </c>
      <c r="N1003">
        <v>1592</v>
      </c>
      <c r="O1003">
        <v>2</v>
      </c>
      <c r="P1003">
        <v>2</v>
      </c>
      <c r="Q1003">
        <v>0</v>
      </c>
      <c r="R1003">
        <v>0</v>
      </c>
      <c r="S1003">
        <v>1</v>
      </c>
      <c r="T1003">
        <v>31</v>
      </c>
      <c r="U1003">
        <v>9</v>
      </c>
      <c r="V1003">
        <v>1</v>
      </c>
      <c r="W1003">
        <v>115</v>
      </c>
      <c r="X1003">
        <v>1</v>
      </c>
      <c r="Y1003">
        <v>0</v>
      </c>
      <c r="Z1003">
        <v>0</v>
      </c>
      <c r="AA1003">
        <v>0</v>
      </c>
      <c r="AB1003">
        <v>0</v>
      </c>
      <c r="AC1003">
        <v>22</v>
      </c>
      <c r="AD1003">
        <v>0</v>
      </c>
      <c r="AE1003">
        <v>4</v>
      </c>
      <c r="AF1003">
        <v>22</v>
      </c>
      <c r="AG1003">
        <v>43</v>
      </c>
      <c r="AH1003">
        <v>22</v>
      </c>
      <c r="AI1003">
        <v>1</v>
      </c>
      <c r="AJ1003">
        <v>41</v>
      </c>
      <c r="AK1003">
        <v>1</v>
      </c>
      <c r="AL1003">
        <v>0</v>
      </c>
      <c r="AM1003">
        <v>183</v>
      </c>
      <c r="AN1003">
        <v>192</v>
      </c>
      <c r="AO1003">
        <v>125</v>
      </c>
      <c r="AQ1003" t="str">
        <f t="shared" si="15"/>
        <v>Defensive Forward</v>
      </c>
    </row>
    <row r="1004" spans="1:43" x14ac:dyDescent="0.35">
      <c r="A1004" t="s">
        <v>623</v>
      </c>
      <c r="B1004" t="s">
        <v>43</v>
      </c>
      <c r="C1004" t="s">
        <v>1870</v>
      </c>
      <c r="D1004">
        <v>1993</v>
      </c>
      <c r="E1004">
        <v>24</v>
      </c>
      <c r="F1004" t="s">
        <v>54</v>
      </c>
      <c r="G1004" t="s">
        <v>51</v>
      </c>
      <c r="H1004">
        <v>16200000</v>
      </c>
      <c r="I1004">
        <v>18000000</v>
      </c>
      <c r="J1004" t="s">
        <v>52</v>
      </c>
      <c r="K1004">
        <v>30</v>
      </c>
      <c r="L1004">
        <v>2560</v>
      </c>
      <c r="M1004">
        <v>0</v>
      </c>
      <c r="N1004">
        <v>1157</v>
      </c>
      <c r="O1004">
        <v>1</v>
      </c>
      <c r="P1004">
        <v>3</v>
      </c>
      <c r="Q1004">
        <v>0</v>
      </c>
      <c r="R1004">
        <v>1</v>
      </c>
      <c r="S1004">
        <v>2</v>
      </c>
      <c r="T1004">
        <v>15</v>
      </c>
      <c r="U1004">
        <v>1</v>
      </c>
      <c r="V1004">
        <v>0</v>
      </c>
      <c r="W1004">
        <v>146</v>
      </c>
      <c r="X1004">
        <v>0</v>
      </c>
      <c r="Y1004">
        <v>0</v>
      </c>
      <c r="Z1004">
        <v>0</v>
      </c>
      <c r="AA1004">
        <v>4</v>
      </c>
      <c r="AB1004">
        <v>0</v>
      </c>
      <c r="AC1004">
        <v>14</v>
      </c>
      <c r="AD1004">
        <v>0</v>
      </c>
      <c r="AE1004">
        <v>4</v>
      </c>
      <c r="AF1004">
        <v>28</v>
      </c>
      <c r="AG1004">
        <v>53</v>
      </c>
      <c r="AH1004">
        <v>21</v>
      </c>
      <c r="AI1004">
        <v>0</v>
      </c>
      <c r="AJ1004">
        <v>33</v>
      </c>
      <c r="AK1004">
        <v>0</v>
      </c>
      <c r="AL1004">
        <v>0</v>
      </c>
      <c r="AM1004">
        <v>206</v>
      </c>
      <c r="AN1004">
        <v>129</v>
      </c>
      <c r="AO1004">
        <v>87</v>
      </c>
      <c r="AQ1004" t="str">
        <f t="shared" si="15"/>
        <v>Defensive Forward</v>
      </c>
    </row>
    <row r="1005" spans="1:43" x14ac:dyDescent="0.35">
      <c r="A1005" t="s">
        <v>624</v>
      </c>
      <c r="B1005" t="s">
        <v>39</v>
      </c>
      <c r="C1005" t="s">
        <v>1871</v>
      </c>
      <c r="D1005">
        <v>1990</v>
      </c>
      <c r="E1005">
        <v>25</v>
      </c>
      <c r="F1005" t="s">
        <v>50</v>
      </c>
      <c r="G1005" t="s">
        <v>51</v>
      </c>
      <c r="H1005">
        <v>7700000</v>
      </c>
      <c r="I1005">
        <v>9900000</v>
      </c>
      <c r="J1005" t="s">
        <v>42</v>
      </c>
      <c r="K1005">
        <v>26</v>
      </c>
      <c r="L1005">
        <v>2062</v>
      </c>
      <c r="M1005">
        <v>8</v>
      </c>
      <c r="N1005">
        <v>523</v>
      </c>
      <c r="O1005">
        <v>3</v>
      </c>
      <c r="P1005">
        <v>3</v>
      </c>
      <c r="Q1005">
        <v>0</v>
      </c>
      <c r="R1005">
        <v>3</v>
      </c>
      <c r="S1005">
        <v>8</v>
      </c>
      <c r="T1005">
        <v>54</v>
      </c>
      <c r="U1005">
        <v>20</v>
      </c>
      <c r="V1005">
        <v>2</v>
      </c>
      <c r="W1005">
        <v>24</v>
      </c>
      <c r="X1005">
        <v>6</v>
      </c>
      <c r="Y1005">
        <v>0</v>
      </c>
      <c r="Z1005">
        <v>0</v>
      </c>
      <c r="AA1005">
        <v>11</v>
      </c>
      <c r="AB1005">
        <v>1</v>
      </c>
      <c r="AC1005">
        <v>6</v>
      </c>
      <c r="AD1005">
        <v>0</v>
      </c>
      <c r="AE1005">
        <v>68</v>
      </c>
      <c r="AF1005">
        <v>4</v>
      </c>
      <c r="AG1005">
        <v>57</v>
      </c>
      <c r="AH1005">
        <v>27</v>
      </c>
      <c r="AI1005">
        <v>0</v>
      </c>
      <c r="AJ1005">
        <v>37</v>
      </c>
      <c r="AK1005">
        <v>1</v>
      </c>
      <c r="AL1005">
        <v>0</v>
      </c>
      <c r="AM1005">
        <v>45</v>
      </c>
      <c r="AN1005">
        <v>39</v>
      </c>
      <c r="AO1005">
        <v>34</v>
      </c>
      <c r="AQ1005" t="str">
        <f t="shared" si="15"/>
        <v>Forward</v>
      </c>
    </row>
    <row r="1006" spans="1:43" x14ac:dyDescent="0.35">
      <c r="A1006" t="s">
        <v>624</v>
      </c>
      <c r="B1006" t="s">
        <v>47</v>
      </c>
      <c r="C1006" t="s">
        <v>1872</v>
      </c>
      <c r="D1006">
        <v>1990</v>
      </c>
      <c r="E1006">
        <v>26</v>
      </c>
      <c r="F1006" t="s">
        <v>50</v>
      </c>
      <c r="G1006" t="s">
        <v>51</v>
      </c>
      <c r="H1006">
        <v>8100000</v>
      </c>
      <c r="I1006">
        <v>16200000</v>
      </c>
      <c r="J1006" t="s">
        <v>42</v>
      </c>
      <c r="K1006">
        <v>29</v>
      </c>
      <c r="L1006">
        <v>2439</v>
      </c>
      <c r="M1006">
        <v>9</v>
      </c>
      <c r="N1006">
        <v>638</v>
      </c>
      <c r="O1006">
        <v>3</v>
      </c>
      <c r="P1006">
        <v>4</v>
      </c>
      <c r="Q1006">
        <v>1</v>
      </c>
      <c r="R1006">
        <v>0</v>
      </c>
      <c r="S1006">
        <v>6</v>
      </c>
      <c r="T1006">
        <v>77</v>
      </c>
      <c r="U1006">
        <v>23</v>
      </c>
      <c r="V1006">
        <v>2</v>
      </c>
      <c r="W1006">
        <v>17</v>
      </c>
      <c r="X1006">
        <v>7</v>
      </c>
      <c r="Y1006">
        <v>0</v>
      </c>
      <c r="Z1006">
        <v>0</v>
      </c>
      <c r="AA1006">
        <v>20</v>
      </c>
      <c r="AB1006">
        <v>3</v>
      </c>
      <c r="AC1006">
        <v>7</v>
      </c>
      <c r="AD1006">
        <v>0</v>
      </c>
      <c r="AE1006">
        <v>94</v>
      </c>
      <c r="AF1006">
        <v>2</v>
      </c>
      <c r="AG1006">
        <v>27</v>
      </c>
      <c r="AH1006">
        <v>31</v>
      </c>
      <c r="AI1006">
        <v>1</v>
      </c>
      <c r="AJ1006">
        <v>32</v>
      </c>
      <c r="AK1006">
        <v>1</v>
      </c>
      <c r="AL1006">
        <v>0</v>
      </c>
      <c r="AM1006">
        <v>38</v>
      </c>
      <c r="AN1006">
        <v>57</v>
      </c>
      <c r="AO1006">
        <v>104</v>
      </c>
      <c r="AQ1006" t="str">
        <f t="shared" si="15"/>
        <v>Forward</v>
      </c>
    </row>
    <row r="1007" spans="1:43" x14ac:dyDescent="0.35">
      <c r="A1007" t="s">
        <v>624</v>
      </c>
      <c r="B1007" t="s">
        <v>46</v>
      </c>
      <c r="C1007" t="s">
        <v>1873</v>
      </c>
      <c r="D1007">
        <v>1990</v>
      </c>
      <c r="E1007">
        <v>28</v>
      </c>
      <c r="F1007" t="s">
        <v>50</v>
      </c>
      <c r="G1007" t="s">
        <v>51</v>
      </c>
      <c r="H1007">
        <v>16500000</v>
      </c>
      <c r="I1007">
        <v>16500000</v>
      </c>
      <c r="J1007" t="s">
        <v>42</v>
      </c>
      <c r="K1007">
        <v>33</v>
      </c>
      <c r="L1007">
        <v>2099</v>
      </c>
      <c r="M1007">
        <v>6</v>
      </c>
      <c r="N1007">
        <v>668</v>
      </c>
      <c r="O1007">
        <v>4</v>
      </c>
      <c r="P1007">
        <v>3</v>
      </c>
      <c r="Q1007">
        <v>0</v>
      </c>
      <c r="R1007">
        <v>11</v>
      </c>
      <c r="S1007">
        <v>7</v>
      </c>
      <c r="T1007">
        <v>65</v>
      </c>
      <c r="U1007">
        <v>25</v>
      </c>
      <c r="V1007">
        <v>6</v>
      </c>
      <c r="W1007">
        <v>7</v>
      </c>
      <c r="X1007">
        <v>3</v>
      </c>
      <c r="Y1007">
        <v>0</v>
      </c>
      <c r="Z1007">
        <v>0</v>
      </c>
      <c r="AA1007">
        <v>10</v>
      </c>
      <c r="AB1007">
        <v>5</v>
      </c>
      <c r="AC1007">
        <v>40</v>
      </c>
      <c r="AD1007">
        <v>0</v>
      </c>
      <c r="AE1007">
        <v>50</v>
      </c>
      <c r="AF1007">
        <v>3</v>
      </c>
      <c r="AG1007">
        <v>18</v>
      </c>
      <c r="AH1007">
        <v>34</v>
      </c>
      <c r="AI1007">
        <v>0</v>
      </c>
      <c r="AJ1007">
        <v>23</v>
      </c>
      <c r="AK1007">
        <v>0</v>
      </c>
      <c r="AL1007">
        <v>0</v>
      </c>
      <c r="AM1007">
        <v>21</v>
      </c>
      <c r="AN1007">
        <v>80</v>
      </c>
      <c r="AO1007">
        <v>105</v>
      </c>
      <c r="AQ1007" t="str">
        <f t="shared" si="15"/>
        <v>Forward</v>
      </c>
    </row>
    <row r="1008" spans="1:43" x14ac:dyDescent="0.35">
      <c r="A1008" t="s">
        <v>624</v>
      </c>
      <c r="B1008" t="s">
        <v>43</v>
      </c>
      <c r="C1008" t="s">
        <v>1874</v>
      </c>
      <c r="D1008">
        <v>1990</v>
      </c>
      <c r="E1008">
        <v>27</v>
      </c>
      <c r="F1008" t="s">
        <v>50</v>
      </c>
      <c r="G1008" t="s">
        <v>51</v>
      </c>
      <c r="H1008">
        <v>9000000</v>
      </c>
      <c r="I1008">
        <v>18000000</v>
      </c>
      <c r="J1008" t="s">
        <v>55</v>
      </c>
      <c r="K1008">
        <v>21</v>
      </c>
      <c r="L1008">
        <v>1358</v>
      </c>
      <c r="M1008">
        <v>3</v>
      </c>
      <c r="N1008">
        <v>385</v>
      </c>
      <c r="O1008">
        <v>1</v>
      </c>
      <c r="P1008">
        <v>1</v>
      </c>
      <c r="Q1008">
        <v>0</v>
      </c>
      <c r="R1008">
        <v>5</v>
      </c>
      <c r="S1008">
        <v>8</v>
      </c>
      <c r="T1008">
        <v>34</v>
      </c>
      <c r="U1008">
        <v>15</v>
      </c>
      <c r="V1008">
        <v>0</v>
      </c>
      <c r="W1008">
        <v>7</v>
      </c>
      <c r="X1008">
        <v>0</v>
      </c>
      <c r="Y1008">
        <v>0</v>
      </c>
      <c r="Z1008">
        <v>0</v>
      </c>
      <c r="AA1008">
        <v>7</v>
      </c>
      <c r="AB1008">
        <v>3</v>
      </c>
      <c r="AC1008">
        <v>19</v>
      </c>
      <c r="AD1008">
        <v>0</v>
      </c>
      <c r="AE1008">
        <v>55</v>
      </c>
      <c r="AF1008">
        <v>0</v>
      </c>
      <c r="AG1008">
        <v>13</v>
      </c>
      <c r="AH1008">
        <v>17</v>
      </c>
      <c r="AI1008">
        <v>0</v>
      </c>
      <c r="AJ1008">
        <v>15</v>
      </c>
      <c r="AK1008">
        <v>0</v>
      </c>
      <c r="AL1008">
        <v>0</v>
      </c>
      <c r="AM1008">
        <v>14</v>
      </c>
      <c r="AN1008">
        <v>43</v>
      </c>
      <c r="AO1008">
        <v>55</v>
      </c>
      <c r="AQ1008" t="str">
        <f t="shared" si="15"/>
        <v>Midfielder</v>
      </c>
    </row>
    <row r="1009" spans="1:43" x14ac:dyDescent="0.35">
      <c r="A1009" t="s">
        <v>625</v>
      </c>
      <c r="B1009" t="s">
        <v>47</v>
      </c>
      <c r="C1009" t="s">
        <v>1875</v>
      </c>
      <c r="D1009">
        <v>1993</v>
      </c>
      <c r="E1009">
        <v>22</v>
      </c>
      <c r="F1009" t="s">
        <v>44</v>
      </c>
      <c r="G1009" t="s">
        <v>95</v>
      </c>
      <c r="H1009">
        <v>16500000</v>
      </c>
      <c r="I1009">
        <v>22500000</v>
      </c>
      <c r="J1009" t="s">
        <v>42</v>
      </c>
      <c r="K1009">
        <v>20</v>
      </c>
      <c r="L1009">
        <v>239</v>
      </c>
      <c r="M1009">
        <v>5</v>
      </c>
      <c r="N1009">
        <v>80</v>
      </c>
      <c r="O1009">
        <v>1</v>
      </c>
      <c r="P1009">
        <v>0</v>
      </c>
      <c r="Q1009">
        <v>0</v>
      </c>
      <c r="R1009">
        <v>19</v>
      </c>
      <c r="S1009">
        <v>1</v>
      </c>
      <c r="T1009">
        <v>17</v>
      </c>
      <c r="U1009">
        <v>8</v>
      </c>
      <c r="V1009">
        <v>1</v>
      </c>
      <c r="W1009">
        <v>1</v>
      </c>
      <c r="X1009">
        <v>0</v>
      </c>
      <c r="Y1009">
        <v>0</v>
      </c>
      <c r="Z1009">
        <v>0</v>
      </c>
      <c r="AA1009">
        <v>4</v>
      </c>
      <c r="AB1009">
        <v>2</v>
      </c>
      <c r="AC1009">
        <v>2</v>
      </c>
      <c r="AD1009">
        <v>0</v>
      </c>
      <c r="AE1009">
        <v>2</v>
      </c>
      <c r="AF1009">
        <v>0</v>
      </c>
      <c r="AG1009">
        <v>2</v>
      </c>
      <c r="AH1009">
        <v>9</v>
      </c>
      <c r="AI1009">
        <v>0</v>
      </c>
      <c r="AJ1009">
        <v>2</v>
      </c>
      <c r="AK1009">
        <v>0</v>
      </c>
      <c r="AL1009">
        <v>0</v>
      </c>
      <c r="AM1009">
        <v>1</v>
      </c>
      <c r="AN1009">
        <v>3</v>
      </c>
      <c r="AO1009">
        <v>5</v>
      </c>
      <c r="AQ1009" t="str">
        <f t="shared" si="15"/>
        <v>Forward</v>
      </c>
    </row>
    <row r="1010" spans="1:43" x14ac:dyDescent="0.35">
      <c r="A1010" t="s">
        <v>625</v>
      </c>
      <c r="B1010" t="s">
        <v>43</v>
      </c>
      <c r="C1010" t="s">
        <v>1876</v>
      </c>
      <c r="D1010">
        <v>1993</v>
      </c>
      <c r="E1010">
        <v>24</v>
      </c>
      <c r="F1010" t="s">
        <v>44</v>
      </c>
      <c r="G1010" t="s">
        <v>95</v>
      </c>
      <c r="H1010">
        <v>22500000</v>
      </c>
      <c r="I1010">
        <v>36000000</v>
      </c>
      <c r="J1010" t="s">
        <v>42</v>
      </c>
      <c r="K1010">
        <v>12</v>
      </c>
      <c r="L1010">
        <v>353</v>
      </c>
      <c r="M1010">
        <v>2</v>
      </c>
      <c r="N1010">
        <v>96</v>
      </c>
      <c r="O1010">
        <v>1</v>
      </c>
      <c r="P1010">
        <v>0</v>
      </c>
      <c r="Q1010">
        <v>0</v>
      </c>
      <c r="R1010">
        <v>9</v>
      </c>
      <c r="S1010">
        <v>2</v>
      </c>
      <c r="T1010">
        <v>13</v>
      </c>
      <c r="U1010">
        <v>5</v>
      </c>
      <c r="V1010">
        <v>0</v>
      </c>
      <c r="W1010">
        <v>2</v>
      </c>
      <c r="X1010">
        <v>1</v>
      </c>
      <c r="Y1010">
        <v>0</v>
      </c>
      <c r="Z1010">
        <v>0</v>
      </c>
      <c r="AA1010">
        <v>6</v>
      </c>
      <c r="AB1010">
        <v>0</v>
      </c>
      <c r="AC1010">
        <v>8</v>
      </c>
      <c r="AD1010">
        <v>0</v>
      </c>
      <c r="AE1010">
        <v>0</v>
      </c>
      <c r="AF1010">
        <v>0</v>
      </c>
      <c r="AG1010">
        <v>1</v>
      </c>
      <c r="AH1010">
        <v>4</v>
      </c>
      <c r="AI1010">
        <v>0</v>
      </c>
      <c r="AJ1010">
        <v>5</v>
      </c>
      <c r="AK1010">
        <v>0</v>
      </c>
      <c r="AL1010">
        <v>1</v>
      </c>
      <c r="AM1010">
        <v>3</v>
      </c>
      <c r="AN1010">
        <v>7</v>
      </c>
      <c r="AO1010">
        <v>14</v>
      </c>
      <c r="AQ1010" t="str">
        <f t="shared" si="15"/>
        <v>Forward</v>
      </c>
    </row>
    <row r="1011" spans="1:43" x14ac:dyDescent="0.35">
      <c r="A1011" t="s">
        <v>625</v>
      </c>
      <c r="B1011" t="s">
        <v>46</v>
      </c>
      <c r="C1011" t="s">
        <v>1877</v>
      </c>
      <c r="D1011">
        <v>1993</v>
      </c>
      <c r="E1011">
        <v>24</v>
      </c>
      <c r="F1011" t="s">
        <v>64</v>
      </c>
      <c r="G1011" t="s">
        <v>95</v>
      </c>
      <c r="H1011">
        <v>36000000</v>
      </c>
      <c r="I1011">
        <v>27000000</v>
      </c>
      <c r="J1011" t="s">
        <v>42</v>
      </c>
      <c r="K1011">
        <v>11</v>
      </c>
      <c r="L1011">
        <v>756</v>
      </c>
      <c r="M1011">
        <v>5</v>
      </c>
      <c r="N1011">
        <v>163</v>
      </c>
      <c r="O1011">
        <v>0</v>
      </c>
      <c r="P1011">
        <v>0</v>
      </c>
      <c r="Q1011">
        <v>0</v>
      </c>
      <c r="R1011">
        <v>2</v>
      </c>
      <c r="S1011">
        <v>8</v>
      </c>
      <c r="T1011">
        <v>27</v>
      </c>
      <c r="U1011">
        <v>10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12</v>
      </c>
      <c r="AB1011">
        <v>1</v>
      </c>
      <c r="AC1011">
        <v>17</v>
      </c>
      <c r="AD1011">
        <v>0</v>
      </c>
      <c r="AE1011">
        <v>1</v>
      </c>
      <c r="AF1011">
        <v>3</v>
      </c>
      <c r="AG1011">
        <v>3</v>
      </c>
      <c r="AH1011">
        <v>7</v>
      </c>
      <c r="AI1011">
        <v>0</v>
      </c>
      <c r="AJ1011">
        <v>2</v>
      </c>
      <c r="AK1011">
        <v>0</v>
      </c>
      <c r="AL1011">
        <v>0</v>
      </c>
      <c r="AM1011">
        <v>0</v>
      </c>
      <c r="AN1011">
        <v>12</v>
      </c>
      <c r="AO1011">
        <v>32</v>
      </c>
      <c r="AQ1011" t="str">
        <f t="shared" si="15"/>
        <v>Forward</v>
      </c>
    </row>
    <row r="1012" spans="1:43" x14ac:dyDescent="0.35">
      <c r="A1012" t="s">
        <v>626</v>
      </c>
      <c r="B1012" t="s">
        <v>46</v>
      </c>
      <c r="C1012" t="s">
        <v>1878</v>
      </c>
      <c r="D1012">
        <v>1994</v>
      </c>
      <c r="E1012">
        <v>24</v>
      </c>
      <c r="F1012" t="s">
        <v>117</v>
      </c>
      <c r="G1012" t="s">
        <v>349</v>
      </c>
      <c r="H1012">
        <v>2250000</v>
      </c>
      <c r="I1012">
        <v>9000000</v>
      </c>
      <c r="J1012" t="s">
        <v>55</v>
      </c>
      <c r="K1012">
        <v>10</v>
      </c>
      <c r="L1012">
        <v>763</v>
      </c>
      <c r="M1012">
        <v>0</v>
      </c>
      <c r="N1012">
        <v>241</v>
      </c>
      <c r="O1012">
        <v>0</v>
      </c>
      <c r="P1012">
        <v>0</v>
      </c>
      <c r="Q1012">
        <v>0</v>
      </c>
      <c r="R1012">
        <v>1</v>
      </c>
      <c r="S1012">
        <v>5</v>
      </c>
      <c r="T1012">
        <v>19</v>
      </c>
      <c r="U1012">
        <v>8</v>
      </c>
      <c r="V1012">
        <v>1</v>
      </c>
      <c r="W1012">
        <v>1</v>
      </c>
      <c r="X1012">
        <v>0</v>
      </c>
      <c r="Y1012">
        <v>0</v>
      </c>
      <c r="Z1012">
        <v>0</v>
      </c>
      <c r="AA1012">
        <v>4</v>
      </c>
      <c r="AB1012">
        <v>1</v>
      </c>
      <c r="AC1012">
        <v>11</v>
      </c>
      <c r="AD1012">
        <v>1</v>
      </c>
      <c r="AE1012">
        <v>21</v>
      </c>
      <c r="AF1012">
        <v>1</v>
      </c>
      <c r="AG1012">
        <v>8</v>
      </c>
      <c r="AH1012">
        <v>6</v>
      </c>
      <c r="AI1012">
        <v>0</v>
      </c>
      <c r="AJ1012">
        <v>20</v>
      </c>
      <c r="AK1012">
        <v>0</v>
      </c>
      <c r="AL1012">
        <v>0</v>
      </c>
      <c r="AM1012">
        <v>4</v>
      </c>
      <c r="AN1012">
        <v>1</v>
      </c>
      <c r="AO1012">
        <v>9</v>
      </c>
      <c r="AQ1012" t="str">
        <f t="shared" si="15"/>
        <v>Midfielder</v>
      </c>
    </row>
    <row r="1013" spans="1:43" x14ac:dyDescent="0.35">
      <c r="A1013" t="s">
        <v>627</v>
      </c>
      <c r="B1013" t="s">
        <v>47</v>
      </c>
      <c r="C1013" t="s">
        <v>1879</v>
      </c>
      <c r="D1013">
        <v>1985</v>
      </c>
      <c r="E1013">
        <v>31</v>
      </c>
      <c r="F1013" t="s">
        <v>66</v>
      </c>
      <c r="G1013" t="s">
        <v>72</v>
      </c>
      <c r="H1013">
        <v>3150000</v>
      </c>
      <c r="I1013">
        <v>3150000</v>
      </c>
      <c r="J1013" t="s">
        <v>52</v>
      </c>
      <c r="K1013">
        <v>27</v>
      </c>
      <c r="L1013">
        <v>2283</v>
      </c>
      <c r="M1013">
        <v>1</v>
      </c>
      <c r="N1013">
        <v>1025</v>
      </c>
      <c r="O1013">
        <v>2</v>
      </c>
      <c r="P1013">
        <v>6</v>
      </c>
      <c r="Q1013">
        <v>2</v>
      </c>
      <c r="R1013">
        <v>0</v>
      </c>
      <c r="S1013">
        <v>3</v>
      </c>
      <c r="T1013">
        <v>18</v>
      </c>
      <c r="U1013">
        <v>5</v>
      </c>
      <c r="V1013">
        <v>0</v>
      </c>
      <c r="W1013">
        <v>85</v>
      </c>
      <c r="X1013">
        <v>1</v>
      </c>
      <c r="Y1013">
        <v>0</v>
      </c>
      <c r="Z1013">
        <v>0</v>
      </c>
      <c r="AA1013">
        <v>2</v>
      </c>
      <c r="AB1013">
        <v>1</v>
      </c>
      <c r="AC1013">
        <v>0</v>
      </c>
      <c r="AD1013">
        <v>0</v>
      </c>
      <c r="AE1013">
        <v>12</v>
      </c>
      <c r="AF1013">
        <v>18</v>
      </c>
      <c r="AG1013">
        <v>49</v>
      </c>
      <c r="AH1013">
        <v>36</v>
      </c>
      <c r="AI1013">
        <v>0</v>
      </c>
      <c r="AJ1013">
        <v>34</v>
      </c>
      <c r="AK1013">
        <v>0</v>
      </c>
      <c r="AL1013">
        <v>0</v>
      </c>
      <c r="AM1013">
        <v>144</v>
      </c>
      <c r="AN1013">
        <v>86</v>
      </c>
      <c r="AO1013">
        <v>45</v>
      </c>
      <c r="AQ1013" t="str">
        <f t="shared" si="15"/>
        <v>Defensive Forward</v>
      </c>
    </row>
    <row r="1014" spans="1:43" x14ac:dyDescent="0.35">
      <c r="A1014" t="s">
        <v>627</v>
      </c>
      <c r="B1014" t="s">
        <v>39</v>
      </c>
      <c r="C1014" t="s">
        <v>1880</v>
      </c>
      <c r="D1014">
        <v>1985</v>
      </c>
      <c r="E1014">
        <v>30</v>
      </c>
      <c r="F1014" t="s">
        <v>66</v>
      </c>
      <c r="G1014" t="s">
        <v>72</v>
      </c>
      <c r="H1014">
        <v>3150000</v>
      </c>
      <c r="I1014">
        <v>3150000</v>
      </c>
      <c r="J1014" t="s">
        <v>52</v>
      </c>
      <c r="K1014">
        <v>24</v>
      </c>
      <c r="L1014">
        <v>2076</v>
      </c>
      <c r="M1014">
        <v>0</v>
      </c>
      <c r="N1014">
        <v>786</v>
      </c>
      <c r="O1014">
        <v>0</v>
      </c>
      <c r="P1014">
        <v>7</v>
      </c>
      <c r="Q1014">
        <v>0</v>
      </c>
      <c r="R1014">
        <v>0</v>
      </c>
      <c r="S1014">
        <v>3</v>
      </c>
      <c r="T1014">
        <v>6</v>
      </c>
      <c r="U1014">
        <v>0</v>
      </c>
      <c r="V1014">
        <v>0</v>
      </c>
      <c r="W1014">
        <v>57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2</v>
      </c>
      <c r="AF1014">
        <v>15</v>
      </c>
      <c r="AG1014">
        <v>60</v>
      </c>
      <c r="AH1014">
        <v>19</v>
      </c>
      <c r="AI1014">
        <v>0</v>
      </c>
      <c r="AJ1014">
        <v>25</v>
      </c>
      <c r="AK1014">
        <v>1</v>
      </c>
      <c r="AL1014">
        <v>0</v>
      </c>
      <c r="AM1014">
        <v>126</v>
      </c>
      <c r="AN1014">
        <v>62</v>
      </c>
      <c r="AO1014">
        <v>36</v>
      </c>
      <c r="AQ1014" t="str">
        <f t="shared" si="15"/>
        <v>Defensive Forward</v>
      </c>
    </row>
    <row r="1015" spans="1:43" x14ac:dyDescent="0.35">
      <c r="A1015" t="s">
        <v>627</v>
      </c>
      <c r="B1015" t="s">
        <v>43</v>
      </c>
      <c r="C1015" t="s">
        <v>1881</v>
      </c>
      <c r="D1015">
        <v>1985</v>
      </c>
      <c r="E1015">
        <v>32</v>
      </c>
      <c r="F1015" t="s">
        <v>66</v>
      </c>
      <c r="G1015" t="s">
        <v>72</v>
      </c>
      <c r="H1015">
        <v>3150000</v>
      </c>
      <c r="I1015">
        <v>3150000</v>
      </c>
      <c r="J1015" t="s">
        <v>52</v>
      </c>
      <c r="K1015">
        <v>12</v>
      </c>
      <c r="L1015">
        <v>798</v>
      </c>
      <c r="M1015">
        <v>1</v>
      </c>
      <c r="N1015">
        <v>388</v>
      </c>
      <c r="O1015">
        <v>0</v>
      </c>
      <c r="P1015">
        <v>3</v>
      </c>
      <c r="Q1015">
        <v>1</v>
      </c>
      <c r="R1015">
        <v>2</v>
      </c>
      <c r="S1015">
        <v>2</v>
      </c>
      <c r="T1015">
        <v>2</v>
      </c>
      <c r="U1015">
        <v>2</v>
      </c>
      <c r="V1015">
        <v>0</v>
      </c>
      <c r="W1015">
        <v>28</v>
      </c>
      <c r="X1015">
        <v>1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5</v>
      </c>
      <c r="AF1015">
        <v>1</v>
      </c>
      <c r="AG1015">
        <v>12</v>
      </c>
      <c r="AH1015">
        <v>8</v>
      </c>
      <c r="AI1015">
        <v>0</v>
      </c>
      <c r="AJ1015">
        <v>15</v>
      </c>
      <c r="AK1015">
        <v>1</v>
      </c>
      <c r="AL1015">
        <v>0</v>
      </c>
      <c r="AM1015">
        <v>44</v>
      </c>
      <c r="AN1015">
        <v>27</v>
      </c>
      <c r="AO1015">
        <v>19</v>
      </c>
      <c r="AQ1015" t="str">
        <f t="shared" si="15"/>
        <v>Defensive Forward</v>
      </c>
    </row>
    <row r="1016" spans="1:43" x14ac:dyDescent="0.35">
      <c r="A1016" t="s">
        <v>628</v>
      </c>
      <c r="B1016" t="s">
        <v>43</v>
      </c>
      <c r="C1016" t="s">
        <v>1882</v>
      </c>
      <c r="D1016">
        <v>1992</v>
      </c>
      <c r="E1016">
        <v>25</v>
      </c>
      <c r="F1016" t="s">
        <v>40</v>
      </c>
      <c r="G1016" t="s">
        <v>216</v>
      </c>
      <c r="H1016">
        <v>2200000</v>
      </c>
      <c r="I1016">
        <v>2750000</v>
      </c>
      <c r="J1016" t="s">
        <v>52</v>
      </c>
      <c r="K1016">
        <v>24</v>
      </c>
      <c r="L1016">
        <v>1949</v>
      </c>
      <c r="M1016">
        <v>1</v>
      </c>
      <c r="N1016">
        <v>858</v>
      </c>
      <c r="O1016">
        <v>0</v>
      </c>
      <c r="P1016">
        <v>4</v>
      </c>
      <c r="Q1016">
        <v>0</v>
      </c>
      <c r="R1016">
        <v>0</v>
      </c>
      <c r="S1016">
        <v>8</v>
      </c>
      <c r="T1016">
        <v>10</v>
      </c>
      <c r="U1016">
        <v>5</v>
      </c>
      <c r="V1016">
        <v>0</v>
      </c>
      <c r="W1016">
        <v>67</v>
      </c>
      <c r="X1016">
        <v>1</v>
      </c>
      <c r="Y1016">
        <v>0</v>
      </c>
      <c r="Z1016">
        <v>0</v>
      </c>
      <c r="AA1016">
        <v>0</v>
      </c>
      <c r="AB1016">
        <v>0</v>
      </c>
      <c r="AC1016">
        <v>5</v>
      </c>
      <c r="AD1016">
        <v>0</v>
      </c>
      <c r="AE1016">
        <v>8</v>
      </c>
      <c r="AF1016">
        <v>14</v>
      </c>
      <c r="AG1016">
        <v>39</v>
      </c>
      <c r="AH1016">
        <v>22</v>
      </c>
      <c r="AI1016">
        <v>1</v>
      </c>
      <c r="AJ1016">
        <v>32</v>
      </c>
      <c r="AK1016">
        <v>0</v>
      </c>
      <c r="AL1016">
        <v>0</v>
      </c>
      <c r="AM1016">
        <v>123</v>
      </c>
      <c r="AN1016">
        <v>57</v>
      </c>
      <c r="AO1016">
        <v>45</v>
      </c>
      <c r="AQ1016" t="str">
        <f t="shared" si="15"/>
        <v>Defensive Forward</v>
      </c>
    </row>
    <row r="1017" spans="1:43" x14ac:dyDescent="0.35">
      <c r="A1017" t="s">
        <v>629</v>
      </c>
      <c r="B1017" t="s">
        <v>43</v>
      </c>
      <c r="C1017" t="s">
        <v>1883</v>
      </c>
      <c r="D1017">
        <v>1996</v>
      </c>
      <c r="E1017">
        <v>21</v>
      </c>
      <c r="F1017" t="s">
        <v>117</v>
      </c>
      <c r="G1017" t="s">
        <v>45</v>
      </c>
      <c r="H1017">
        <v>6600000</v>
      </c>
      <c r="I1017">
        <v>5500000</v>
      </c>
      <c r="J1017" t="s">
        <v>55</v>
      </c>
      <c r="K1017">
        <v>24</v>
      </c>
      <c r="L1017">
        <v>1343</v>
      </c>
      <c r="M1017">
        <v>1</v>
      </c>
      <c r="N1017">
        <v>812</v>
      </c>
      <c r="O1017">
        <v>1</v>
      </c>
      <c r="P1017">
        <v>4</v>
      </c>
      <c r="Q1017">
        <v>0</v>
      </c>
      <c r="R1017">
        <v>10</v>
      </c>
      <c r="S1017">
        <v>6</v>
      </c>
      <c r="T1017">
        <v>16</v>
      </c>
      <c r="U1017">
        <v>6</v>
      </c>
      <c r="V1017">
        <v>1</v>
      </c>
      <c r="W1017">
        <v>13</v>
      </c>
      <c r="X1017">
        <v>1</v>
      </c>
      <c r="Y1017">
        <v>0</v>
      </c>
      <c r="Z1017">
        <v>0</v>
      </c>
      <c r="AA1017">
        <v>0</v>
      </c>
      <c r="AB1017">
        <v>6</v>
      </c>
      <c r="AC1017">
        <v>10</v>
      </c>
      <c r="AD1017">
        <v>1</v>
      </c>
      <c r="AE1017">
        <v>3</v>
      </c>
      <c r="AF1017">
        <v>8</v>
      </c>
      <c r="AG1017">
        <v>34</v>
      </c>
      <c r="AH1017">
        <v>30</v>
      </c>
      <c r="AI1017">
        <v>0</v>
      </c>
      <c r="AJ1017">
        <v>56</v>
      </c>
      <c r="AK1017">
        <v>0</v>
      </c>
      <c r="AL1017">
        <v>0</v>
      </c>
      <c r="AM1017">
        <v>23</v>
      </c>
      <c r="AN1017">
        <v>39</v>
      </c>
      <c r="AO1017">
        <v>40</v>
      </c>
      <c r="AQ1017" t="str">
        <f t="shared" si="15"/>
        <v>Midfielder</v>
      </c>
    </row>
    <row r="1018" spans="1:43" x14ac:dyDescent="0.35">
      <c r="A1018" t="s">
        <v>630</v>
      </c>
      <c r="B1018" t="s">
        <v>39</v>
      </c>
      <c r="C1018" t="s">
        <v>1884</v>
      </c>
      <c r="D1018">
        <v>1984</v>
      </c>
      <c r="E1018">
        <v>30</v>
      </c>
      <c r="F1018" t="s">
        <v>64</v>
      </c>
      <c r="G1018" t="s">
        <v>59</v>
      </c>
      <c r="H1018">
        <v>6600000</v>
      </c>
      <c r="I1018">
        <v>5500000</v>
      </c>
      <c r="J1018" t="s">
        <v>55</v>
      </c>
      <c r="K1018">
        <v>27</v>
      </c>
      <c r="L1018">
        <v>1530</v>
      </c>
      <c r="M1018">
        <v>0</v>
      </c>
      <c r="N1018">
        <v>830</v>
      </c>
      <c r="O1018">
        <v>0</v>
      </c>
      <c r="P1018">
        <v>6</v>
      </c>
      <c r="Q1018">
        <v>0</v>
      </c>
      <c r="R1018">
        <v>11</v>
      </c>
      <c r="S1018">
        <v>2</v>
      </c>
      <c r="T1018">
        <v>13</v>
      </c>
      <c r="U1018">
        <v>1</v>
      </c>
      <c r="V1018">
        <v>1</v>
      </c>
      <c r="W1018">
        <v>38</v>
      </c>
      <c r="X1018">
        <v>0</v>
      </c>
      <c r="Y1018">
        <v>0</v>
      </c>
      <c r="Z1018">
        <v>0</v>
      </c>
      <c r="AA1018">
        <v>2</v>
      </c>
      <c r="AB1018">
        <v>0</v>
      </c>
      <c r="AC1018">
        <v>0</v>
      </c>
      <c r="AD1018">
        <v>0</v>
      </c>
      <c r="AE1018">
        <v>6</v>
      </c>
      <c r="AF1018">
        <v>10</v>
      </c>
      <c r="AG1018">
        <v>55</v>
      </c>
      <c r="AH1018">
        <v>36</v>
      </c>
      <c r="AI1018">
        <v>0</v>
      </c>
      <c r="AJ1018">
        <v>50</v>
      </c>
      <c r="AK1018">
        <v>1</v>
      </c>
      <c r="AL1018">
        <v>0</v>
      </c>
      <c r="AM1018">
        <v>58</v>
      </c>
      <c r="AN1018">
        <v>102</v>
      </c>
      <c r="AO1018">
        <v>41</v>
      </c>
      <c r="AQ1018" t="str">
        <f t="shared" si="15"/>
        <v>Midfielder</v>
      </c>
    </row>
    <row r="1019" spans="1:43" x14ac:dyDescent="0.35">
      <c r="A1019" t="s">
        <v>631</v>
      </c>
      <c r="B1019" t="s">
        <v>39</v>
      </c>
      <c r="C1019" t="s">
        <v>1885</v>
      </c>
      <c r="D1019">
        <v>1992</v>
      </c>
      <c r="E1019">
        <v>22</v>
      </c>
      <c r="F1019" t="s">
        <v>40</v>
      </c>
      <c r="G1019" t="s">
        <v>632</v>
      </c>
      <c r="H1019">
        <v>1650000</v>
      </c>
      <c r="I1019">
        <v>2700000</v>
      </c>
      <c r="J1019" t="s">
        <v>42</v>
      </c>
      <c r="K1019">
        <v>22</v>
      </c>
      <c r="L1019">
        <v>781</v>
      </c>
      <c r="M1019">
        <v>1</v>
      </c>
      <c r="N1019">
        <v>206</v>
      </c>
      <c r="O1019">
        <v>0</v>
      </c>
      <c r="P1019">
        <v>0</v>
      </c>
      <c r="Q1019">
        <v>0</v>
      </c>
      <c r="R1019">
        <v>16</v>
      </c>
      <c r="S1019">
        <v>4</v>
      </c>
      <c r="T1019">
        <v>11</v>
      </c>
      <c r="U1019">
        <v>4</v>
      </c>
      <c r="V1019">
        <v>0</v>
      </c>
      <c r="W1019">
        <v>2</v>
      </c>
      <c r="X1019">
        <v>0</v>
      </c>
      <c r="Y1019">
        <v>0</v>
      </c>
      <c r="Z1019">
        <v>0</v>
      </c>
      <c r="AA1019">
        <v>3</v>
      </c>
      <c r="AB1019">
        <v>1</v>
      </c>
      <c r="AC1019">
        <v>0</v>
      </c>
      <c r="AD1019">
        <v>0</v>
      </c>
      <c r="AE1019">
        <v>28</v>
      </c>
      <c r="AF1019">
        <v>0</v>
      </c>
      <c r="AG1019">
        <v>8</v>
      </c>
      <c r="AH1019">
        <v>3</v>
      </c>
      <c r="AI1019">
        <v>0</v>
      </c>
      <c r="AJ1019">
        <v>18</v>
      </c>
      <c r="AK1019">
        <v>0</v>
      </c>
      <c r="AL1019">
        <v>0</v>
      </c>
      <c r="AM1019">
        <v>5</v>
      </c>
      <c r="AN1019">
        <v>3</v>
      </c>
      <c r="AO1019">
        <v>22</v>
      </c>
      <c r="AQ1019" t="str">
        <f t="shared" si="15"/>
        <v>Forward</v>
      </c>
    </row>
    <row r="1020" spans="1:43" x14ac:dyDescent="0.35">
      <c r="A1020" t="s">
        <v>631</v>
      </c>
      <c r="B1020" t="s">
        <v>47</v>
      </c>
      <c r="C1020" t="s">
        <v>1886</v>
      </c>
      <c r="D1020">
        <v>1992</v>
      </c>
      <c r="E1020">
        <v>23</v>
      </c>
      <c r="F1020" t="s">
        <v>40</v>
      </c>
      <c r="G1020" t="s">
        <v>632</v>
      </c>
      <c r="H1020">
        <v>2700000</v>
      </c>
      <c r="I1020">
        <v>2700000</v>
      </c>
      <c r="J1020" t="s">
        <v>42</v>
      </c>
      <c r="K1020">
        <v>18</v>
      </c>
      <c r="L1020">
        <v>1149</v>
      </c>
      <c r="M1020">
        <v>0</v>
      </c>
      <c r="N1020">
        <v>299</v>
      </c>
      <c r="O1020">
        <v>2</v>
      </c>
      <c r="P1020">
        <v>1</v>
      </c>
      <c r="Q1020">
        <v>0</v>
      </c>
      <c r="R1020">
        <v>6</v>
      </c>
      <c r="S1020">
        <v>9</v>
      </c>
      <c r="T1020">
        <v>15</v>
      </c>
      <c r="U1020">
        <v>3</v>
      </c>
      <c r="V1020">
        <v>0</v>
      </c>
      <c r="W1020">
        <v>1</v>
      </c>
      <c r="X1020">
        <v>0</v>
      </c>
      <c r="Y1020">
        <v>0</v>
      </c>
      <c r="Z1020">
        <v>0</v>
      </c>
      <c r="AA1020">
        <v>10</v>
      </c>
      <c r="AB1020">
        <v>0</v>
      </c>
      <c r="AC1020">
        <v>1</v>
      </c>
      <c r="AD1020">
        <v>3</v>
      </c>
      <c r="AE1020">
        <v>59</v>
      </c>
      <c r="AF1020">
        <v>0</v>
      </c>
      <c r="AG1020">
        <v>6</v>
      </c>
      <c r="AH1020">
        <v>15</v>
      </c>
      <c r="AI1020">
        <v>0</v>
      </c>
      <c r="AJ1020">
        <v>22</v>
      </c>
      <c r="AK1020">
        <v>0</v>
      </c>
      <c r="AL1020">
        <v>0</v>
      </c>
      <c r="AM1020">
        <v>7</v>
      </c>
      <c r="AN1020">
        <v>6</v>
      </c>
      <c r="AO1020">
        <v>27</v>
      </c>
      <c r="AQ1020" t="str">
        <f t="shared" si="15"/>
        <v>Forward</v>
      </c>
    </row>
    <row r="1021" spans="1:43" x14ac:dyDescent="0.35">
      <c r="A1021" t="s">
        <v>633</v>
      </c>
      <c r="B1021" t="s">
        <v>43</v>
      </c>
      <c r="C1021" t="s">
        <v>1887</v>
      </c>
      <c r="D1021">
        <v>1987</v>
      </c>
      <c r="E1021">
        <v>30</v>
      </c>
      <c r="F1021" t="s">
        <v>117</v>
      </c>
      <c r="G1021" t="s">
        <v>132</v>
      </c>
      <c r="H1021">
        <v>5500000</v>
      </c>
      <c r="I1021">
        <v>5500000</v>
      </c>
      <c r="J1021" t="s">
        <v>55</v>
      </c>
      <c r="K1021">
        <v>31</v>
      </c>
      <c r="L1021">
        <v>2043</v>
      </c>
      <c r="M1021">
        <v>2</v>
      </c>
      <c r="N1021">
        <v>816</v>
      </c>
      <c r="O1021">
        <v>0</v>
      </c>
      <c r="P1021">
        <v>3</v>
      </c>
      <c r="Q1021">
        <v>0</v>
      </c>
      <c r="R1021">
        <v>8</v>
      </c>
      <c r="S1021">
        <v>9</v>
      </c>
      <c r="T1021">
        <v>20</v>
      </c>
      <c r="U1021">
        <v>6</v>
      </c>
      <c r="V1021">
        <v>0</v>
      </c>
      <c r="W1021">
        <v>22</v>
      </c>
      <c r="X1021">
        <v>0</v>
      </c>
      <c r="Y1021">
        <v>0</v>
      </c>
      <c r="Z1021">
        <v>0</v>
      </c>
      <c r="AA1021">
        <v>0</v>
      </c>
      <c r="AB1021">
        <v>2</v>
      </c>
      <c r="AC1021">
        <v>14</v>
      </c>
      <c r="AD1021">
        <v>0</v>
      </c>
      <c r="AE1021">
        <v>6</v>
      </c>
      <c r="AF1021">
        <v>7</v>
      </c>
      <c r="AG1021">
        <v>48</v>
      </c>
      <c r="AH1021">
        <v>44</v>
      </c>
      <c r="AI1021">
        <v>0</v>
      </c>
      <c r="AJ1021">
        <v>89</v>
      </c>
      <c r="AK1021">
        <v>0</v>
      </c>
      <c r="AL1021">
        <v>0</v>
      </c>
      <c r="AM1021">
        <v>28</v>
      </c>
      <c r="AN1021">
        <v>62</v>
      </c>
      <c r="AO1021">
        <v>57</v>
      </c>
      <c r="AQ1021" t="str">
        <f t="shared" si="15"/>
        <v>Midfielder</v>
      </c>
    </row>
    <row r="1022" spans="1:43" x14ac:dyDescent="0.35">
      <c r="A1022" t="s">
        <v>633</v>
      </c>
      <c r="B1022" t="s">
        <v>46</v>
      </c>
      <c r="C1022" t="s">
        <v>1888</v>
      </c>
      <c r="D1022">
        <v>1987</v>
      </c>
      <c r="E1022">
        <v>31</v>
      </c>
      <c r="F1022" t="s">
        <v>117</v>
      </c>
      <c r="G1022" t="s">
        <v>132</v>
      </c>
      <c r="H1022">
        <v>4130000</v>
      </c>
      <c r="I1022">
        <v>9350000</v>
      </c>
      <c r="J1022" t="s">
        <v>55</v>
      </c>
      <c r="K1022">
        <v>29</v>
      </c>
      <c r="L1022">
        <v>2166</v>
      </c>
      <c r="M1022">
        <v>0</v>
      </c>
      <c r="N1022">
        <v>733</v>
      </c>
      <c r="O1022">
        <v>0</v>
      </c>
      <c r="P1022">
        <v>0</v>
      </c>
      <c r="Q1022">
        <v>0</v>
      </c>
      <c r="R1022">
        <v>5</v>
      </c>
      <c r="S1022">
        <v>4</v>
      </c>
      <c r="T1022">
        <v>20</v>
      </c>
      <c r="U1022">
        <v>3</v>
      </c>
      <c r="V1022">
        <v>1</v>
      </c>
      <c r="W1022">
        <v>18</v>
      </c>
      <c r="X1022">
        <v>0</v>
      </c>
      <c r="Y1022">
        <v>0</v>
      </c>
      <c r="Z1022">
        <v>0</v>
      </c>
      <c r="AA1022">
        <v>0</v>
      </c>
      <c r="AB1022">
        <v>5</v>
      </c>
      <c r="AC1022">
        <v>17</v>
      </c>
      <c r="AD1022">
        <v>0</v>
      </c>
      <c r="AE1022">
        <v>12</v>
      </c>
      <c r="AF1022">
        <v>9</v>
      </c>
      <c r="AG1022">
        <v>30</v>
      </c>
      <c r="AH1022">
        <v>36</v>
      </c>
      <c r="AI1022">
        <v>0</v>
      </c>
      <c r="AJ1022">
        <v>78</v>
      </c>
      <c r="AK1022">
        <v>0</v>
      </c>
      <c r="AL1022">
        <v>0</v>
      </c>
      <c r="AM1022">
        <v>36</v>
      </c>
      <c r="AN1022">
        <v>36</v>
      </c>
      <c r="AO1022">
        <v>46</v>
      </c>
      <c r="AQ1022" t="str">
        <f t="shared" si="15"/>
        <v>Midfielder</v>
      </c>
    </row>
    <row r="1023" spans="1:43" x14ac:dyDescent="0.35">
      <c r="A1023" t="s">
        <v>634</v>
      </c>
      <c r="B1023" t="s">
        <v>39</v>
      </c>
      <c r="C1023" t="s">
        <v>1889</v>
      </c>
      <c r="D1023">
        <v>1992</v>
      </c>
      <c r="E1023">
        <v>23</v>
      </c>
      <c r="F1023" t="s">
        <v>61</v>
      </c>
      <c r="G1023" t="s">
        <v>101</v>
      </c>
      <c r="H1023">
        <v>9350000</v>
      </c>
      <c r="I1023">
        <v>11000000</v>
      </c>
      <c r="J1023" t="s">
        <v>55</v>
      </c>
      <c r="K1023">
        <v>11</v>
      </c>
      <c r="L1023">
        <v>794</v>
      </c>
      <c r="M1023">
        <v>0</v>
      </c>
      <c r="N1023">
        <v>738</v>
      </c>
      <c r="O1023">
        <v>1</v>
      </c>
      <c r="P1023">
        <v>3</v>
      </c>
      <c r="Q1023">
        <v>0</v>
      </c>
      <c r="R1023">
        <v>2</v>
      </c>
      <c r="S1023">
        <v>4</v>
      </c>
      <c r="T1023">
        <v>13</v>
      </c>
      <c r="U1023">
        <v>0</v>
      </c>
      <c r="V1023">
        <v>0</v>
      </c>
      <c r="W1023">
        <v>8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2</v>
      </c>
      <c r="AD1023">
        <v>6</v>
      </c>
      <c r="AE1023">
        <v>11</v>
      </c>
      <c r="AF1023">
        <v>3</v>
      </c>
      <c r="AG1023">
        <v>16</v>
      </c>
      <c r="AH1023">
        <v>9</v>
      </c>
      <c r="AI1023">
        <v>0</v>
      </c>
      <c r="AJ1023">
        <v>10</v>
      </c>
      <c r="AK1023">
        <v>0</v>
      </c>
      <c r="AL1023">
        <v>0</v>
      </c>
      <c r="AM1023">
        <v>16</v>
      </c>
      <c r="AN1023">
        <v>5</v>
      </c>
      <c r="AO1023">
        <v>9</v>
      </c>
      <c r="AQ1023" t="str">
        <f t="shared" si="15"/>
        <v>Midfielder</v>
      </c>
    </row>
    <row r="1024" spans="1:43" x14ac:dyDescent="0.35">
      <c r="A1024" t="s">
        <v>634</v>
      </c>
      <c r="B1024" t="s">
        <v>47</v>
      </c>
      <c r="C1024" t="s">
        <v>1890</v>
      </c>
      <c r="D1024">
        <v>1992</v>
      </c>
      <c r="E1024">
        <v>24</v>
      </c>
      <c r="F1024" t="s">
        <v>61</v>
      </c>
      <c r="G1024" t="s">
        <v>101</v>
      </c>
      <c r="H1024">
        <v>11000000</v>
      </c>
      <c r="I1024">
        <v>11000000</v>
      </c>
      <c r="J1024" t="s">
        <v>55</v>
      </c>
      <c r="K1024">
        <v>14</v>
      </c>
      <c r="L1024">
        <v>694</v>
      </c>
      <c r="M1024">
        <v>0</v>
      </c>
      <c r="N1024">
        <v>616</v>
      </c>
      <c r="O1024">
        <v>1</v>
      </c>
      <c r="P1024">
        <v>1</v>
      </c>
      <c r="Q1024">
        <v>0</v>
      </c>
      <c r="R1024">
        <v>6</v>
      </c>
      <c r="S1024">
        <v>6</v>
      </c>
      <c r="T1024">
        <v>15</v>
      </c>
      <c r="U1024">
        <v>2</v>
      </c>
      <c r="V1024">
        <v>0</v>
      </c>
      <c r="W1024">
        <v>2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7</v>
      </c>
      <c r="AE1024">
        <v>8</v>
      </c>
      <c r="AF1024">
        <v>0</v>
      </c>
      <c r="AG1024">
        <v>8</v>
      </c>
      <c r="AH1024">
        <v>10</v>
      </c>
      <c r="AI1024">
        <v>0</v>
      </c>
      <c r="AJ1024">
        <v>22</v>
      </c>
      <c r="AK1024">
        <v>0</v>
      </c>
      <c r="AL1024">
        <v>0</v>
      </c>
      <c r="AM1024">
        <v>5</v>
      </c>
      <c r="AN1024">
        <v>5</v>
      </c>
      <c r="AO1024">
        <v>5</v>
      </c>
      <c r="AQ1024" t="str">
        <f t="shared" si="15"/>
        <v>Midfielder</v>
      </c>
    </row>
    <row r="1025" spans="1:43" x14ac:dyDescent="0.35">
      <c r="A1025" t="s">
        <v>634</v>
      </c>
      <c r="B1025" t="s">
        <v>43</v>
      </c>
      <c r="C1025" t="s">
        <v>1891</v>
      </c>
      <c r="D1025">
        <v>1992</v>
      </c>
      <c r="E1025">
        <v>25</v>
      </c>
      <c r="F1025" t="s">
        <v>61</v>
      </c>
      <c r="G1025" t="s">
        <v>101</v>
      </c>
      <c r="H1025">
        <v>1000000</v>
      </c>
      <c r="I1025">
        <v>8000000</v>
      </c>
      <c r="J1025" t="s">
        <v>55</v>
      </c>
      <c r="K1025">
        <v>13</v>
      </c>
      <c r="L1025">
        <v>869</v>
      </c>
      <c r="M1025">
        <v>0</v>
      </c>
      <c r="N1025">
        <v>837</v>
      </c>
      <c r="O1025">
        <v>1</v>
      </c>
      <c r="P1025">
        <v>3</v>
      </c>
      <c r="Q1025">
        <v>1</v>
      </c>
      <c r="R1025">
        <v>2</v>
      </c>
      <c r="S1025">
        <v>5</v>
      </c>
      <c r="T1025">
        <v>1</v>
      </c>
      <c r="U1025">
        <v>1</v>
      </c>
      <c r="V1025">
        <v>0</v>
      </c>
      <c r="W1025">
        <v>4</v>
      </c>
      <c r="X1025">
        <v>0</v>
      </c>
      <c r="Y1025">
        <v>0</v>
      </c>
      <c r="Z1025">
        <v>0</v>
      </c>
      <c r="AA1025">
        <v>1</v>
      </c>
      <c r="AB1025">
        <v>2</v>
      </c>
      <c r="AC1025">
        <v>0</v>
      </c>
      <c r="AD1025">
        <v>3</v>
      </c>
      <c r="AE1025">
        <v>8</v>
      </c>
      <c r="AF1025">
        <v>0</v>
      </c>
      <c r="AG1025">
        <v>10</v>
      </c>
      <c r="AH1025">
        <v>4</v>
      </c>
      <c r="AI1025">
        <v>0</v>
      </c>
      <c r="AJ1025">
        <v>12</v>
      </c>
      <c r="AK1025">
        <v>0</v>
      </c>
      <c r="AL1025">
        <v>0</v>
      </c>
      <c r="AM1025">
        <v>12</v>
      </c>
      <c r="AN1025">
        <v>6</v>
      </c>
      <c r="AO1025">
        <v>13</v>
      </c>
      <c r="AQ1025" t="str">
        <f t="shared" si="15"/>
        <v>Midfielder</v>
      </c>
    </row>
    <row r="1026" spans="1:43" x14ac:dyDescent="0.35">
      <c r="A1026" t="s">
        <v>635</v>
      </c>
      <c r="B1026" t="s">
        <v>46</v>
      </c>
      <c r="C1026" t="s">
        <v>1892</v>
      </c>
      <c r="D1026">
        <v>1994</v>
      </c>
      <c r="E1026">
        <v>23</v>
      </c>
      <c r="F1026" t="s">
        <v>220</v>
      </c>
      <c r="G1026" t="s">
        <v>87</v>
      </c>
      <c r="H1026">
        <v>13500000</v>
      </c>
      <c r="I1026">
        <v>13500000</v>
      </c>
      <c r="J1026" t="s">
        <v>42</v>
      </c>
      <c r="K1026">
        <v>16</v>
      </c>
      <c r="L1026">
        <v>790</v>
      </c>
      <c r="M1026">
        <v>0</v>
      </c>
      <c r="N1026">
        <v>222</v>
      </c>
      <c r="O1026">
        <v>0</v>
      </c>
      <c r="P1026">
        <v>0</v>
      </c>
      <c r="Q1026">
        <v>0</v>
      </c>
      <c r="R1026">
        <v>8</v>
      </c>
      <c r="S1026">
        <v>5</v>
      </c>
      <c r="T1026">
        <v>20</v>
      </c>
      <c r="U1026">
        <v>6</v>
      </c>
      <c r="V1026">
        <v>2</v>
      </c>
      <c r="W1026">
        <v>1</v>
      </c>
      <c r="X1026">
        <v>0</v>
      </c>
      <c r="Y1026">
        <v>0</v>
      </c>
      <c r="Z1026">
        <v>0</v>
      </c>
      <c r="AA1026">
        <v>2</v>
      </c>
      <c r="AB1026">
        <v>2</v>
      </c>
      <c r="AC1026">
        <v>14</v>
      </c>
      <c r="AD1026">
        <v>24</v>
      </c>
      <c r="AE1026">
        <v>48</v>
      </c>
      <c r="AF1026">
        <v>1</v>
      </c>
      <c r="AG1026">
        <v>6</v>
      </c>
      <c r="AH1026">
        <v>10</v>
      </c>
      <c r="AI1026">
        <v>0</v>
      </c>
      <c r="AJ1026">
        <v>16</v>
      </c>
      <c r="AK1026">
        <v>0</v>
      </c>
      <c r="AL1026">
        <v>0</v>
      </c>
      <c r="AM1026">
        <v>5</v>
      </c>
      <c r="AN1026">
        <v>9</v>
      </c>
      <c r="AO1026">
        <v>15</v>
      </c>
      <c r="AQ1026" t="str">
        <f t="shared" ref="AQ1026:AQ1089" si="16">IF(J1026 = "FW", REPLACE(J1026,1,2,"Forward"),IF(J1026 = "DF", "Defensive Forward", "Midfielder"))</f>
        <v>Forward</v>
      </c>
    </row>
    <row r="1027" spans="1:43" x14ac:dyDescent="0.35">
      <c r="A1027" t="s">
        <v>636</v>
      </c>
      <c r="B1027" t="s">
        <v>43</v>
      </c>
      <c r="C1027" t="s">
        <v>1893</v>
      </c>
      <c r="D1027">
        <v>1992</v>
      </c>
      <c r="E1027">
        <v>25</v>
      </c>
      <c r="F1027" t="s">
        <v>80</v>
      </c>
      <c r="G1027" t="s">
        <v>101</v>
      </c>
      <c r="H1027">
        <v>88000000</v>
      </c>
      <c r="I1027">
        <v>135000000</v>
      </c>
      <c r="J1027" t="s">
        <v>42</v>
      </c>
      <c r="K1027">
        <v>36</v>
      </c>
      <c r="L1027">
        <v>2921</v>
      </c>
      <c r="M1027">
        <v>32</v>
      </c>
      <c r="N1027">
        <v>946</v>
      </c>
      <c r="O1027">
        <v>10</v>
      </c>
      <c r="P1027">
        <v>1</v>
      </c>
      <c r="Q1027">
        <v>0</v>
      </c>
      <c r="R1027">
        <v>2</v>
      </c>
      <c r="S1027">
        <v>17</v>
      </c>
      <c r="T1027">
        <v>144</v>
      </c>
      <c r="U1027">
        <v>67</v>
      </c>
      <c r="V1027">
        <v>3</v>
      </c>
      <c r="W1027">
        <v>2</v>
      </c>
      <c r="X1027">
        <v>2</v>
      </c>
      <c r="Y1027">
        <v>1</v>
      </c>
      <c r="Z1027">
        <v>0</v>
      </c>
      <c r="AA1027">
        <v>17</v>
      </c>
      <c r="AB1027">
        <v>8</v>
      </c>
      <c r="AC1027">
        <v>77</v>
      </c>
      <c r="AD1027">
        <v>62</v>
      </c>
      <c r="AE1027">
        <v>86</v>
      </c>
      <c r="AF1027">
        <v>0</v>
      </c>
      <c r="AG1027">
        <v>5</v>
      </c>
      <c r="AH1027">
        <v>16</v>
      </c>
      <c r="AI1027">
        <v>0</v>
      </c>
      <c r="AJ1027">
        <v>12</v>
      </c>
      <c r="AK1027">
        <v>0</v>
      </c>
      <c r="AL1027">
        <v>0</v>
      </c>
      <c r="AM1027">
        <v>3</v>
      </c>
      <c r="AN1027">
        <v>13</v>
      </c>
      <c r="AO1027">
        <v>35</v>
      </c>
      <c r="AQ1027" t="str">
        <f t="shared" si="16"/>
        <v>Forward</v>
      </c>
    </row>
    <row r="1028" spans="1:43" x14ac:dyDescent="0.35">
      <c r="A1028" t="s">
        <v>636</v>
      </c>
      <c r="B1028" t="s">
        <v>46</v>
      </c>
      <c r="C1028" t="s">
        <v>1894</v>
      </c>
      <c r="D1028">
        <v>1992</v>
      </c>
      <c r="E1028">
        <v>26</v>
      </c>
      <c r="F1028" t="s">
        <v>80</v>
      </c>
      <c r="G1028" t="s">
        <v>101</v>
      </c>
      <c r="H1028">
        <v>135000000</v>
      </c>
      <c r="I1028">
        <v>165000000</v>
      </c>
      <c r="J1028" t="s">
        <v>42</v>
      </c>
      <c r="K1028">
        <v>38</v>
      </c>
      <c r="L1028">
        <v>3256</v>
      </c>
      <c r="M1028">
        <v>22</v>
      </c>
      <c r="N1028">
        <v>1079</v>
      </c>
      <c r="O1028">
        <v>8</v>
      </c>
      <c r="P1028">
        <v>0</v>
      </c>
      <c r="Q1028">
        <v>0</v>
      </c>
      <c r="R1028">
        <v>0</v>
      </c>
      <c r="S1028">
        <v>13</v>
      </c>
      <c r="T1028">
        <v>137</v>
      </c>
      <c r="U1028">
        <v>64</v>
      </c>
      <c r="V1028">
        <v>2</v>
      </c>
      <c r="W1028">
        <v>1</v>
      </c>
      <c r="X1028">
        <v>0</v>
      </c>
      <c r="Y1028">
        <v>3</v>
      </c>
      <c r="Z1028">
        <v>0</v>
      </c>
      <c r="AA1028">
        <v>27</v>
      </c>
      <c r="AB1028">
        <v>19</v>
      </c>
      <c r="AC1028">
        <v>73</v>
      </c>
      <c r="AD1028">
        <v>35</v>
      </c>
      <c r="AE1028">
        <v>57</v>
      </c>
      <c r="AF1028">
        <v>0</v>
      </c>
      <c r="AG1028">
        <v>5</v>
      </c>
      <c r="AH1028">
        <v>25</v>
      </c>
      <c r="AI1028">
        <v>0</v>
      </c>
      <c r="AJ1028">
        <v>21</v>
      </c>
      <c r="AK1028">
        <v>0</v>
      </c>
      <c r="AL1028">
        <v>0</v>
      </c>
      <c r="AM1028">
        <v>4</v>
      </c>
      <c r="AN1028">
        <v>11</v>
      </c>
      <c r="AO1028">
        <v>60</v>
      </c>
      <c r="AQ1028" t="str">
        <f t="shared" si="16"/>
        <v>Forward</v>
      </c>
    </row>
    <row r="1029" spans="1:43" x14ac:dyDescent="0.35">
      <c r="A1029" t="s">
        <v>637</v>
      </c>
      <c r="B1029" t="s">
        <v>46</v>
      </c>
      <c r="C1029" t="s">
        <v>1895</v>
      </c>
      <c r="D1029">
        <v>2000</v>
      </c>
      <c r="E1029">
        <v>18</v>
      </c>
      <c r="F1029" t="s">
        <v>90</v>
      </c>
      <c r="G1029" t="s">
        <v>51</v>
      </c>
      <c r="H1029">
        <v>30800000</v>
      </c>
      <c r="I1029">
        <v>30800000</v>
      </c>
      <c r="J1029" t="s">
        <v>55</v>
      </c>
      <c r="K1029">
        <v>26</v>
      </c>
      <c r="L1029">
        <v>650</v>
      </c>
      <c r="M1029">
        <v>0</v>
      </c>
      <c r="N1029">
        <v>317</v>
      </c>
      <c r="O1029">
        <v>1</v>
      </c>
      <c r="P1029">
        <v>1</v>
      </c>
      <c r="Q1029">
        <v>0</v>
      </c>
      <c r="R1029">
        <v>21</v>
      </c>
      <c r="S1029">
        <v>5</v>
      </c>
      <c r="T1029">
        <v>8</v>
      </c>
      <c r="U1029">
        <v>1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2</v>
      </c>
      <c r="AB1029">
        <v>4</v>
      </c>
      <c r="AC1029">
        <v>7</v>
      </c>
      <c r="AD1029">
        <v>9</v>
      </c>
      <c r="AE1029">
        <v>17</v>
      </c>
      <c r="AF1029">
        <v>0</v>
      </c>
      <c r="AG1029">
        <v>1</v>
      </c>
      <c r="AH1029">
        <v>8</v>
      </c>
      <c r="AI1029">
        <v>0</v>
      </c>
      <c r="AJ1029">
        <v>6</v>
      </c>
      <c r="AK1029">
        <v>0</v>
      </c>
      <c r="AL1029">
        <v>0</v>
      </c>
      <c r="AM1029">
        <v>0</v>
      </c>
      <c r="AN1029">
        <v>12</v>
      </c>
      <c r="AO1029">
        <v>18</v>
      </c>
      <c r="AQ1029" t="str">
        <f t="shared" si="16"/>
        <v>Midfielder</v>
      </c>
    </row>
    <row r="1030" spans="1:43" x14ac:dyDescent="0.35">
      <c r="A1030" t="s">
        <v>638</v>
      </c>
      <c r="B1030" t="s">
        <v>39</v>
      </c>
      <c r="C1030" t="s">
        <v>1896</v>
      </c>
      <c r="D1030">
        <v>1989</v>
      </c>
      <c r="E1030">
        <v>25</v>
      </c>
      <c r="F1030" t="s">
        <v>129</v>
      </c>
      <c r="G1030" t="s">
        <v>67</v>
      </c>
      <c r="H1030">
        <v>30800000</v>
      </c>
      <c r="I1030">
        <v>24200000</v>
      </c>
      <c r="J1030" t="s">
        <v>55</v>
      </c>
      <c r="K1030">
        <v>29</v>
      </c>
      <c r="L1030">
        <v>2204</v>
      </c>
      <c r="M1030">
        <v>1</v>
      </c>
      <c r="N1030">
        <v>1459</v>
      </c>
      <c r="O1030">
        <v>0</v>
      </c>
      <c r="P1030">
        <v>3</v>
      </c>
      <c r="Q1030">
        <v>0</v>
      </c>
      <c r="R1030">
        <v>4</v>
      </c>
      <c r="S1030">
        <v>4</v>
      </c>
      <c r="T1030">
        <v>11</v>
      </c>
      <c r="U1030">
        <v>1</v>
      </c>
      <c r="V1030">
        <v>0</v>
      </c>
      <c r="W1030">
        <v>24</v>
      </c>
      <c r="X1030">
        <v>0</v>
      </c>
      <c r="Y1030">
        <v>0</v>
      </c>
      <c r="Z1030">
        <v>0</v>
      </c>
      <c r="AA1030">
        <v>0</v>
      </c>
      <c r="AB1030">
        <v>1</v>
      </c>
      <c r="AC1030">
        <v>0</v>
      </c>
      <c r="AD1030">
        <v>3</v>
      </c>
      <c r="AE1030">
        <v>7</v>
      </c>
      <c r="AF1030">
        <v>5</v>
      </c>
      <c r="AG1030">
        <v>74</v>
      </c>
      <c r="AH1030">
        <v>52</v>
      </c>
      <c r="AI1030">
        <v>0</v>
      </c>
      <c r="AJ1030">
        <v>71</v>
      </c>
      <c r="AK1030">
        <v>0</v>
      </c>
      <c r="AL1030">
        <v>0</v>
      </c>
      <c r="AM1030">
        <v>48</v>
      </c>
      <c r="AN1030">
        <v>19</v>
      </c>
      <c r="AO1030">
        <v>31</v>
      </c>
      <c r="AQ1030" t="str">
        <f t="shared" si="16"/>
        <v>Midfielder</v>
      </c>
    </row>
    <row r="1031" spans="1:43" x14ac:dyDescent="0.35">
      <c r="A1031" t="s">
        <v>638</v>
      </c>
      <c r="B1031" t="s">
        <v>47</v>
      </c>
      <c r="C1031" t="s">
        <v>1897</v>
      </c>
      <c r="D1031">
        <v>1989</v>
      </c>
      <c r="E1031">
        <v>26</v>
      </c>
      <c r="F1031" t="s">
        <v>54</v>
      </c>
      <c r="G1031" t="s">
        <v>67</v>
      </c>
      <c r="H1031">
        <v>24200000</v>
      </c>
      <c r="I1031">
        <v>22000000</v>
      </c>
      <c r="J1031" t="s">
        <v>55</v>
      </c>
      <c r="K1031">
        <v>17</v>
      </c>
      <c r="L1031">
        <v>1070</v>
      </c>
      <c r="M1031">
        <v>1</v>
      </c>
      <c r="N1031">
        <v>866</v>
      </c>
      <c r="O1031">
        <v>0</v>
      </c>
      <c r="P1031">
        <v>2</v>
      </c>
      <c r="Q1031">
        <v>0</v>
      </c>
      <c r="R1031">
        <v>5</v>
      </c>
      <c r="S1031">
        <v>2</v>
      </c>
      <c r="T1031">
        <v>8</v>
      </c>
      <c r="U1031">
        <v>3</v>
      </c>
      <c r="V1031">
        <v>0</v>
      </c>
      <c r="W1031">
        <v>13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1</v>
      </c>
      <c r="AF1031">
        <v>4</v>
      </c>
      <c r="AG1031">
        <v>31</v>
      </c>
      <c r="AH1031">
        <v>21</v>
      </c>
      <c r="AI1031">
        <v>0</v>
      </c>
      <c r="AJ1031">
        <v>26</v>
      </c>
      <c r="AK1031">
        <v>0</v>
      </c>
      <c r="AL1031">
        <v>0</v>
      </c>
      <c r="AM1031">
        <v>28</v>
      </c>
      <c r="AN1031">
        <v>18</v>
      </c>
      <c r="AO1031">
        <v>28</v>
      </c>
      <c r="AQ1031" t="str">
        <f t="shared" si="16"/>
        <v>Midfielder</v>
      </c>
    </row>
    <row r="1032" spans="1:43" x14ac:dyDescent="0.35">
      <c r="A1032" t="s">
        <v>638</v>
      </c>
      <c r="B1032" t="s">
        <v>43</v>
      </c>
      <c r="C1032" t="s">
        <v>1898</v>
      </c>
      <c r="D1032">
        <v>1989</v>
      </c>
      <c r="E1032">
        <v>28</v>
      </c>
      <c r="F1032" t="s">
        <v>54</v>
      </c>
      <c r="G1032" t="s">
        <v>67</v>
      </c>
      <c r="H1032">
        <v>22000000</v>
      </c>
      <c r="I1032">
        <v>16500000</v>
      </c>
      <c r="J1032" t="s">
        <v>55</v>
      </c>
      <c r="K1032">
        <v>30</v>
      </c>
      <c r="L1032">
        <v>2128</v>
      </c>
      <c r="M1032">
        <v>0</v>
      </c>
      <c r="N1032">
        <v>1130</v>
      </c>
      <c r="O1032">
        <v>0</v>
      </c>
      <c r="P1032">
        <v>5</v>
      </c>
      <c r="Q1032">
        <v>1</v>
      </c>
      <c r="R1032">
        <v>6</v>
      </c>
      <c r="S1032">
        <v>4</v>
      </c>
      <c r="T1032">
        <v>0</v>
      </c>
      <c r="U1032">
        <v>0</v>
      </c>
      <c r="V1032">
        <v>0</v>
      </c>
      <c r="W1032">
        <v>25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4</v>
      </c>
      <c r="AE1032">
        <v>8</v>
      </c>
      <c r="AF1032">
        <v>7</v>
      </c>
      <c r="AG1032">
        <v>61</v>
      </c>
      <c r="AH1032">
        <v>39</v>
      </c>
      <c r="AI1032">
        <v>0</v>
      </c>
      <c r="AJ1032">
        <v>58</v>
      </c>
      <c r="AK1032">
        <v>0</v>
      </c>
      <c r="AL1032">
        <v>0</v>
      </c>
      <c r="AM1032">
        <v>59</v>
      </c>
      <c r="AN1032">
        <v>37</v>
      </c>
      <c r="AO1032">
        <v>37</v>
      </c>
      <c r="AQ1032" t="str">
        <f t="shared" si="16"/>
        <v>Midfielder</v>
      </c>
    </row>
    <row r="1033" spans="1:43" x14ac:dyDescent="0.35">
      <c r="A1033" t="s">
        <v>638</v>
      </c>
      <c r="B1033" t="s">
        <v>46</v>
      </c>
      <c r="C1033" t="s">
        <v>1899</v>
      </c>
      <c r="D1033">
        <v>1989</v>
      </c>
      <c r="E1033">
        <v>28</v>
      </c>
      <c r="F1033" t="s">
        <v>54</v>
      </c>
      <c r="G1033" t="s">
        <v>67</v>
      </c>
      <c r="H1033">
        <v>19800000</v>
      </c>
      <c r="I1033">
        <v>19800000</v>
      </c>
      <c r="J1033" t="s">
        <v>55</v>
      </c>
      <c r="K1033">
        <v>14</v>
      </c>
      <c r="L1033">
        <v>835</v>
      </c>
      <c r="M1033">
        <v>0</v>
      </c>
      <c r="N1033">
        <v>545</v>
      </c>
      <c r="O1033">
        <v>0</v>
      </c>
      <c r="P1033">
        <v>2</v>
      </c>
      <c r="Q1033">
        <v>0</v>
      </c>
      <c r="R1033">
        <v>4</v>
      </c>
      <c r="S1033">
        <v>3</v>
      </c>
      <c r="T1033">
        <v>3</v>
      </c>
      <c r="U1033">
        <v>0</v>
      </c>
      <c r="V1033">
        <v>0</v>
      </c>
      <c r="W1033">
        <v>8</v>
      </c>
      <c r="X1033">
        <v>0</v>
      </c>
      <c r="Y1033">
        <v>0</v>
      </c>
      <c r="Z1033">
        <v>0</v>
      </c>
      <c r="AA1033">
        <v>0</v>
      </c>
      <c r="AB1033">
        <v>2</v>
      </c>
      <c r="AC1033">
        <v>3</v>
      </c>
      <c r="AD1033">
        <v>0</v>
      </c>
      <c r="AE1033">
        <v>2</v>
      </c>
      <c r="AF1033">
        <v>3</v>
      </c>
      <c r="AG1033">
        <v>15</v>
      </c>
      <c r="AH1033">
        <v>21</v>
      </c>
      <c r="AI1033">
        <v>0</v>
      </c>
      <c r="AJ1033">
        <v>24</v>
      </c>
      <c r="AK1033">
        <v>0</v>
      </c>
      <c r="AL1033">
        <v>0</v>
      </c>
      <c r="AM1033">
        <v>15</v>
      </c>
      <c r="AN1033">
        <v>20</v>
      </c>
      <c r="AO1033">
        <v>16</v>
      </c>
      <c r="AQ1033" t="str">
        <f t="shared" si="16"/>
        <v>Midfielder</v>
      </c>
    </row>
    <row r="1034" spans="1:43" x14ac:dyDescent="0.35">
      <c r="A1034" t="s">
        <v>639</v>
      </c>
      <c r="B1034" t="s">
        <v>43</v>
      </c>
      <c r="C1034" t="s">
        <v>1900</v>
      </c>
      <c r="D1034">
        <v>1992</v>
      </c>
      <c r="E1034">
        <v>25</v>
      </c>
      <c r="F1034" t="s">
        <v>184</v>
      </c>
      <c r="G1034" t="s">
        <v>112</v>
      </c>
      <c r="H1034">
        <v>2530000</v>
      </c>
      <c r="I1034">
        <v>5500000</v>
      </c>
      <c r="J1034" t="s">
        <v>52</v>
      </c>
      <c r="K1034">
        <v>15</v>
      </c>
      <c r="L1034">
        <v>1308</v>
      </c>
      <c r="M1034">
        <v>0</v>
      </c>
      <c r="N1034">
        <v>286</v>
      </c>
      <c r="O1034">
        <v>0</v>
      </c>
      <c r="P1034">
        <v>4</v>
      </c>
      <c r="Q1034">
        <v>0</v>
      </c>
      <c r="R1034">
        <v>0</v>
      </c>
      <c r="S1034">
        <v>3</v>
      </c>
      <c r="T1034">
        <v>1</v>
      </c>
      <c r="U1034">
        <v>1</v>
      </c>
      <c r="V1034">
        <v>0</v>
      </c>
      <c r="W1034">
        <v>15</v>
      </c>
      <c r="X1034">
        <v>0</v>
      </c>
      <c r="Y1034">
        <v>0</v>
      </c>
      <c r="Z1034">
        <v>0</v>
      </c>
      <c r="AA1034">
        <v>1</v>
      </c>
      <c r="AB1034">
        <v>0</v>
      </c>
      <c r="AC1034">
        <v>0</v>
      </c>
      <c r="AD1034">
        <v>0</v>
      </c>
      <c r="AE1034">
        <v>39</v>
      </c>
      <c r="AF1034">
        <v>1</v>
      </c>
      <c r="AG1034">
        <v>12</v>
      </c>
      <c r="AH1034">
        <v>19</v>
      </c>
      <c r="AI1034">
        <v>0</v>
      </c>
      <c r="AJ1034">
        <v>24</v>
      </c>
      <c r="AK1034">
        <v>0</v>
      </c>
      <c r="AL1034">
        <v>0</v>
      </c>
      <c r="AM1034">
        <v>40</v>
      </c>
      <c r="AN1034">
        <v>19</v>
      </c>
      <c r="AO1034">
        <v>22</v>
      </c>
      <c r="AQ1034" t="str">
        <f t="shared" si="16"/>
        <v>Defensive Forward</v>
      </c>
    </row>
    <row r="1035" spans="1:43" x14ac:dyDescent="0.35">
      <c r="A1035" t="s">
        <v>640</v>
      </c>
      <c r="B1035" t="s">
        <v>47</v>
      </c>
      <c r="C1035" t="s">
        <v>1901</v>
      </c>
      <c r="D1035">
        <v>1987</v>
      </c>
      <c r="E1035">
        <v>29</v>
      </c>
      <c r="F1035" t="s">
        <v>191</v>
      </c>
      <c r="G1035" t="s">
        <v>95</v>
      </c>
      <c r="H1035">
        <v>15400000</v>
      </c>
      <c r="I1035">
        <v>19800000</v>
      </c>
      <c r="J1035" t="s">
        <v>55</v>
      </c>
      <c r="K1035">
        <v>30</v>
      </c>
      <c r="L1035">
        <v>2065</v>
      </c>
      <c r="M1035">
        <v>1</v>
      </c>
      <c r="N1035">
        <v>1479</v>
      </c>
      <c r="O1035">
        <v>1</v>
      </c>
      <c r="P1035">
        <v>5</v>
      </c>
      <c r="Q1035">
        <v>0</v>
      </c>
      <c r="R1035">
        <v>6</v>
      </c>
      <c r="S1035">
        <v>16</v>
      </c>
      <c r="T1035">
        <v>15</v>
      </c>
      <c r="U1035">
        <v>3</v>
      </c>
      <c r="V1035">
        <v>0</v>
      </c>
      <c r="W1035">
        <v>12</v>
      </c>
      <c r="X1035">
        <v>0</v>
      </c>
      <c r="Y1035">
        <v>0</v>
      </c>
      <c r="Z1035">
        <v>0</v>
      </c>
      <c r="AA1035">
        <v>0</v>
      </c>
      <c r="AB1035">
        <v>3</v>
      </c>
      <c r="AC1035">
        <v>0</v>
      </c>
      <c r="AD1035">
        <v>0</v>
      </c>
      <c r="AE1035">
        <v>3</v>
      </c>
      <c r="AF1035">
        <v>5</v>
      </c>
      <c r="AG1035">
        <v>25</v>
      </c>
      <c r="AH1035">
        <v>45</v>
      </c>
      <c r="AI1035">
        <v>0</v>
      </c>
      <c r="AJ1035">
        <v>64</v>
      </c>
      <c r="AK1035">
        <v>0</v>
      </c>
      <c r="AL1035">
        <v>0</v>
      </c>
      <c r="AM1035">
        <v>20</v>
      </c>
      <c r="AN1035">
        <v>23</v>
      </c>
      <c r="AO1035">
        <v>21</v>
      </c>
      <c r="AQ1035" t="str">
        <f t="shared" si="16"/>
        <v>Midfielder</v>
      </c>
    </row>
    <row r="1036" spans="1:43" x14ac:dyDescent="0.35">
      <c r="A1036" t="s">
        <v>640</v>
      </c>
      <c r="B1036" t="s">
        <v>39</v>
      </c>
      <c r="C1036" t="s">
        <v>1902</v>
      </c>
      <c r="D1036">
        <v>1987</v>
      </c>
      <c r="E1036">
        <v>28</v>
      </c>
      <c r="F1036" t="s">
        <v>191</v>
      </c>
      <c r="G1036" t="s">
        <v>95</v>
      </c>
      <c r="H1036">
        <v>19800000</v>
      </c>
      <c r="I1036">
        <v>19800000</v>
      </c>
      <c r="J1036" t="s">
        <v>55</v>
      </c>
      <c r="K1036">
        <v>29</v>
      </c>
      <c r="L1036">
        <v>2273</v>
      </c>
      <c r="M1036">
        <v>3</v>
      </c>
      <c r="N1036">
        <v>1378</v>
      </c>
      <c r="O1036">
        <v>0</v>
      </c>
      <c r="P1036">
        <v>3</v>
      </c>
      <c r="Q1036">
        <v>0</v>
      </c>
      <c r="R1036">
        <v>2</v>
      </c>
      <c r="S1036">
        <v>10</v>
      </c>
      <c r="T1036">
        <v>22</v>
      </c>
      <c r="U1036">
        <v>9</v>
      </c>
      <c r="V1036">
        <v>0</v>
      </c>
      <c r="W1036">
        <v>17</v>
      </c>
      <c r="X1036">
        <v>0</v>
      </c>
      <c r="Y1036">
        <v>0</v>
      </c>
      <c r="Z1036">
        <v>0</v>
      </c>
      <c r="AA1036">
        <v>2</v>
      </c>
      <c r="AB1036">
        <v>3</v>
      </c>
      <c r="AC1036">
        <v>1</v>
      </c>
      <c r="AD1036">
        <v>0</v>
      </c>
      <c r="AE1036">
        <v>4</v>
      </c>
      <c r="AF1036">
        <v>8</v>
      </c>
      <c r="AG1036">
        <v>56</v>
      </c>
      <c r="AH1036">
        <v>48</v>
      </c>
      <c r="AI1036">
        <v>0</v>
      </c>
      <c r="AJ1036">
        <v>104</v>
      </c>
      <c r="AK1036">
        <v>0</v>
      </c>
      <c r="AL1036">
        <v>0</v>
      </c>
      <c r="AM1036">
        <v>33</v>
      </c>
      <c r="AN1036">
        <v>31</v>
      </c>
      <c r="AO1036">
        <v>28</v>
      </c>
      <c r="AQ1036" t="str">
        <f t="shared" si="16"/>
        <v>Midfielder</v>
      </c>
    </row>
    <row r="1037" spans="1:43" x14ac:dyDescent="0.35">
      <c r="A1037" t="s">
        <v>640</v>
      </c>
      <c r="B1037" t="s">
        <v>43</v>
      </c>
      <c r="C1037" t="s">
        <v>1903</v>
      </c>
      <c r="D1037">
        <v>1987</v>
      </c>
      <c r="E1037">
        <v>30</v>
      </c>
      <c r="F1037" t="s">
        <v>191</v>
      </c>
      <c r="G1037" t="s">
        <v>95</v>
      </c>
      <c r="H1037">
        <v>19800000</v>
      </c>
      <c r="I1037">
        <v>13200000</v>
      </c>
      <c r="J1037" t="s">
        <v>55</v>
      </c>
      <c r="K1037">
        <v>28</v>
      </c>
      <c r="L1037">
        <v>1883</v>
      </c>
      <c r="M1037">
        <v>0</v>
      </c>
      <c r="N1037">
        <v>1422</v>
      </c>
      <c r="O1037">
        <v>0</v>
      </c>
      <c r="P1037">
        <v>6</v>
      </c>
      <c r="Q1037">
        <v>0</v>
      </c>
      <c r="R1037">
        <v>7</v>
      </c>
      <c r="S1037">
        <v>13</v>
      </c>
      <c r="T1037">
        <v>11</v>
      </c>
      <c r="U1037">
        <v>3</v>
      </c>
      <c r="V1037">
        <v>0</v>
      </c>
      <c r="W1037">
        <v>7</v>
      </c>
      <c r="X1037">
        <v>0</v>
      </c>
      <c r="Y1037">
        <v>0</v>
      </c>
      <c r="Z1037">
        <v>0</v>
      </c>
      <c r="AA1037">
        <v>0</v>
      </c>
      <c r="AB1037">
        <v>1</v>
      </c>
      <c r="AC1037">
        <v>8</v>
      </c>
      <c r="AD1037">
        <v>0</v>
      </c>
      <c r="AE1037">
        <v>1</v>
      </c>
      <c r="AF1037">
        <v>0</v>
      </c>
      <c r="AG1037">
        <v>33</v>
      </c>
      <c r="AH1037">
        <v>48</v>
      </c>
      <c r="AI1037">
        <v>0</v>
      </c>
      <c r="AJ1037">
        <v>36</v>
      </c>
      <c r="AK1037">
        <v>0</v>
      </c>
      <c r="AL1037">
        <v>0</v>
      </c>
      <c r="AM1037">
        <v>12</v>
      </c>
      <c r="AN1037">
        <v>9</v>
      </c>
      <c r="AO1037">
        <v>16</v>
      </c>
      <c r="AQ1037" t="str">
        <f t="shared" si="16"/>
        <v>Midfielder</v>
      </c>
    </row>
    <row r="1038" spans="1:43" x14ac:dyDescent="0.35">
      <c r="A1038" t="s">
        <v>640</v>
      </c>
      <c r="B1038" t="s">
        <v>46</v>
      </c>
      <c r="C1038" t="s">
        <v>1904</v>
      </c>
      <c r="D1038">
        <v>1987</v>
      </c>
      <c r="E1038">
        <v>31</v>
      </c>
      <c r="F1038" t="s">
        <v>191</v>
      </c>
      <c r="G1038" t="s">
        <v>95</v>
      </c>
      <c r="H1038">
        <v>16500000</v>
      </c>
      <c r="I1038">
        <v>14300000</v>
      </c>
      <c r="J1038" t="s">
        <v>55</v>
      </c>
      <c r="K1038">
        <v>10</v>
      </c>
      <c r="L1038">
        <v>515</v>
      </c>
      <c r="M1038">
        <v>0</v>
      </c>
      <c r="N1038">
        <v>308</v>
      </c>
      <c r="O1038">
        <v>0</v>
      </c>
      <c r="P1038">
        <v>0</v>
      </c>
      <c r="Q1038">
        <v>0</v>
      </c>
      <c r="R1038">
        <v>3</v>
      </c>
      <c r="S1038">
        <v>5</v>
      </c>
      <c r="T1038">
        <v>1</v>
      </c>
      <c r="U1038">
        <v>0</v>
      </c>
      <c r="V1038">
        <v>0</v>
      </c>
      <c r="W1038">
        <v>3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0</v>
      </c>
      <c r="AE1038">
        <v>0</v>
      </c>
      <c r="AF1038">
        <v>1</v>
      </c>
      <c r="AG1038">
        <v>7</v>
      </c>
      <c r="AH1038">
        <v>12</v>
      </c>
      <c r="AI1038">
        <v>0</v>
      </c>
      <c r="AJ1038">
        <v>13</v>
      </c>
      <c r="AK1038">
        <v>0</v>
      </c>
      <c r="AL1038">
        <v>0</v>
      </c>
      <c r="AM1038">
        <v>5</v>
      </c>
      <c r="AN1038">
        <v>6</v>
      </c>
      <c r="AO1038">
        <v>7</v>
      </c>
      <c r="AQ1038" t="str">
        <f t="shared" si="16"/>
        <v>Midfielder</v>
      </c>
    </row>
    <row r="1039" spans="1:43" x14ac:dyDescent="0.35">
      <c r="A1039" t="s">
        <v>641</v>
      </c>
      <c r="B1039" t="s">
        <v>39</v>
      </c>
      <c r="C1039" t="s">
        <v>1905</v>
      </c>
      <c r="D1039">
        <v>1989</v>
      </c>
      <c r="E1039">
        <v>25</v>
      </c>
      <c r="F1039" t="s">
        <v>117</v>
      </c>
      <c r="G1039" t="s">
        <v>67</v>
      </c>
      <c r="H1039">
        <v>14300000</v>
      </c>
      <c r="I1039">
        <v>22000000</v>
      </c>
      <c r="J1039" t="s">
        <v>55</v>
      </c>
      <c r="K1039">
        <v>37</v>
      </c>
      <c r="L1039">
        <v>3221</v>
      </c>
      <c r="M1039">
        <v>1</v>
      </c>
      <c r="N1039">
        <v>1385</v>
      </c>
      <c r="O1039">
        <v>7</v>
      </c>
      <c r="P1039">
        <v>3</v>
      </c>
      <c r="Q1039">
        <v>0</v>
      </c>
      <c r="R1039">
        <v>0</v>
      </c>
      <c r="S1039">
        <v>6</v>
      </c>
      <c r="T1039">
        <v>38</v>
      </c>
      <c r="U1039">
        <v>12</v>
      </c>
      <c r="V1039">
        <v>0</v>
      </c>
      <c r="W1039">
        <v>25</v>
      </c>
      <c r="X1039">
        <v>0</v>
      </c>
      <c r="Y1039">
        <v>0</v>
      </c>
      <c r="Z1039">
        <v>0</v>
      </c>
      <c r="AA1039">
        <v>3</v>
      </c>
      <c r="AB1039">
        <v>6</v>
      </c>
      <c r="AC1039">
        <v>3</v>
      </c>
      <c r="AD1039">
        <v>2</v>
      </c>
      <c r="AE1039">
        <v>144</v>
      </c>
      <c r="AF1039">
        <v>5</v>
      </c>
      <c r="AG1039">
        <v>35</v>
      </c>
      <c r="AH1039">
        <v>50</v>
      </c>
      <c r="AI1039">
        <v>0</v>
      </c>
      <c r="AJ1039">
        <v>54</v>
      </c>
      <c r="AK1039">
        <v>0</v>
      </c>
      <c r="AL1039">
        <v>0</v>
      </c>
      <c r="AM1039">
        <v>36</v>
      </c>
      <c r="AN1039">
        <v>55</v>
      </c>
      <c r="AO1039">
        <v>57</v>
      </c>
      <c r="AQ1039" t="str">
        <f t="shared" si="16"/>
        <v>Midfielder</v>
      </c>
    </row>
    <row r="1040" spans="1:43" x14ac:dyDescent="0.35">
      <c r="A1040" t="s">
        <v>641</v>
      </c>
      <c r="B1040" t="s">
        <v>47</v>
      </c>
      <c r="C1040" t="s">
        <v>1906</v>
      </c>
      <c r="D1040">
        <v>1989</v>
      </c>
      <c r="E1040">
        <v>26</v>
      </c>
      <c r="F1040" t="s">
        <v>191</v>
      </c>
      <c r="G1040" t="s">
        <v>67</v>
      </c>
      <c r="H1040">
        <v>22000000</v>
      </c>
      <c r="I1040">
        <v>19800000</v>
      </c>
      <c r="J1040" t="s">
        <v>55</v>
      </c>
      <c r="K1040">
        <v>25</v>
      </c>
      <c r="L1040">
        <v>902</v>
      </c>
      <c r="M1040">
        <v>0</v>
      </c>
      <c r="N1040">
        <v>453</v>
      </c>
      <c r="O1040">
        <v>2</v>
      </c>
      <c r="P1040">
        <v>3</v>
      </c>
      <c r="Q1040">
        <v>0</v>
      </c>
      <c r="R1040">
        <v>17</v>
      </c>
      <c r="S1040">
        <v>7</v>
      </c>
      <c r="T1040">
        <v>17</v>
      </c>
      <c r="U1040">
        <v>3</v>
      </c>
      <c r="V1040">
        <v>0</v>
      </c>
      <c r="W1040">
        <v>7</v>
      </c>
      <c r="X1040">
        <v>0</v>
      </c>
      <c r="Y1040">
        <v>0</v>
      </c>
      <c r="Z1040">
        <v>0</v>
      </c>
      <c r="AA1040">
        <v>2</v>
      </c>
      <c r="AB1040">
        <v>0</v>
      </c>
      <c r="AC1040">
        <v>0</v>
      </c>
      <c r="AD1040">
        <v>1</v>
      </c>
      <c r="AE1040">
        <v>34</v>
      </c>
      <c r="AF1040">
        <v>1</v>
      </c>
      <c r="AG1040">
        <v>7</v>
      </c>
      <c r="AH1040">
        <v>21</v>
      </c>
      <c r="AI1040">
        <v>0</v>
      </c>
      <c r="AJ1040">
        <v>14</v>
      </c>
      <c r="AK1040">
        <v>0</v>
      </c>
      <c r="AL1040">
        <v>0</v>
      </c>
      <c r="AM1040">
        <v>11</v>
      </c>
      <c r="AN1040">
        <v>12</v>
      </c>
      <c r="AO1040">
        <v>20</v>
      </c>
      <c r="AQ1040" t="str">
        <f t="shared" si="16"/>
        <v>Midfielder</v>
      </c>
    </row>
    <row r="1041" spans="1:43" x14ac:dyDescent="0.35">
      <c r="A1041" t="s">
        <v>641</v>
      </c>
      <c r="B1041" t="s">
        <v>43</v>
      </c>
      <c r="C1041" t="s">
        <v>1907</v>
      </c>
      <c r="D1041">
        <v>1989</v>
      </c>
      <c r="E1041">
        <v>28</v>
      </c>
      <c r="F1041" t="s">
        <v>191</v>
      </c>
      <c r="G1041" t="s">
        <v>67</v>
      </c>
      <c r="H1041">
        <v>19800000</v>
      </c>
      <c r="I1041">
        <v>27500000</v>
      </c>
      <c r="J1041" t="s">
        <v>55</v>
      </c>
      <c r="K1041">
        <v>33</v>
      </c>
      <c r="L1041">
        <v>1394</v>
      </c>
      <c r="M1041">
        <v>1</v>
      </c>
      <c r="N1041">
        <v>869</v>
      </c>
      <c r="O1041">
        <v>1</v>
      </c>
      <c r="P1041">
        <v>3</v>
      </c>
      <c r="Q1041">
        <v>0</v>
      </c>
      <c r="R1041">
        <v>18</v>
      </c>
      <c r="S1041">
        <v>9</v>
      </c>
      <c r="T1041">
        <v>19</v>
      </c>
      <c r="U1041">
        <v>8</v>
      </c>
      <c r="V1041">
        <v>0</v>
      </c>
      <c r="W1041">
        <v>16</v>
      </c>
      <c r="X1041">
        <v>0</v>
      </c>
      <c r="Y1041">
        <v>0</v>
      </c>
      <c r="Z1041">
        <v>0</v>
      </c>
      <c r="AA1041">
        <v>3</v>
      </c>
      <c r="AB1041">
        <v>3</v>
      </c>
      <c r="AC1041">
        <v>11</v>
      </c>
      <c r="AD1041">
        <v>2</v>
      </c>
      <c r="AE1041">
        <v>19</v>
      </c>
      <c r="AF1041">
        <v>1</v>
      </c>
      <c r="AG1041">
        <v>9</v>
      </c>
      <c r="AH1041">
        <v>23</v>
      </c>
      <c r="AI1041">
        <v>0</v>
      </c>
      <c r="AJ1041">
        <v>23</v>
      </c>
      <c r="AK1041">
        <v>0</v>
      </c>
      <c r="AL1041">
        <v>0</v>
      </c>
      <c r="AM1041">
        <v>21</v>
      </c>
      <c r="AN1041">
        <v>16</v>
      </c>
      <c r="AO1041">
        <v>17</v>
      </c>
      <c r="AQ1041" t="str">
        <f t="shared" si="16"/>
        <v>Midfielder</v>
      </c>
    </row>
    <row r="1042" spans="1:43" x14ac:dyDescent="0.35">
      <c r="A1042" t="s">
        <v>641</v>
      </c>
      <c r="B1042" t="s">
        <v>46</v>
      </c>
      <c r="C1042" t="s">
        <v>1908</v>
      </c>
      <c r="D1042">
        <v>1989</v>
      </c>
      <c r="E1042">
        <v>28</v>
      </c>
      <c r="F1042" t="s">
        <v>191</v>
      </c>
      <c r="G1042" t="s">
        <v>67</v>
      </c>
      <c r="H1042">
        <v>5500000</v>
      </c>
      <c r="I1042">
        <v>6600000</v>
      </c>
      <c r="J1042" t="s">
        <v>55</v>
      </c>
      <c r="K1042">
        <v>29</v>
      </c>
      <c r="L1042">
        <v>2337</v>
      </c>
      <c r="M1042">
        <v>0</v>
      </c>
      <c r="N1042">
        <v>1348</v>
      </c>
      <c r="O1042">
        <v>3</v>
      </c>
      <c r="P1042">
        <v>2</v>
      </c>
      <c r="Q1042">
        <v>0</v>
      </c>
      <c r="R1042">
        <v>2</v>
      </c>
      <c r="S1042">
        <v>8</v>
      </c>
      <c r="T1042">
        <v>15</v>
      </c>
      <c r="U1042">
        <v>3</v>
      </c>
      <c r="V1042">
        <v>0</v>
      </c>
      <c r="W1042">
        <v>16</v>
      </c>
      <c r="X1042">
        <v>0</v>
      </c>
      <c r="Y1042">
        <v>0</v>
      </c>
      <c r="Z1042">
        <v>0</v>
      </c>
      <c r="AA1042">
        <v>3</v>
      </c>
      <c r="AB1042">
        <v>0</v>
      </c>
      <c r="AC1042">
        <v>12</v>
      </c>
      <c r="AD1042">
        <v>0</v>
      </c>
      <c r="AE1042">
        <v>27</v>
      </c>
      <c r="AF1042">
        <v>4</v>
      </c>
      <c r="AG1042">
        <v>16</v>
      </c>
      <c r="AH1042">
        <v>24</v>
      </c>
      <c r="AI1042">
        <v>0</v>
      </c>
      <c r="AJ1042">
        <v>36</v>
      </c>
      <c r="AK1042">
        <v>0</v>
      </c>
      <c r="AL1042">
        <v>0</v>
      </c>
      <c r="AM1042">
        <v>21</v>
      </c>
      <c r="AN1042">
        <v>24</v>
      </c>
      <c r="AO1042">
        <v>21</v>
      </c>
      <c r="AQ1042" t="str">
        <f t="shared" si="16"/>
        <v>Midfielder</v>
      </c>
    </row>
    <row r="1043" spans="1:43" x14ac:dyDescent="0.35">
      <c r="A1043" t="s">
        <v>642</v>
      </c>
      <c r="B1043" t="s">
        <v>39</v>
      </c>
      <c r="C1043" t="s">
        <v>1909</v>
      </c>
      <c r="D1043">
        <v>1992</v>
      </c>
      <c r="E1043">
        <v>23</v>
      </c>
      <c r="F1043" t="s">
        <v>54</v>
      </c>
      <c r="G1043" t="s">
        <v>643</v>
      </c>
      <c r="H1043">
        <v>22000000</v>
      </c>
      <c r="I1043">
        <v>55000000</v>
      </c>
      <c r="J1043" t="s">
        <v>55</v>
      </c>
      <c r="K1043">
        <v>12</v>
      </c>
      <c r="L1043">
        <v>557</v>
      </c>
      <c r="M1043">
        <v>0</v>
      </c>
      <c r="N1043">
        <v>337</v>
      </c>
      <c r="O1043">
        <v>0</v>
      </c>
      <c r="P1043">
        <v>1</v>
      </c>
      <c r="Q1043">
        <v>0</v>
      </c>
      <c r="R1043">
        <v>5</v>
      </c>
      <c r="S1043">
        <v>4</v>
      </c>
      <c r="T1043">
        <v>4</v>
      </c>
      <c r="U1043">
        <v>2</v>
      </c>
      <c r="V1043">
        <v>1</v>
      </c>
      <c r="W1043">
        <v>5</v>
      </c>
      <c r="X1043">
        <v>0</v>
      </c>
      <c r="Y1043">
        <v>0</v>
      </c>
      <c r="Z1043">
        <v>0</v>
      </c>
      <c r="AA1043">
        <v>0</v>
      </c>
      <c r="AB1043">
        <v>1</v>
      </c>
      <c r="AC1043">
        <v>0</v>
      </c>
      <c r="AD1043">
        <v>0</v>
      </c>
      <c r="AE1043">
        <v>6</v>
      </c>
      <c r="AF1043">
        <v>3</v>
      </c>
      <c r="AG1043">
        <v>9</v>
      </c>
      <c r="AH1043">
        <v>5</v>
      </c>
      <c r="AI1043">
        <v>0</v>
      </c>
      <c r="AJ1043">
        <v>26</v>
      </c>
      <c r="AK1043">
        <v>0</v>
      </c>
      <c r="AL1043">
        <v>0</v>
      </c>
      <c r="AM1043">
        <v>16</v>
      </c>
      <c r="AN1043">
        <v>5</v>
      </c>
      <c r="AO1043">
        <v>5</v>
      </c>
      <c r="AQ1043" t="str">
        <f t="shared" si="16"/>
        <v>Midfielder</v>
      </c>
    </row>
    <row r="1044" spans="1:43" x14ac:dyDescent="0.35">
      <c r="A1044" t="s">
        <v>644</v>
      </c>
      <c r="B1044" t="s">
        <v>47</v>
      </c>
      <c r="C1044" t="s">
        <v>1910</v>
      </c>
      <c r="D1044">
        <v>1991</v>
      </c>
      <c r="E1044">
        <v>25</v>
      </c>
      <c r="F1044" t="s">
        <v>44</v>
      </c>
      <c r="G1044" t="s">
        <v>67</v>
      </c>
      <c r="H1044">
        <v>4950000</v>
      </c>
      <c r="I1044">
        <v>22000000</v>
      </c>
      <c r="J1044" t="s">
        <v>55</v>
      </c>
      <c r="K1044">
        <v>35</v>
      </c>
      <c r="L1044">
        <v>3139</v>
      </c>
      <c r="M1044">
        <v>1</v>
      </c>
      <c r="N1044">
        <v>2122</v>
      </c>
      <c r="O1044">
        <v>1</v>
      </c>
      <c r="P1044">
        <v>9</v>
      </c>
      <c r="Q1044">
        <v>0</v>
      </c>
      <c r="R1044">
        <v>0</v>
      </c>
      <c r="S1044">
        <v>1</v>
      </c>
      <c r="T1044">
        <v>27</v>
      </c>
      <c r="U1044">
        <v>7</v>
      </c>
      <c r="V1044">
        <v>0</v>
      </c>
      <c r="W1044">
        <v>15</v>
      </c>
      <c r="X1044">
        <v>0</v>
      </c>
      <c r="Y1044">
        <v>0</v>
      </c>
      <c r="Z1044">
        <v>0</v>
      </c>
      <c r="AA1044">
        <v>0</v>
      </c>
      <c r="AB1044">
        <v>8</v>
      </c>
      <c r="AC1044">
        <v>0</v>
      </c>
      <c r="AD1044">
        <v>0</v>
      </c>
      <c r="AE1044">
        <v>10</v>
      </c>
      <c r="AF1044">
        <v>4</v>
      </c>
      <c r="AG1044">
        <v>82</v>
      </c>
      <c r="AH1044">
        <v>53</v>
      </c>
      <c r="AI1044">
        <v>0</v>
      </c>
      <c r="AJ1044">
        <v>127</v>
      </c>
      <c r="AK1044">
        <v>0</v>
      </c>
      <c r="AL1044">
        <v>0</v>
      </c>
      <c r="AM1044">
        <v>41</v>
      </c>
      <c r="AN1044">
        <v>19</v>
      </c>
      <c r="AO1044">
        <v>41</v>
      </c>
      <c r="AQ1044" t="str">
        <f t="shared" si="16"/>
        <v>Midfielder</v>
      </c>
    </row>
    <row r="1045" spans="1:43" x14ac:dyDescent="0.35">
      <c r="A1045" t="s">
        <v>644</v>
      </c>
      <c r="B1045" t="s">
        <v>39</v>
      </c>
      <c r="C1045" t="s">
        <v>1911</v>
      </c>
      <c r="D1045">
        <v>1991</v>
      </c>
      <c r="E1045">
        <v>24</v>
      </c>
      <c r="F1045" t="s">
        <v>99</v>
      </c>
      <c r="G1045" t="s">
        <v>67</v>
      </c>
      <c r="H1045">
        <v>55000000</v>
      </c>
      <c r="I1045">
        <v>88000000</v>
      </c>
      <c r="J1045" t="s">
        <v>55</v>
      </c>
      <c r="K1045">
        <v>37</v>
      </c>
      <c r="L1045">
        <v>3020</v>
      </c>
      <c r="M1045">
        <v>1</v>
      </c>
      <c r="N1045">
        <v>1449</v>
      </c>
      <c r="O1045">
        <v>4</v>
      </c>
      <c r="P1045">
        <v>3</v>
      </c>
      <c r="Q1045">
        <v>0</v>
      </c>
      <c r="R1045">
        <v>4</v>
      </c>
      <c r="S1045">
        <v>2</v>
      </c>
      <c r="T1045">
        <v>21</v>
      </c>
      <c r="U1045">
        <v>0</v>
      </c>
      <c r="V1045">
        <v>0</v>
      </c>
      <c r="W1045">
        <v>30</v>
      </c>
      <c r="X1045">
        <v>0</v>
      </c>
      <c r="Y1045">
        <v>0</v>
      </c>
      <c r="Z1045">
        <v>0</v>
      </c>
      <c r="AA1045">
        <v>0</v>
      </c>
      <c r="AB1045">
        <v>7</v>
      </c>
      <c r="AC1045">
        <v>0</v>
      </c>
      <c r="AD1045">
        <v>0</v>
      </c>
      <c r="AE1045">
        <v>17</v>
      </c>
      <c r="AF1045">
        <v>11</v>
      </c>
      <c r="AG1045">
        <v>156</v>
      </c>
      <c r="AH1045">
        <v>43</v>
      </c>
      <c r="AI1045">
        <v>0</v>
      </c>
      <c r="AJ1045">
        <v>175</v>
      </c>
      <c r="AK1045">
        <v>0</v>
      </c>
      <c r="AL1045">
        <v>0</v>
      </c>
      <c r="AM1045">
        <v>57</v>
      </c>
      <c r="AN1045">
        <v>38</v>
      </c>
      <c r="AO1045">
        <v>57</v>
      </c>
      <c r="AQ1045" t="str">
        <f t="shared" si="16"/>
        <v>Midfielder</v>
      </c>
    </row>
    <row r="1046" spans="1:43" x14ac:dyDescent="0.35">
      <c r="A1046" t="s">
        <v>644</v>
      </c>
      <c r="B1046" t="s">
        <v>43</v>
      </c>
      <c r="C1046" t="s">
        <v>1912</v>
      </c>
      <c r="D1046">
        <v>1991</v>
      </c>
      <c r="E1046">
        <v>26</v>
      </c>
      <c r="F1046" t="s">
        <v>44</v>
      </c>
      <c r="G1046" t="s">
        <v>67</v>
      </c>
      <c r="H1046">
        <v>88000000</v>
      </c>
      <c r="I1046">
        <v>110000000</v>
      </c>
      <c r="J1046" t="s">
        <v>55</v>
      </c>
      <c r="K1046">
        <v>34</v>
      </c>
      <c r="L1046">
        <v>2998</v>
      </c>
      <c r="M1046">
        <v>1</v>
      </c>
      <c r="N1046">
        <v>2150</v>
      </c>
      <c r="O1046">
        <v>1</v>
      </c>
      <c r="P1046">
        <v>3</v>
      </c>
      <c r="Q1046">
        <v>0</v>
      </c>
      <c r="R1046">
        <v>0</v>
      </c>
      <c r="S1046">
        <v>4</v>
      </c>
      <c r="T1046">
        <v>25</v>
      </c>
      <c r="U1046">
        <v>5</v>
      </c>
      <c r="V1046">
        <v>0</v>
      </c>
      <c r="W1046">
        <v>10</v>
      </c>
      <c r="X1046">
        <v>0</v>
      </c>
      <c r="Y1046">
        <v>0</v>
      </c>
      <c r="Z1046">
        <v>0</v>
      </c>
      <c r="AA1046">
        <v>0</v>
      </c>
      <c r="AB1046">
        <v>9</v>
      </c>
      <c r="AC1046">
        <v>20</v>
      </c>
      <c r="AD1046">
        <v>0</v>
      </c>
      <c r="AE1046">
        <v>13</v>
      </c>
      <c r="AF1046">
        <v>4</v>
      </c>
      <c r="AG1046">
        <v>85</v>
      </c>
      <c r="AH1046">
        <v>41</v>
      </c>
      <c r="AI1046">
        <v>1</v>
      </c>
      <c r="AJ1046">
        <v>113</v>
      </c>
      <c r="AK1046">
        <v>0</v>
      </c>
      <c r="AL1046">
        <v>0</v>
      </c>
      <c r="AM1046">
        <v>26</v>
      </c>
      <c r="AN1046">
        <v>17</v>
      </c>
      <c r="AO1046">
        <v>32</v>
      </c>
      <c r="AQ1046" t="str">
        <f t="shared" si="16"/>
        <v>Midfielder</v>
      </c>
    </row>
    <row r="1047" spans="1:43" x14ac:dyDescent="0.35">
      <c r="A1047" t="s">
        <v>644</v>
      </c>
      <c r="B1047" t="s">
        <v>46</v>
      </c>
      <c r="C1047" t="s">
        <v>1913</v>
      </c>
      <c r="D1047">
        <v>1991</v>
      </c>
      <c r="E1047">
        <v>27</v>
      </c>
      <c r="F1047" t="s">
        <v>44</v>
      </c>
      <c r="G1047" t="s">
        <v>67</v>
      </c>
      <c r="H1047">
        <v>58500000</v>
      </c>
      <c r="I1047">
        <v>54000000</v>
      </c>
      <c r="J1047" t="s">
        <v>55</v>
      </c>
      <c r="K1047">
        <v>36</v>
      </c>
      <c r="L1047">
        <v>3095</v>
      </c>
      <c r="M1047">
        <v>4</v>
      </c>
      <c r="N1047">
        <v>2021</v>
      </c>
      <c r="O1047">
        <v>4</v>
      </c>
      <c r="P1047">
        <v>0</v>
      </c>
      <c r="Q1047">
        <v>0</v>
      </c>
      <c r="R1047">
        <v>0</v>
      </c>
      <c r="S1047">
        <v>4</v>
      </c>
      <c r="T1047">
        <v>29</v>
      </c>
      <c r="U1047">
        <v>6</v>
      </c>
      <c r="V1047">
        <v>0</v>
      </c>
      <c r="W1047">
        <v>15</v>
      </c>
      <c r="X1047">
        <v>0</v>
      </c>
      <c r="Y1047">
        <v>0</v>
      </c>
      <c r="Z1047">
        <v>0</v>
      </c>
      <c r="AA1047">
        <v>6</v>
      </c>
      <c r="AB1047">
        <v>4</v>
      </c>
      <c r="AC1047">
        <v>23</v>
      </c>
      <c r="AD1047">
        <v>0</v>
      </c>
      <c r="AE1047">
        <v>19</v>
      </c>
      <c r="AF1047">
        <v>6</v>
      </c>
      <c r="AG1047">
        <v>44</v>
      </c>
      <c r="AH1047">
        <v>35</v>
      </c>
      <c r="AI1047">
        <v>0</v>
      </c>
      <c r="AJ1047">
        <v>74</v>
      </c>
      <c r="AK1047">
        <v>0</v>
      </c>
      <c r="AL1047">
        <v>0</v>
      </c>
      <c r="AM1047">
        <v>26</v>
      </c>
      <c r="AN1047">
        <v>27</v>
      </c>
      <c r="AO1047">
        <v>41</v>
      </c>
      <c r="AQ1047" t="str">
        <f t="shared" si="16"/>
        <v>Midfielder</v>
      </c>
    </row>
    <row r="1048" spans="1:43" x14ac:dyDescent="0.35">
      <c r="A1048" t="s">
        <v>645</v>
      </c>
      <c r="B1048" t="s">
        <v>46</v>
      </c>
      <c r="C1048" t="s">
        <v>1914</v>
      </c>
      <c r="D1048">
        <v>1995</v>
      </c>
      <c r="E1048">
        <v>23</v>
      </c>
      <c r="F1048" t="s">
        <v>80</v>
      </c>
      <c r="G1048" t="s">
        <v>646</v>
      </c>
      <c r="H1048">
        <v>14300000</v>
      </c>
      <c r="I1048">
        <v>14300000</v>
      </c>
      <c r="J1048" t="s">
        <v>55</v>
      </c>
      <c r="K1048">
        <v>25</v>
      </c>
      <c r="L1048">
        <v>1394</v>
      </c>
      <c r="M1048">
        <v>2</v>
      </c>
      <c r="N1048">
        <v>1005</v>
      </c>
      <c r="O1048">
        <v>1</v>
      </c>
      <c r="P1048">
        <v>0</v>
      </c>
      <c r="Q1048">
        <v>0</v>
      </c>
      <c r="R1048">
        <v>9</v>
      </c>
      <c r="S1048">
        <v>11</v>
      </c>
      <c r="T1048">
        <v>27</v>
      </c>
      <c r="U1048">
        <v>10</v>
      </c>
      <c r="V1048">
        <v>1</v>
      </c>
      <c r="W1048">
        <v>5</v>
      </c>
      <c r="X1048">
        <v>1</v>
      </c>
      <c r="Y1048">
        <v>0</v>
      </c>
      <c r="Z1048">
        <v>0</v>
      </c>
      <c r="AA1048">
        <v>0</v>
      </c>
      <c r="AB1048">
        <v>7</v>
      </c>
      <c r="AC1048">
        <v>17</v>
      </c>
      <c r="AD1048">
        <v>2</v>
      </c>
      <c r="AE1048">
        <v>5</v>
      </c>
      <c r="AF1048">
        <v>4</v>
      </c>
      <c r="AG1048">
        <v>12</v>
      </c>
      <c r="AH1048">
        <v>25</v>
      </c>
      <c r="AI1048">
        <v>0</v>
      </c>
      <c r="AJ1048">
        <v>37</v>
      </c>
      <c r="AK1048">
        <v>0</v>
      </c>
      <c r="AL1048">
        <v>0</v>
      </c>
      <c r="AM1048">
        <v>13</v>
      </c>
      <c r="AN1048">
        <v>9</v>
      </c>
      <c r="AO1048">
        <v>20</v>
      </c>
      <c r="AQ1048" t="str">
        <f t="shared" si="16"/>
        <v>Midfielder</v>
      </c>
    </row>
    <row r="1049" spans="1:43" x14ac:dyDescent="0.35">
      <c r="A1049" t="s">
        <v>647</v>
      </c>
      <c r="B1049" t="s">
        <v>39</v>
      </c>
      <c r="C1049" t="s">
        <v>1915</v>
      </c>
      <c r="D1049">
        <v>1989</v>
      </c>
      <c r="E1049">
        <v>25</v>
      </c>
      <c r="F1049" t="s">
        <v>191</v>
      </c>
      <c r="G1049" t="s">
        <v>95</v>
      </c>
      <c r="H1049">
        <v>14300000</v>
      </c>
      <c r="I1049">
        <v>16500000</v>
      </c>
      <c r="J1049" t="s">
        <v>55</v>
      </c>
      <c r="K1049">
        <v>29</v>
      </c>
      <c r="L1049">
        <v>938</v>
      </c>
      <c r="M1049">
        <v>3</v>
      </c>
      <c r="N1049">
        <v>378</v>
      </c>
      <c r="O1049">
        <v>0</v>
      </c>
      <c r="P1049">
        <v>1</v>
      </c>
      <c r="Q1049">
        <v>0</v>
      </c>
      <c r="R1049">
        <v>19</v>
      </c>
      <c r="S1049">
        <v>5</v>
      </c>
      <c r="T1049">
        <v>25</v>
      </c>
      <c r="U1049">
        <v>7</v>
      </c>
      <c r="V1049">
        <v>0</v>
      </c>
      <c r="W1049">
        <v>9</v>
      </c>
      <c r="X1049">
        <v>0</v>
      </c>
      <c r="Y1049">
        <v>0</v>
      </c>
      <c r="Z1049">
        <v>0</v>
      </c>
      <c r="AA1049">
        <v>4</v>
      </c>
      <c r="AB1049">
        <v>1</v>
      </c>
      <c r="AC1049">
        <v>3</v>
      </c>
      <c r="AD1049">
        <v>0</v>
      </c>
      <c r="AE1049">
        <v>15</v>
      </c>
      <c r="AF1049">
        <v>3</v>
      </c>
      <c r="AG1049">
        <v>8</v>
      </c>
      <c r="AH1049">
        <v>16</v>
      </c>
      <c r="AI1049">
        <v>0</v>
      </c>
      <c r="AJ1049">
        <v>11</v>
      </c>
      <c r="AK1049">
        <v>0</v>
      </c>
      <c r="AL1049">
        <v>0</v>
      </c>
      <c r="AM1049">
        <v>16</v>
      </c>
      <c r="AN1049">
        <v>16</v>
      </c>
      <c r="AO1049">
        <v>24</v>
      </c>
      <c r="AQ1049" t="str">
        <f t="shared" si="16"/>
        <v>Midfielder</v>
      </c>
    </row>
    <row r="1050" spans="1:43" x14ac:dyDescent="0.35">
      <c r="A1050" t="s">
        <v>647</v>
      </c>
      <c r="B1050" t="s">
        <v>47</v>
      </c>
      <c r="C1050" t="s">
        <v>1916</v>
      </c>
      <c r="D1050">
        <v>1989</v>
      </c>
      <c r="E1050">
        <v>26</v>
      </c>
      <c r="F1050" t="s">
        <v>103</v>
      </c>
      <c r="G1050" t="s">
        <v>95</v>
      </c>
      <c r="H1050">
        <v>4500000</v>
      </c>
      <c r="I1050">
        <v>7200000</v>
      </c>
      <c r="J1050" t="s">
        <v>55</v>
      </c>
      <c r="K1050">
        <v>31</v>
      </c>
      <c r="L1050">
        <v>2147</v>
      </c>
      <c r="M1050">
        <v>5</v>
      </c>
      <c r="N1050">
        <v>662</v>
      </c>
      <c r="O1050">
        <v>5</v>
      </c>
      <c r="P1050">
        <v>2</v>
      </c>
      <c r="Q1050">
        <v>0</v>
      </c>
      <c r="R1050">
        <v>4</v>
      </c>
      <c r="S1050">
        <v>19</v>
      </c>
      <c r="T1050">
        <v>47</v>
      </c>
      <c r="U1050">
        <v>18</v>
      </c>
      <c r="V1050">
        <v>2</v>
      </c>
      <c r="W1050">
        <v>2</v>
      </c>
      <c r="X1050">
        <v>0</v>
      </c>
      <c r="Y1050">
        <v>1</v>
      </c>
      <c r="Z1050">
        <v>0</v>
      </c>
      <c r="AA1050">
        <v>3</v>
      </c>
      <c r="AB1050">
        <v>6</v>
      </c>
      <c r="AC1050">
        <v>4</v>
      </c>
      <c r="AD1050">
        <v>25</v>
      </c>
      <c r="AE1050">
        <v>57</v>
      </c>
      <c r="AF1050">
        <v>3</v>
      </c>
      <c r="AG1050">
        <v>22</v>
      </c>
      <c r="AH1050">
        <v>17</v>
      </c>
      <c r="AI1050">
        <v>0</v>
      </c>
      <c r="AJ1050">
        <v>29</v>
      </c>
      <c r="AK1050">
        <v>0</v>
      </c>
      <c r="AL1050">
        <v>0</v>
      </c>
      <c r="AM1050">
        <v>10</v>
      </c>
      <c r="AN1050">
        <v>19</v>
      </c>
      <c r="AO1050">
        <v>31</v>
      </c>
      <c r="AQ1050" t="str">
        <f t="shared" si="16"/>
        <v>Midfielder</v>
      </c>
    </row>
    <row r="1051" spans="1:43" x14ac:dyDescent="0.35">
      <c r="A1051" t="s">
        <v>648</v>
      </c>
      <c r="B1051" t="s">
        <v>39</v>
      </c>
      <c r="C1051" t="s">
        <v>1917</v>
      </c>
      <c r="D1051">
        <v>1986</v>
      </c>
      <c r="E1051">
        <v>29</v>
      </c>
      <c r="F1051" t="s">
        <v>61</v>
      </c>
      <c r="G1051" t="s">
        <v>45</v>
      </c>
      <c r="H1051">
        <v>12000000</v>
      </c>
      <c r="I1051">
        <v>15000000</v>
      </c>
      <c r="J1051" t="s">
        <v>52</v>
      </c>
      <c r="K1051">
        <v>37</v>
      </c>
      <c r="L1051">
        <v>3248</v>
      </c>
      <c r="M1051">
        <v>0</v>
      </c>
      <c r="N1051">
        <v>1844</v>
      </c>
      <c r="O1051">
        <v>3</v>
      </c>
      <c r="P1051">
        <v>1</v>
      </c>
      <c r="Q1051">
        <v>0</v>
      </c>
      <c r="R1051">
        <v>1</v>
      </c>
      <c r="S1051">
        <v>0</v>
      </c>
      <c r="T1051">
        <v>12</v>
      </c>
      <c r="U1051">
        <v>0</v>
      </c>
      <c r="V1051">
        <v>0</v>
      </c>
      <c r="W1051">
        <v>58</v>
      </c>
      <c r="X1051">
        <v>0</v>
      </c>
      <c r="Y1051">
        <v>0</v>
      </c>
      <c r="Z1051">
        <v>0</v>
      </c>
      <c r="AA1051">
        <v>2</v>
      </c>
      <c r="AB1051">
        <v>4</v>
      </c>
      <c r="AC1051">
        <v>1</v>
      </c>
      <c r="AD1051">
        <v>0</v>
      </c>
      <c r="AE1051">
        <v>99</v>
      </c>
      <c r="AF1051">
        <v>11</v>
      </c>
      <c r="AG1051">
        <v>105</v>
      </c>
      <c r="AH1051">
        <v>28</v>
      </c>
      <c r="AI1051">
        <v>0</v>
      </c>
      <c r="AJ1051">
        <v>80</v>
      </c>
      <c r="AK1051">
        <v>0</v>
      </c>
      <c r="AL1051">
        <v>0</v>
      </c>
      <c r="AM1051">
        <v>114</v>
      </c>
      <c r="AN1051">
        <v>69</v>
      </c>
      <c r="AO1051">
        <v>54</v>
      </c>
      <c r="AQ1051" t="str">
        <f t="shared" si="16"/>
        <v>Defensive Forward</v>
      </c>
    </row>
    <row r="1052" spans="1:43" x14ac:dyDescent="0.35">
      <c r="A1052" t="s">
        <v>648</v>
      </c>
      <c r="B1052" t="s">
        <v>43</v>
      </c>
      <c r="C1052" t="s">
        <v>1918</v>
      </c>
      <c r="D1052">
        <v>1986</v>
      </c>
      <c r="E1052">
        <v>31</v>
      </c>
      <c r="F1052" t="s">
        <v>61</v>
      </c>
      <c r="G1052" t="s">
        <v>45</v>
      </c>
      <c r="H1052">
        <v>13000000</v>
      </c>
      <c r="I1052">
        <v>13000000</v>
      </c>
      <c r="J1052" t="s">
        <v>52</v>
      </c>
      <c r="K1052">
        <v>28</v>
      </c>
      <c r="L1052">
        <v>2242</v>
      </c>
      <c r="M1052">
        <v>5</v>
      </c>
      <c r="N1052">
        <v>1719</v>
      </c>
      <c r="O1052">
        <v>2</v>
      </c>
      <c r="P1052">
        <v>3</v>
      </c>
      <c r="Q1052">
        <v>0</v>
      </c>
      <c r="R1052">
        <v>2</v>
      </c>
      <c r="S1052">
        <v>3</v>
      </c>
      <c r="T1052">
        <v>22</v>
      </c>
      <c r="U1052">
        <v>8</v>
      </c>
      <c r="V1052">
        <v>1</v>
      </c>
      <c r="W1052">
        <v>41</v>
      </c>
      <c r="X1052">
        <v>1</v>
      </c>
      <c r="Y1052">
        <v>0</v>
      </c>
      <c r="Z1052">
        <v>0</v>
      </c>
      <c r="AA1052">
        <v>2</v>
      </c>
      <c r="AB1052">
        <v>0</v>
      </c>
      <c r="AC1052">
        <v>14</v>
      </c>
      <c r="AD1052">
        <v>0</v>
      </c>
      <c r="AE1052">
        <v>31</v>
      </c>
      <c r="AF1052">
        <v>8</v>
      </c>
      <c r="AG1052">
        <v>56</v>
      </c>
      <c r="AH1052">
        <v>19</v>
      </c>
      <c r="AI1052">
        <v>1</v>
      </c>
      <c r="AJ1052">
        <v>54</v>
      </c>
      <c r="AK1052">
        <v>1</v>
      </c>
      <c r="AL1052">
        <v>0</v>
      </c>
      <c r="AM1052">
        <v>74</v>
      </c>
      <c r="AN1052">
        <v>62</v>
      </c>
      <c r="AO1052">
        <v>63</v>
      </c>
      <c r="AQ1052" t="str">
        <f t="shared" si="16"/>
        <v>Defensive Forward</v>
      </c>
    </row>
    <row r="1053" spans="1:43" x14ac:dyDescent="0.35">
      <c r="A1053" t="s">
        <v>648</v>
      </c>
      <c r="B1053" t="s">
        <v>47</v>
      </c>
      <c r="C1053" t="s">
        <v>1919</v>
      </c>
      <c r="D1053">
        <v>1986</v>
      </c>
      <c r="E1053">
        <v>30</v>
      </c>
      <c r="F1053" t="s">
        <v>61</v>
      </c>
      <c r="G1053" t="s">
        <v>45</v>
      </c>
      <c r="H1053">
        <v>15000000</v>
      </c>
      <c r="I1053">
        <v>13000000</v>
      </c>
      <c r="J1053" t="s">
        <v>52</v>
      </c>
      <c r="K1053">
        <v>36</v>
      </c>
      <c r="L1053">
        <v>3153</v>
      </c>
      <c r="M1053">
        <v>0</v>
      </c>
      <c r="N1053">
        <v>1753</v>
      </c>
      <c r="O1053">
        <v>2</v>
      </c>
      <c r="P1053">
        <v>5</v>
      </c>
      <c r="Q1053">
        <v>0</v>
      </c>
      <c r="R1053">
        <v>1</v>
      </c>
      <c r="S1053">
        <v>1</v>
      </c>
      <c r="T1053">
        <v>12</v>
      </c>
      <c r="U1053">
        <v>2</v>
      </c>
      <c r="V1053">
        <v>1</v>
      </c>
      <c r="W1053">
        <v>52</v>
      </c>
      <c r="X1053">
        <v>0</v>
      </c>
      <c r="Y1053">
        <v>0</v>
      </c>
      <c r="Z1053">
        <v>0</v>
      </c>
      <c r="AA1053">
        <v>7</v>
      </c>
      <c r="AB1053">
        <v>0</v>
      </c>
      <c r="AC1053">
        <v>2</v>
      </c>
      <c r="AD1053">
        <v>0</v>
      </c>
      <c r="AE1053">
        <v>63</v>
      </c>
      <c r="AF1053">
        <v>11</v>
      </c>
      <c r="AG1053">
        <v>88</v>
      </c>
      <c r="AH1053">
        <v>33</v>
      </c>
      <c r="AI1053">
        <v>0</v>
      </c>
      <c r="AJ1053">
        <v>90</v>
      </c>
      <c r="AK1053">
        <v>0</v>
      </c>
      <c r="AL1053">
        <v>0</v>
      </c>
      <c r="AM1053">
        <v>99</v>
      </c>
      <c r="AN1053">
        <v>57</v>
      </c>
      <c r="AO1053">
        <v>61</v>
      </c>
      <c r="AQ1053" t="str">
        <f t="shared" si="16"/>
        <v>Defensive Forward</v>
      </c>
    </row>
    <row r="1054" spans="1:43" x14ac:dyDescent="0.35">
      <c r="A1054" t="s">
        <v>648</v>
      </c>
      <c r="B1054" t="s">
        <v>46</v>
      </c>
      <c r="C1054" t="s">
        <v>1920</v>
      </c>
      <c r="D1054">
        <v>1986</v>
      </c>
      <c r="E1054">
        <v>32</v>
      </c>
      <c r="F1054" t="s">
        <v>61</v>
      </c>
      <c r="G1054" t="s">
        <v>45</v>
      </c>
      <c r="H1054">
        <v>13000000</v>
      </c>
      <c r="I1054">
        <v>9000000</v>
      </c>
      <c r="J1054" t="s">
        <v>52</v>
      </c>
      <c r="K1054">
        <v>22</v>
      </c>
      <c r="L1054">
        <v>1861</v>
      </c>
      <c r="M1054">
        <v>1</v>
      </c>
      <c r="N1054">
        <v>1168</v>
      </c>
      <c r="O1054">
        <v>3</v>
      </c>
      <c r="P1054">
        <v>5</v>
      </c>
      <c r="Q1054">
        <v>0</v>
      </c>
      <c r="R1054">
        <v>1</v>
      </c>
      <c r="S1054">
        <v>1</v>
      </c>
      <c r="T1054">
        <v>7</v>
      </c>
      <c r="U1054">
        <v>4</v>
      </c>
      <c r="V1054">
        <v>0</v>
      </c>
      <c r="W1054">
        <v>27</v>
      </c>
      <c r="X1054">
        <v>0</v>
      </c>
      <c r="Y1054">
        <v>0</v>
      </c>
      <c r="Z1054">
        <v>0</v>
      </c>
      <c r="AA1054">
        <v>1</v>
      </c>
      <c r="AB1054">
        <v>0</v>
      </c>
      <c r="AC1054">
        <v>3</v>
      </c>
      <c r="AD1054">
        <v>0</v>
      </c>
      <c r="AE1054">
        <v>28</v>
      </c>
      <c r="AF1054">
        <v>10</v>
      </c>
      <c r="AG1054">
        <v>31</v>
      </c>
      <c r="AH1054">
        <v>17</v>
      </c>
      <c r="AI1054">
        <v>0</v>
      </c>
      <c r="AJ1054">
        <v>35</v>
      </c>
      <c r="AK1054">
        <v>0</v>
      </c>
      <c r="AL1054">
        <v>0</v>
      </c>
      <c r="AM1054">
        <v>54</v>
      </c>
      <c r="AN1054">
        <v>36</v>
      </c>
      <c r="AO1054">
        <v>39</v>
      </c>
      <c r="AQ1054" t="str">
        <f t="shared" si="16"/>
        <v>Defensive Forward</v>
      </c>
    </row>
    <row r="1055" spans="1:43" x14ac:dyDescent="0.35">
      <c r="A1055" t="s">
        <v>649</v>
      </c>
      <c r="B1055" t="s">
        <v>46</v>
      </c>
      <c r="C1055" t="s">
        <v>1921</v>
      </c>
      <c r="D1055">
        <v>1992</v>
      </c>
      <c r="E1055">
        <v>26</v>
      </c>
      <c r="F1055" t="s">
        <v>99</v>
      </c>
      <c r="G1055" t="s">
        <v>67</v>
      </c>
      <c r="H1055">
        <v>3500000</v>
      </c>
      <c r="I1055">
        <v>2500000</v>
      </c>
      <c r="J1055" t="s">
        <v>55</v>
      </c>
      <c r="K1055">
        <v>31</v>
      </c>
      <c r="L1055">
        <v>2088</v>
      </c>
      <c r="M1055">
        <v>0</v>
      </c>
      <c r="N1055">
        <v>1092</v>
      </c>
      <c r="O1055">
        <v>0</v>
      </c>
      <c r="P1055">
        <v>5</v>
      </c>
      <c r="Q1055">
        <v>0</v>
      </c>
      <c r="R1055">
        <v>8</v>
      </c>
      <c r="S1055">
        <v>4</v>
      </c>
      <c r="T1055">
        <v>2</v>
      </c>
      <c r="U1055">
        <v>0</v>
      </c>
      <c r="V1055">
        <v>0</v>
      </c>
      <c r="W1055">
        <v>4</v>
      </c>
      <c r="X1055">
        <v>0</v>
      </c>
      <c r="Y1055">
        <v>0</v>
      </c>
      <c r="Z1055">
        <v>0</v>
      </c>
      <c r="AA1055">
        <v>0</v>
      </c>
      <c r="AB1055">
        <v>2</v>
      </c>
      <c r="AC1055">
        <v>2</v>
      </c>
      <c r="AD1055">
        <v>0</v>
      </c>
      <c r="AE1055">
        <v>3</v>
      </c>
      <c r="AF1055">
        <v>8</v>
      </c>
      <c r="AG1055">
        <v>24</v>
      </c>
      <c r="AH1055">
        <v>22</v>
      </c>
      <c r="AI1055">
        <v>0</v>
      </c>
      <c r="AJ1055">
        <v>33</v>
      </c>
      <c r="AK1055">
        <v>1</v>
      </c>
      <c r="AL1055">
        <v>0</v>
      </c>
      <c r="AM1055">
        <v>23</v>
      </c>
      <c r="AN1055">
        <v>8</v>
      </c>
      <c r="AO1055">
        <v>15</v>
      </c>
      <c r="AQ1055" t="str">
        <f t="shared" si="16"/>
        <v>Midfielder</v>
      </c>
    </row>
    <row r="1056" spans="1:43" x14ac:dyDescent="0.35">
      <c r="A1056" t="s">
        <v>650</v>
      </c>
      <c r="B1056" t="s">
        <v>47</v>
      </c>
      <c r="C1056" t="s">
        <v>1922</v>
      </c>
      <c r="D1056">
        <v>1995</v>
      </c>
      <c r="E1056">
        <v>21</v>
      </c>
      <c r="F1056" t="s">
        <v>84</v>
      </c>
      <c r="G1056" t="s">
        <v>216</v>
      </c>
      <c r="H1056">
        <v>4500000</v>
      </c>
      <c r="I1056">
        <v>7200000</v>
      </c>
      <c r="J1056" t="s">
        <v>52</v>
      </c>
      <c r="K1056">
        <v>12</v>
      </c>
      <c r="L1056">
        <v>831</v>
      </c>
      <c r="M1056">
        <v>3</v>
      </c>
      <c r="N1056">
        <v>405</v>
      </c>
      <c r="O1056">
        <v>1</v>
      </c>
      <c r="P1056">
        <v>1</v>
      </c>
      <c r="Q1056">
        <v>0</v>
      </c>
      <c r="R1056">
        <v>3</v>
      </c>
      <c r="S1056">
        <v>0</v>
      </c>
      <c r="T1056">
        <v>7</v>
      </c>
      <c r="U1056">
        <v>4</v>
      </c>
      <c r="V1056">
        <v>0</v>
      </c>
      <c r="W1056">
        <v>45</v>
      </c>
      <c r="X1056">
        <v>2</v>
      </c>
      <c r="Y1056">
        <v>0</v>
      </c>
      <c r="Z1056">
        <v>0</v>
      </c>
      <c r="AA1056">
        <v>0</v>
      </c>
      <c r="AB1056">
        <v>1</v>
      </c>
      <c r="AC1056">
        <v>1</v>
      </c>
      <c r="AD1056">
        <v>0</v>
      </c>
      <c r="AE1056">
        <v>2</v>
      </c>
      <c r="AF1056">
        <v>8</v>
      </c>
      <c r="AG1056">
        <v>11</v>
      </c>
      <c r="AH1056">
        <v>4</v>
      </c>
      <c r="AI1056">
        <v>0</v>
      </c>
      <c r="AJ1056">
        <v>22</v>
      </c>
      <c r="AK1056">
        <v>0</v>
      </c>
      <c r="AL1056">
        <v>0</v>
      </c>
      <c r="AM1056">
        <v>76</v>
      </c>
      <c r="AN1056">
        <v>21</v>
      </c>
      <c r="AO1056">
        <v>18</v>
      </c>
      <c r="AQ1056" t="str">
        <f t="shared" si="16"/>
        <v>Defensive Forward</v>
      </c>
    </row>
    <row r="1057" spans="1:43" x14ac:dyDescent="0.35">
      <c r="A1057" t="s">
        <v>650</v>
      </c>
      <c r="B1057" t="s">
        <v>39</v>
      </c>
      <c r="C1057" t="s">
        <v>1923</v>
      </c>
      <c r="D1057">
        <v>1995</v>
      </c>
      <c r="E1057">
        <v>20</v>
      </c>
      <c r="F1057" t="s">
        <v>66</v>
      </c>
      <c r="G1057" t="s">
        <v>216</v>
      </c>
      <c r="H1057">
        <v>1800000</v>
      </c>
      <c r="I1057">
        <v>4500000</v>
      </c>
      <c r="J1057" t="s">
        <v>52</v>
      </c>
      <c r="K1057">
        <v>24</v>
      </c>
      <c r="L1057">
        <v>1874</v>
      </c>
      <c r="M1057">
        <v>1</v>
      </c>
      <c r="N1057">
        <v>609</v>
      </c>
      <c r="O1057">
        <v>0</v>
      </c>
      <c r="P1057">
        <v>4</v>
      </c>
      <c r="Q1057">
        <v>1</v>
      </c>
      <c r="R1057">
        <v>4</v>
      </c>
      <c r="S1057">
        <v>1</v>
      </c>
      <c r="T1057">
        <v>16</v>
      </c>
      <c r="U1057">
        <v>0</v>
      </c>
      <c r="V1057">
        <v>1</v>
      </c>
      <c r="W1057">
        <v>32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42</v>
      </c>
      <c r="AF1057">
        <v>8</v>
      </c>
      <c r="AG1057">
        <v>76</v>
      </c>
      <c r="AH1057">
        <v>28</v>
      </c>
      <c r="AI1057">
        <v>0</v>
      </c>
      <c r="AJ1057">
        <v>79</v>
      </c>
      <c r="AK1057">
        <v>0</v>
      </c>
      <c r="AL1057">
        <v>0</v>
      </c>
      <c r="AM1057">
        <v>72</v>
      </c>
      <c r="AN1057">
        <v>34</v>
      </c>
      <c r="AO1057">
        <v>25</v>
      </c>
      <c r="AQ1057" t="str">
        <f t="shared" si="16"/>
        <v>Defensive Forward</v>
      </c>
    </row>
    <row r="1058" spans="1:43" x14ac:dyDescent="0.35">
      <c r="A1058" t="s">
        <v>650</v>
      </c>
      <c r="B1058" t="s">
        <v>46</v>
      </c>
      <c r="C1058" t="s">
        <v>1924</v>
      </c>
      <c r="D1058">
        <v>1995</v>
      </c>
      <c r="E1058">
        <v>23</v>
      </c>
      <c r="F1058" t="s">
        <v>84</v>
      </c>
      <c r="G1058" t="s">
        <v>216</v>
      </c>
      <c r="H1058">
        <v>13500000</v>
      </c>
      <c r="I1058">
        <v>27000000</v>
      </c>
      <c r="J1058" t="s">
        <v>52</v>
      </c>
      <c r="K1058">
        <v>38</v>
      </c>
      <c r="L1058">
        <v>3412</v>
      </c>
      <c r="M1058">
        <v>4</v>
      </c>
      <c r="N1058">
        <v>1696</v>
      </c>
      <c r="O1058">
        <v>0</v>
      </c>
      <c r="P1058">
        <v>0</v>
      </c>
      <c r="Q1058">
        <v>0</v>
      </c>
      <c r="R1058">
        <v>0</v>
      </c>
      <c r="S1058">
        <v>1</v>
      </c>
      <c r="T1058">
        <v>25</v>
      </c>
      <c r="U1058">
        <v>9</v>
      </c>
      <c r="V1058">
        <v>1</v>
      </c>
      <c r="W1058">
        <v>127</v>
      </c>
      <c r="X1058">
        <v>3</v>
      </c>
      <c r="Y1058">
        <v>0</v>
      </c>
      <c r="Z1058">
        <v>0</v>
      </c>
      <c r="AA1058">
        <v>2</v>
      </c>
      <c r="AB1058">
        <v>1</v>
      </c>
      <c r="AC1058">
        <v>16</v>
      </c>
      <c r="AD1058">
        <v>0</v>
      </c>
      <c r="AE1058">
        <v>6</v>
      </c>
      <c r="AF1058">
        <v>35</v>
      </c>
      <c r="AG1058">
        <v>32</v>
      </c>
      <c r="AH1058">
        <v>28</v>
      </c>
      <c r="AI1058">
        <v>1</v>
      </c>
      <c r="AJ1058">
        <v>66</v>
      </c>
      <c r="AK1058">
        <v>0</v>
      </c>
      <c r="AL1058">
        <v>0</v>
      </c>
      <c r="AM1058">
        <v>230</v>
      </c>
      <c r="AN1058">
        <v>88</v>
      </c>
      <c r="AO1058">
        <v>73</v>
      </c>
      <c r="AQ1058" t="str">
        <f t="shared" si="16"/>
        <v>Defensive Forward</v>
      </c>
    </row>
    <row r="1059" spans="1:43" x14ac:dyDescent="0.35">
      <c r="A1059" t="s">
        <v>650</v>
      </c>
      <c r="B1059" t="s">
        <v>43</v>
      </c>
      <c r="C1059" t="s">
        <v>1925</v>
      </c>
      <c r="D1059">
        <v>1995</v>
      </c>
      <c r="E1059">
        <v>22</v>
      </c>
      <c r="F1059" t="s">
        <v>84</v>
      </c>
      <c r="G1059" t="s">
        <v>216</v>
      </c>
      <c r="H1059">
        <v>7200000</v>
      </c>
      <c r="I1059">
        <v>13500000</v>
      </c>
      <c r="J1059" t="s">
        <v>52</v>
      </c>
      <c r="K1059">
        <v>38</v>
      </c>
      <c r="L1059">
        <v>3353</v>
      </c>
      <c r="M1059">
        <v>2</v>
      </c>
      <c r="N1059">
        <v>1589</v>
      </c>
      <c r="O1059">
        <v>3</v>
      </c>
      <c r="P1059">
        <v>5</v>
      </c>
      <c r="Q1059">
        <v>0</v>
      </c>
      <c r="R1059">
        <v>1</v>
      </c>
      <c r="S1059">
        <v>1</v>
      </c>
      <c r="T1059">
        <v>18</v>
      </c>
      <c r="U1059">
        <v>8</v>
      </c>
      <c r="V1059">
        <v>1</v>
      </c>
      <c r="W1059">
        <v>136</v>
      </c>
      <c r="X1059">
        <v>0</v>
      </c>
      <c r="Y1059">
        <v>0</v>
      </c>
      <c r="Z1059">
        <v>0</v>
      </c>
      <c r="AA1059">
        <v>2</v>
      </c>
      <c r="AB1059">
        <v>0</v>
      </c>
      <c r="AC1059">
        <v>10</v>
      </c>
      <c r="AD1059">
        <v>0</v>
      </c>
      <c r="AE1059">
        <v>5</v>
      </c>
      <c r="AF1059">
        <v>24</v>
      </c>
      <c r="AG1059">
        <v>48</v>
      </c>
      <c r="AH1059">
        <v>27</v>
      </c>
      <c r="AI1059">
        <v>2</v>
      </c>
      <c r="AJ1059">
        <v>53</v>
      </c>
      <c r="AK1059">
        <v>0</v>
      </c>
      <c r="AL1059">
        <v>0</v>
      </c>
      <c r="AM1059">
        <v>229</v>
      </c>
      <c r="AN1059">
        <v>105</v>
      </c>
      <c r="AO1059">
        <v>92</v>
      </c>
      <c r="AQ1059" t="str">
        <f t="shared" si="16"/>
        <v>Defensive Forward</v>
      </c>
    </row>
    <row r="1060" spans="1:43" x14ac:dyDescent="0.35">
      <c r="A1060" t="s">
        <v>651</v>
      </c>
      <c r="B1060" t="s">
        <v>39</v>
      </c>
      <c r="C1060" t="s">
        <v>1926</v>
      </c>
      <c r="D1060">
        <v>1987</v>
      </c>
      <c r="E1060">
        <v>27</v>
      </c>
      <c r="F1060" t="s">
        <v>99</v>
      </c>
      <c r="G1060" t="s">
        <v>51</v>
      </c>
      <c r="H1060">
        <v>5000000</v>
      </c>
      <c r="I1060">
        <v>3600000</v>
      </c>
      <c r="J1060" t="s">
        <v>42</v>
      </c>
      <c r="K1060">
        <v>13</v>
      </c>
      <c r="L1060">
        <v>231</v>
      </c>
      <c r="M1060">
        <v>1</v>
      </c>
      <c r="N1060">
        <v>74</v>
      </c>
      <c r="O1060">
        <v>0</v>
      </c>
      <c r="P1060">
        <v>1</v>
      </c>
      <c r="Q1060">
        <v>0</v>
      </c>
      <c r="R1060">
        <v>13</v>
      </c>
      <c r="S1060">
        <v>0</v>
      </c>
      <c r="T1060">
        <v>5</v>
      </c>
      <c r="U1060">
        <v>0</v>
      </c>
      <c r="V1060">
        <v>0</v>
      </c>
      <c r="W1060">
        <v>0</v>
      </c>
      <c r="X1060">
        <v>1</v>
      </c>
      <c r="Y1060">
        <v>0</v>
      </c>
      <c r="Z1060">
        <v>0</v>
      </c>
      <c r="AA1060">
        <v>0</v>
      </c>
      <c r="AB1060">
        <v>1</v>
      </c>
      <c r="AC1060">
        <v>0</v>
      </c>
      <c r="AD1060">
        <v>0</v>
      </c>
      <c r="AE1060">
        <v>6</v>
      </c>
      <c r="AF1060">
        <v>0</v>
      </c>
      <c r="AG1060">
        <v>1</v>
      </c>
      <c r="AH1060">
        <v>9</v>
      </c>
      <c r="AI1060">
        <v>0</v>
      </c>
      <c r="AJ1060">
        <v>4</v>
      </c>
      <c r="AK1060">
        <v>0</v>
      </c>
      <c r="AL1060">
        <v>0</v>
      </c>
      <c r="AM1060">
        <v>0</v>
      </c>
      <c r="AN1060">
        <v>1</v>
      </c>
      <c r="AO1060">
        <v>6</v>
      </c>
      <c r="AQ1060" t="str">
        <f t="shared" si="16"/>
        <v>Forward</v>
      </c>
    </row>
    <row r="1061" spans="1:43" x14ac:dyDescent="0.35">
      <c r="A1061" t="s">
        <v>651</v>
      </c>
      <c r="B1061" t="s">
        <v>43</v>
      </c>
      <c r="C1061" t="s">
        <v>1927</v>
      </c>
      <c r="D1061">
        <v>1987</v>
      </c>
      <c r="E1061">
        <v>30</v>
      </c>
      <c r="F1061" t="s">
        <v>40</v>
      </c>
      <c r="G1061" t="s">
        <v>51</v>
      </c>
      <c r="H1061">
        <v>16500000</v>
      </c>
      <c r="I1061">
        <v>19800000</v>
      </c>
      <c r="J1061" t="s">
        <v>55</v>
      </c>
      <c r="K1061">
        <v>24</v>
      </c>
      <c r="L1061">
        <v>1312</v>
      </c>
      <c r="M1061">
        <v>0</v>
      </c>
      <c r="N1061">
        <v>512</v>
      </c>
      <c r="O1061">
        <v>0</v>
      </c>
      <c r="P1061">
        <v>2</v>
      </c>
      <c r="Q1061">
        <v>0</v>
      </c>
      <c r="R1061">
        <v>8</v>
      </c>
      <c r="S1061">
        <v>13</v>
      </c>
      <c r="T1061">
        <v>10</v>
      </c>
      <c r="U1061">
        <v>2</v>
      </c>
      <c r="V1061">
        <v>1</v>
      </c>
      <c r="W1061">
        <v>1</v>
      </c>
      <c r="X1061">
        <v>0</v>
      </c>
      <c r="Y1061">
        <v>0</v>
      </c>
      <c r="Z1061">
        <v>0</v>
      </c>
      <c r="AA1061">
        <v>1</v>
      </c>
      <c r="AB1061">
        <v>2</v>
      </c>
      <c r="AC1061">
        <v>8</v>
      </c>
      <c r="AD1061">
        <v>0</v>
      </c>
      <c r="AE1061">
        <v>33</v>
      </c>
      <c r="AF1061">
        <v>0</v>
      </c>
      <c r="AG1061">
        <v>11</v>
      </c>
      <c r="AH1061">
        <v>17</v>
      </c>
      <c r="AI1061">
        <v>0</v>
      </c>
      <c r="AJ1061">
        <v>22</v>
      </c>
      <c r="AK1061">
        <v>0</v>
      </c>
      <c r="AL1061">
        <v>0</v>
      </c>
      <c r="AM1061">
        <v>2</v>
      </c>
      <c r="AN1061">
        <v>5</v>
      </c>
      <c r="AO1061">
        <v>29</v>
      </c>
      <c r="AQ1061" t="str">
        <f t="shared" si="16"/>
        <v>Midfielder</v>
      </c>
    </row>
    <row r="1062" spans="1:43" x14ac:dyDescent="0.35">
      <c r="A1062" t="s">
        <v>652</v>
      </c>
      <c r="B1062" t="s">
        <v>43</v>
      </c>
      <c r="C1062" t="s">
        <v>1928</v>
      </c>
      <c r="D1062">
        <v>1994</v>
      </c>
      <c r="E1062">
        <v>23</v>
      </c>
      <c r="F1062" t="s">
        <v>220</v>
      </c>
      <c r="G1062" t="s">
        <v>51</v>
      </c>
      <c r="H1062">
        <v>7150000</v>
      </c>
      <c r="I1062">
        <v>11000000</v>
      </c>
      <c r="J1062" t="s">
        <v>55</v>
      </c>
      <c r="K1062">
        <v>31</v>
      </c>
      <c r="L1062">
        <v>1947</v>
      </c>
      <c r="M1062">
        <v>1</v>
      </c>
      <c r="N1062">
        <v>799</v>
      </c>
      <c r="O1062">
        <v>3</v>
      </c>
      <c r="P1062">
        <v>3</v>
      </c>
      <c r="Q1062">
        <v>0</v>
      </c>
      <c r="R1062">
        <v>9</v>
      </c>
      <c r="S1062">
        <v>9</v>
      </c>
      <c r="T1062">
        <v>44</v>
      </c>
      <c r="U1062">
        <v>15</v>
      </c>
      <c r="V1062">
        <v>1</v>
      </c>
      <c r="W1062">
        <v>6</v>
      </c>
      <c r="X1062">
        <v>1</v>
      </c>
      <c r="Y1062">
        <v>0</v>
      </c>
      <c r="Z1062">
        <v>0</v>
      </c>
      <c r="AA1062">
        <v>4</v>
      </c>
      <c r="AB1062">
        <v>5</v>
      </c>
      <c r="AC1062">
        <v>29</v>
      </c>
      <c r="AD1062">
        <v>26</v>
      </c>
      <c r="AE1062">
        <v>69</v>
      </c>
      <c r="AF1062">
        <v>0</v>
      </c>
      <c r="AG1062">
        <v>15</v>
      </c>
      <c r="AH1062">
        <v>19</v>
      </c>
      <c r="AI1062">
        <v>0</v>
      </c>
      <c r="AJ1062">
        <v>32</v>
      </c>
      <c r="AK1062">
        <v>1</v>
      </c>
      <c r="AL1062">
        <v>0</v>
      </c>
      <c r="AM1062">
        <v>14</v>
      </c>
      <c r="AN1062">
        <v>4</v>
      </c>
      <c r="AO1062">
        <v>15</v>
      </c>
      <c r="AQ1062" t="str">
        <f t="shared" si="16"/>
        <v>Midfielder</v>
      </c>
    </row>
    <row r="1063" spans="1:43" x14ac:dyDescent="0.35">
      <c r="A1063" t="s">
        <v>652</v>
      </c>
      <c r="B1063" t="s">
        <v>39</v>
      </c>
      <c r="C1063" t="s">
        <v>1929</v>
      </c>
      <c r="D1063">
        <v>1994</v>
      </c>
      <c r="E1063">
        <v>21</v>
      </c>
      <c r="F1063" t="s">
        <v>123</v>
      </c>
      <c r="G1063" t="s">
        <v>51</v>
      </c>
      <c r="H1063">
        <v>11000000</v>
      </c>
      <c r="I1063">
        <v>16500000</v>
      </c>
      <c r="J1063" t="s">
        <v>55</v>
      </c>
      <c r="K1063">
        <v>35</v>
      </c>
      <c r="L1063">
        <v>2337</v>
      </c>
      <c r="M1063">
        <v>6</v>
      </c>
      <c r="N1063">
        <v>974</v>
      </c>
      <c r="O1063">
        <v>3</v>
      </c>
      <c r="P1063">
        <v>0</v>
      </c>
      <c r="Q1063">
        <v>0</v>
      </c>
      <c r="R1063">
        <v>11</v>
      </c>
      <c r="S1063">
        <v>6</v>
      </c>
      <c r="T1063">
        <v>54</v>
      </c>
      <c r="U1063">
        <v>17</v>
      </c>
      <c r="V1063">
        <v>5</v>
      </c>
      <c r="W1063">
        <v>6</v>
      </c>
      <c r="X1063">
        <v>0</v>
      </c>
      <c r="Y1063">
        <v>0</v>
      </c>
      <c r="Z1063">
        <v>0</v>
      </c>
      <c r="AA1063">
        <v>6</v>
      </c>
      <c r="AB1063">
        <v>3</v>
      </c>
      <c r="AC1063">
        <v>3</v>
      </c>
      <c r="AD1063">
        <v>46</v>
      </c>
      <c r="AE1063">
        <v>123</v>
      </c>
      <c r="AF1063">
        <v>1</v>
      </c>
      <c r="AG1063">
        <v>15</v>
      </c>
      <c r="AH1063">
        <v>29</v>
      </c>
      <c r="AI1063">
        <v>0</v>
      </c>
      <c r="AJ1063">
        <v>31</v>
      </c>
      <c r="AK1063">
        <v>0</v>
      </c>
      <c r="AL1063">
        <v>0</v>
      </c>
      <c r="AM1063">
        <v>10</v>
      </c>
      <c r="AN1063">
        <v>7</v>
      </c>
      <c r="AO1063">
        <v>32</v>
      </c>
      <c r="AQ1063" t="str">
        <f t="shared" si="16"/>
        <v>Midfielder</v>
      </c>
    </row>
    <row r="1064" spans="1:43" x14ac:dyDescent="0.35">
      <c r="A1064" t="s">
        <v>652</v>
      </c>
      <c r="B1064" t="s">
        <v>47</v>
      </c>
      <c r="C1064" t="s">
        <v>1930</v>
      </c>
      <c r="D1064">
        <v>1994</v>
      </c>
      <c r="E1064">
        <v>22</v>
      </c>
      <c r="F1064" t="s">
        <v>220</v>
      </c>
      <c r="G1064" t="s">
        <v>51</v>
      </c>
      <c r="H1064">
        <v>19800000</v>
      </c>
      <c r="I1064">
        <v>22000000</v>
      </c>
      <c r="J1064" t="s">
        <v>55</v>
      </c>
      <c r="K1064">
        <v>37</v>
      </c>
      <c r="L1064">
        <v>2907</v>
      </c>
      <c r="M1064">
        <v>7</v>
      </c>
      <c r="N1064">
        <v>1136</v>
      </c>
      <c r="O1064">
        <v>1</v>
      </c>
      <c r="P1064">
        <v>2</v>
      </c>
      <c r="Q1064">
        <v>0</v>
      </c>
      <c r="R1064">
        <v>5</v>
      </c>
      <c r="S1064">
        <v>11</v>
      </c>
      <c r="T1064">
        <v>83</v>
      </c>
      <c r="U1064">
        <v>28</v>
      </c>
      <c r="V1064">
        <v>2</v>
      </c>
      <c r="W1064">
        <v>1</v>
      </c>
      <c r="X1064">
        <v>0</v>
      </c>
      <c r="Y1064">
        <v>0</v>
      </c>
      <c r="Z1064">
        <v>0</v>
      </c>
      <c r="AA1064">
        <v>14</v>
      </c>
      <c r="AB1064">
        <v>6</v>
      </c>
      <c r="AC1064">
        <v>1</v>
      </c>
      <c r="AD1064">
        <v>3</v>
      </c>
      <c r="AE1064">
        <v>64</v>
      </c>
      <c r="AF1064">
        <v>3</v>
      </c>
      <c r="AG1064">
        <v>15</v>
      </c>
      <c r="AH1064">
        <v>38</v>
      </c>
      <c r="AI1064">
        <v>0</v>
      </c>
      <c r="AJ1064">
        <v>39</v>
      </c>
      <c r="AK1064">
        <v>0</v>
      </c>
      <c r="AL1064">
        <v>0</v>
      </c>
      <c r="AM1064">
        <v>9</v>
      </c>
      <c r="AN1064">
        <v>14</v>
      </c>
      <c r="AO1064">
        <v>19</v>
      </c>
      <c r="AQ1064" t="str">
        <f t="shared" si="16"/>
        <v>Midfielder</v>
      </c>
    </row>
    <row r="1065" spans="1:43" x14ac:dyDescent="0.35">
      <c r="A1065" t="s">
        <v>652</v>
      </c>
      <c r="B1065" t="s">
        <v>46</v>
      </c>
      <c r="C1065" t="s">
        <v>1931</v>
      </c>
      <c r="D1065">
        <v>1994</v>
      </c>
      <c r="E1065">
        <v>24</v>
      </c>
      <c r="F1065" t="s">
        <v>220</v>
      </c>
      <c r="G1065" t="s">
        <v>51</v>
      </c>
      <c r="H1065">
        <v>3300000</v>
      </c>
      <c r="I1065">
        <v>5000000</v>
      </c>
      <c r="J1065" t="s">
        <v>55</v>
      </c>
      <c r="K1065">
        <v>38</v>
      </c>
      <c r="L1065">
        <v>3275</v>
      </c>
      <c r="M1065">
        <v>6</v>
      </c>
      <c r="N1065">
        <v>1125</v>
      </c>
      <c r="O1065">
        <v>4</v>
      </c>
      <c r="P1065">
        <v>3</v>
      </c>
      <c r="Q1065">
        <v>0</v>
      </c>
      <c r="R1065">
        <v>2</v>
      </c>
      <c r="S1065">
        <v>8</v>
      </c>
      <c r="T1065">
        <v>74</v>
      </c>
      <c r="U1065">
        <v>22</v>
      </c>
      <c r="V1065">
        <v>4</v>
      </c>
      <c r="W1065">
        <v>8</v>
      </c>
      <c r="X1065">
        <v>0</v>
      </c>
      <c r="Y1065">
        <v>0</v>
      </c>
      <c r="Z1065">
        <v>0</v>
      </c>
      <c r="AA1065">
        <v>15</v>
      </c>
      <c r="AB1065">
        <v>6</v>
      </c>
      <c r="AC1065">
        <v>52</v>
      </c>
      <c r="AD1065">
        <v>11</v>
      </c>
      <c r="AE1065">
        <v>75</v>
      </c>
      <c r="AF1065">
        <v>2</v>
      </c>
      <c r="AG1065">
        <v>20</v>
      </c>
      <c r="AH1065">
        <v>29</v>
      </c>
      <c r="AI1065">
        <v>0</v>
      </c>
      <c r="AJ1065">
        <v>45</v>
      </c>
      <c r="AK1065">
        <v>0</v>
      </c>
      <c r="AL1065">
        <v>0</v>
      </c>
      <c r="AM1065">
        <v>21</v>
      </c>
      <c r="AN1065">
        <v>25</v>
      </c>
      <c r="AO1065">
        <v>64</v>
      </c>
      <c r="AQ1065" t="str">
        <f t="shared" si="16"/>
        <v>Midfielder</v>
      </c>
    </row>
    <row r="1066" spans="1:43" x14ac:dyDescent="0.35">
      <c r="A1066" t="s">
        <v>653</v>
      </c>
      <c r="B1066" t="s">
        <v>47</v>
      </c>
      <c r="C1066" t="s">
        <v>1932</v>
      </c>
      <c r="D1066">
        <v>1994</v>
      </c>
      <c r="E1066">
        <v>21</v>
      </c>
      <c r="F1066" t="s">
        <v>44</v>
      </c>
      <c r="G1066" t="s">
        <v>51</v>
      </c>
      <c r="H1066">
        <v>2500000</v>
      </c>
      <c r="I1066">
        <v>3000000</v>
      </c>
      <c r="J1066" t="s">
        <v>55</v>
      </c>
      <c r="K1066">
        <v>10</v>
      </c>
      <c r="L1066">
        <v>159</v>
      </c>
      <c r="M1066">
        <v>0</v>
      </c>
      <c r="N1066">
        <v>103</v>
      </c>
      <c r="O1066">
        <v>1</v>
      </c>
      <c r="P1066">
        <v>2</v>
      </c>
      <c r="Q1066">
        <v>0</v>
      </c>
      <c r="R1066">
        <v>9</v>
      </c>
      <c r="S1066">
        <v>1</v>
      </c>
      <c r="T1066">
        <v>1</v>
      </c>
      <c r="U1066">
        <v>1</v>
      </c>
      <c r="V1066">
        <v>0</v>
      </c>
      <c r="W1066">
        <v>2</v>
      </c>
      <c r="X1066">
        <v>0</v>
      </c>
      <c r="Y1066">
        <v>0</v>
      </c>
      <c r="Z1066">
        <v>0</v>
      </c>
      <c r="AA1066">
        <v>0</v>
      </c>
      <c r="AB1066">
        <v>1</v>
      </c>
      <c r="AC1066">
        <v>0</v>
      </c>
      <c r="AD1066">
        <v>0</v>
      </c>
      <c r="AE1066">
        <v>0</v>
      </c>
      <c r="AF1066">
        <v>0</v>
      </c>
      <c r="AG1066">
        <v>2</v>
      </c>
      <c r="AH1066">
        <v>2</v>
      </c>
      <c r="AI1066">
        <v>0</v>
      </c>
      <c r="AJ1066">
        <v>5</v>
      </c>
      <c r="AK1066">
        <v>0</v>
      </c>
      <c r="AL1066">
        <v>0</v>
      </c>
      <c r="AM1066">
        <v>4</v>
      </c>
      <c r="AN1066">
        <v>4</v>
      </c>
      <c r="AO1066">
        <v>1</v>
      </c>
      <c r="AQ1066" t="str">
        <f t="shared" si="16"/>
        <v>Midfielder</v>
      </c>
    </row>
    <row r="1067" spans="1:43" x14ac:dyDescent="0.35">
      <c r="A1067" t="s">
        <v>654</v>
      </c>
      <c r="B1067" t="s">
        <v>39</v>
      </c>
      <c r="C1067" t="s">
        <v>1933</v>
      </c>
      <c r="D1067">
        <v>1991</v>
      </c>
      <c r="E1067">
        <v>24</v>
      </c>
      <c r="F1067" t="s">
        <v>80</v>
      </c>
      <c r="G1067" t="s">
        <v>51</v>
      </c>
      <c r="H1067">
        <v>15300000</v>
      </c>
      <c r="I1067">
        <v>18900000</v>
      </c>
      <c r="J1067" t="s">
        <v>52</v>
      </c>
      <c r="K1067">
        <v>33</v>
      </c>
      <c r="L1067">
        <v>2970</v>
      </c>
      <c r="M1067">
        <v>1</v>
      </c>
      <c r="N1067">
        <v>1510</v>
      </c>
      <c r="O1067">
        <v>0</v>
      </c>
      <c r="P1067">
        <v>6</v>
      </c>
      <c r="Q1067">
        <v>0</v>
      </c>
      <c r="R1067">
        <v>0</v>
      </c>
      <c r="S1067">
        <v>0</v>
      </c>
      <c r="T1067">
        <v>29</v>
      </c>
      <c r="U1067">
        <v>6</v>
      </c>
      <c r="V1067">
        <v>0</v>
      </c>
      <c r="W1067">
        <v>15</v>
      </c>
      <c r="X1067">
        <v>0</v>
      </c>
      <c r="Y1067">
        <v>0</v>
      </c>
      <c r="Z1067">
        <v>0</v>
      </c>
      <c r="AA1067">
        <v>1</v>
      </c>
      <c r="AB1067">
        <v>1</v>
      </c>
      <c r="AC1067">
        <v>0</v>
      </c>
      <c r="AD1067">
        <v>0</v>
      </c>
      <c r="AE1067">
        <v>81</v>
      </c>
      <c r="AF1067">
        <v>8</v>
      </c>
      <c r="AG1067">
        <v>52</v>
      </c>
      <c r="AH1067">
        <v>19</v>
      </c>
      <c r="AI1067">
        <v>0</v>
      </c>
      <c r="AJ1067">
        <v>84</v>
      </c>
      <c r="AK1067">
        <v>0</v>
      </c>
      <c r="AL1067">
        <v>0</v>
      </c>
      <c r="AM1067">
        <v>57</v>
      </c>
      <c r="AN1067">
        <v>11</v>
      </c>
      <c r="AO1067">
        <v>21</v>
      </c>
      <c r="AQ1067" t="str">
        <f t="shared" si="16"/>
        <v>Defensive Forward</v>
      </c>
    </row>
    <row r="1068" spans="1:43" x14ac:dyDescent="0.35">
      <c r="A1068" t="s">
        <v>654</v>
      </c>
      <c r="B1068" t="s">
        <v>46</v>
      </c>
      <c r="C1068" t="s">
        <v>1934</v>
      </c>
      <c r="D1068">
        <v>1991</v>
      </c>
      <c r="E1068">
        <v>27</v>
      </c>
      <c r="F1068" t="s">
        <v>84</v>
      </c>
      <c r="G1068" t="s">
        <v>51</v>
      </c>
      <c r="H1068">
        <v>18000000</v>
      </c>
      <c r="I1068">
        <v>10800000</v>
      </c>
      <c r="J1068" t="s">
        <v>52</v>
      </c>
      <c r="K1068">
        <v>18</v>
      </c>
      <c r="L1068">
        <v>1253</v>
      </c>
      <c r="M1068">
        <v>0</v>
      </c>
      <c r="N1068">
        <v>518</v>
      </c>
      <c r="O1068">
        <v>1</v>
      </c>
      <c r="P1068">
        <v>2</v>
      </c>
      <c r="Q1068">
        <v>0</v>
      </c>
      <c r="R1068">
        <v>4</v>
      </c>
      <c r="S1068">
        <v>4</v>
      </c>
      <c r="T1068">
        <v>5</v>
      </c>
      <c r="U1068">
        <v>1</v>
      </c>
      <c r="V1068">
        <v>0</v>
      </c>
      <c r="W1068">
        <v>9</v>
      </c>
      <c r="X1068">
        <v>0</v>
      </c>
      <c r="Y1068">
        <v>0</v>
      </c>
      <c r="Z1068">
        <v>0</v>
      </c>
      <c r="AA1068">
        <v>0</v>
      </c>
      <c r="AB1068">
        <v>2</v>
      </c>
      <c r="AC1068">
        <v>4</v>
      </c>
      <c r="AD1068">
        <v>0</v>
      </c>
      <c r="AE1068">
        <v>21</v>
      </c>
      <c r="AF1068">
        <v>3</v>
      </c>
      <c r="AG1068">
        <v>18</v>
      </c>
      <c r="AH1068">
        <v>9</v>
      </c>
      <c r="AI1068">
        <v>1</v>
      </c>
      <c r="AJ1068">
        <v>37</v>
      </c>
      <c r="AK1068">
        <v>0</v>
      </c>
      <c r="AL1068">
        <v>0</v>
      </c>
      <c r="AM1068">
        <v>28</v>
      </c>
      <c r="AN1068">
        <v>6</v>
      </c>
      <c r="AO1068">
        <v>12</v>
      </c>
      <c r="AQ1068" t="str">
        <f t="shared" si="16"/>
        <v>Defensive Forward</v>
      </c>
    </row>
    <row r="1069" spans="1:43" x14ac:dyDescent="0.35">
      <c r="A1069" t="s">
        <v>654</v>
      </c>
      <c r="B1069" t="s">
        <v>47</v>
      </c>
      <c r="C1069" t="s">
        <v>1935</v>
      </c>
      <c r="D1069">
        <v>1991</v>
      </c>
      <c r="E1069">
        <v>25</v>
      </c>
      <c r="F1069" t="s">
        <v>80</v>
      </c>
      <c r="G1069" t="s">
        <v>51</v>
      </c>
      <c r="H1069">
        <v>18900000</v>
      </c>
      <c r="I1069">
        <v>18900000</v>
      </c>
      <c r="J1069" t="s">
        <v>52</v>
      </c>
      <c r="K1069">
        <v>37</v>
      </c>
      <c r="L1069">
        <v>3324</v>
      </c>
      <c r="M1069">
        <v>0</v>
      </c>
      <c r="N1069">
        <v>1795</v>
      </c>
      <c r="O1069">
        <v>2</v>
      </c>
      <c r="P1069">
        <v>0</v>
      </c>
      <c r="Q1069">
        <v>0</v>
      </c>
      <c r="R1069">
        <v>0</v>
      </c>
      <c r="S1069">
        <v>1</v>
      </c>
      <c r="T1069">
        <v>26</v>
      </c>
      <c r="U1069">
        <v>5</v>
      </c>
      <c r="V1069">
        <v>1</v>
      </c>
      <c r="W1069">
        <v>18</v>
      </c>
      <c r="X1069">
        <v>0</v>
      </c>
      <c r="Y1069">
        <v>0</v>
      </c>
      <c r="Z1069">
        <v>0</v>
      </c>
      <c r="AA1069">
        <v>1</v>
      </c>
      <c r="AB1069">
        <v>1</v>
      </c>
      <c r="AC1069">
        <v>1</v>
      </c>
      <c r="AD1069">
        <v>0</v>
      </c>
      <c r="AE1069">
        <v>97</v>
      </c>
      <c r="AF1069">
        <v>2</v>
      </c>
      <c r="AG1069">
        <v>43</v>
      </c>
      <c r="AH1069">
        <v>14</v>
      </c>
      <c r="AI1069">
        <v>0</v>
      </c>
      <c r="AJ1069">
        <v>80</v>
      </c>
      <c r="AK1069">
        <v>1</v>
      </c>
      <c r="AL1069">
        <v>0</v>
      </c>
      <c r="AM1069">
        <v>54</v>
      </c>
      <c r="AN1069">
        <v>13</v>
      </c>
      <c r="AO1069">
        <v>43</v>
      </c>
      <c r="AQ1069" t="str">
        <f t="shared" si="16"/>
        <v>Defensive Forward</v>
      </c>
    </row>
    <row r="1070" spans="1:43" x14ac:dyDescent="0.35">
      <c r="A1070" t="s">
        <v>655</v>
      </c>
      <c r="B1070" t="s">
        <v>46</v>
      </c>
      <c r="C1070" t="s">
        <v>1936</v>
      </c>
      <c r="D1070">
        <v>1992</v>
      </c>
      <c r="E1070">
        <v>26</v>
      </c>
      <c r="F1070" t="s">
        <v>169</v>
      </c>
      <c r="G1070" t="s">
        <v>51</v>
      </c>
      <c r="H1070">
        <v>44000000</v>
      </c>
      <c r="I1070">
        <v>35200000</v>
      </c>
      <c r="J1070" t="s">
        <v>55</v>
      </c>
      <c r="K1070">
        <v>20</v>
      </c>
      <c r="L1070">
        <v>986</v>
      </c>
      <c r="M1070">
        <v>4</v>
      </c>
      <c r="N1070">
        <v>255</v>
      </c>
      <c r="O1070">
        <v>1</v>
      </c>
      <c r="P1070">
        <v>0</v>
      </c>
      <c r="Q1070">
        <v>0</v>
      </c>
      <c r="R1070">
        <v>9</v>
      </c>
      <c r="S1070">
        <v>8</v>
      </c>
      <c r="T1070">
        <v>20</v>
      </c>
      <c r="U1070">
        <v>10</v>
      </c>
      <c r="V1070">
        <v>1</v>
      </c>
      <c r="W1070">
        <v>8</v>
      </c>
      <c r="X1070">
        <v>0</v>
      </c>
      <c r="Y1070">
        <v>0</v>
      </c>
      <c r="Z1070">
        <v>0</v>
      </c>
      <c r="AA1070">
        <v>3</v>
      </c>
      <c r="AB1070">
        <v>1</v>
      </c>
      <c r="AC1070">
        <v>10</v>
      </c>
      <c r="AD1070">
        <v>2</v>
      </c>
      <c r="AE1070">
        <v>27</v>
      </c>
      <c r="AF1070">
        <v>1</v>
      </c>
      <c r="AG1070">
        <v>13</v>
      </c>
      <c r="AH1070">
        <v>7</v>
      </c>
      <c r="AI1070">
        <v>1</v>
      </c>
      <c r="AJ1070">
        <v>34</v>
      </c>
      <c r="AK1070">
        <v>0</v>
      </c>
      <c r="AL1070">
        <v>0</v>
      </c>
      <c r="AM1070">
        <v>13</v>
      </c>
      <c r="AN1070">
        <v>23</v>
      </c>
      <c r="AO1070">
        <v>43</v>
      </c>
      <c r="AQ1070" t="str">
        <f t="shared" si="16"/>
        <v>Midfielder</v>
      </c>
    </row>
    <row r="1071" spans="1:43" x14ac:dyDescent="0.35">
      <c r="A1071" t="s">
        <v>656</v>
      </c>
      <c r="B1071" t="s">
        <v>47</v>
      </c>
      <c r="C1071" t="s">
        <v>1937</v>
      </c>
      <c r="D1071">
        <v>1989</v>
      </c>
      <c r="E1071">
        <v>27</v>
      </c>
      <c r="F1071" t="s">
        <v>40</v>
      </c>
      <c r="G1071" t="s">
        <v>62</v>
      </c>
      <c r="H1071">
        <v>5500000</v>
      </c>
      <c r="I1071">
        <v>5500000</v>
      </c>
      <c r="J1071" t="s">
        <v>52</v>
      </c>
      <c r="K1071">
        <v>11</v>
      </c>
      <c r="L1071">
        <v>922</v>
      </c>
      <c r="M1071">
        <v>0</v>
      </c>
      <c r="N1071">
        <v>361</v>
      </c>
      <c r="O1071">
        <v>0</v>
      </c>
      <c r="P1071">
        <v>1</v>
      </c>
      <c r="Q1071">
        <v>0</v>
      </c>
      <c r="R1071">
        <v>0</v>
      </c>
      <c r="S1071">
        <v>2</v>
      </c>
      <c r="T1071">
        <v>4</v>
      </c>
      <c r="U1071">
        <v>0</v>
      </c>
      <c r="V1071">
        <v>0</v>
      </c>
      <c r="W1071">
        <v>9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28</v>
      </c>
      <c r="AF1071">
        <v>3</v>
      </c>
      <c r="AG1071">
        <v>25</v>
      </c>
      <c r="AH1071">
        <v>13</v>
      </c>
      <c r="AI1071">
        <v>0</v>
      </c>
      <c r="AJ1071">
        <v>22</v>
      </c>
      <c r="AK1071">
        <v>0</v>
      </c>
      <c r="AL1071">
        <v>0</v>
      </c>
      <c r="AM1071">
        <v>20</v>
      </c>
      <c r="AN1071">
        <v>7</v>
      </c>
      <c r="AO1071">
        <v>5</v>
      </c>
      <c r="AQ1071" t="str">
        <f t="shared" si="16"/>
        <v>Defensive Forward</v>
      </c>
    </row>
    <row r="1072" spans="1:43" x14ac:dyDescent="0.35">
      <c r="A1072" t="s">
        <v>656</v>
      </c>
      <c r="B1072" t="s">
        <v>39</v>
      </c>
      <c r="C1072" t="s">
        <v>1938</v>
      </c>
      <c r="D1072">
        <v>1989</v>
      </c>
      <c r="E1072">
        <v>26</v>
      </c>
      <c r="F1072" t="s">
        <v>40</v>
      </c>
      <c r="G1072" t="s">
        <v>62</v>
      </c>
      <c r="H1072">
        <v>4950000</v>
      </c>
      <c r="I1072">
        <v>5500000</v>
      </c>
      <c r="J1072" t="s">
        <v>52</v>
      </c>
      <c r="K1072">
        <v>34</v>
      </c>
      <c r="L1072">
        <v>2947</v>
      </c>
      <c r="M1072">
        <v>0</v>
      </c>
      <c r="N1072">
        <v>1284</v>
      </c>
      <c r="O1072">
        <v>0</v>
      </c>
      <c r="P1072">
        <v>4</v>
      </c>
      <c r="Q1072">
        <v>0</v>
      </c>
      <c r="R1072">
        <v>1</v>
      </c>
      <c r="S1072">
        <v>1</v>
      </c>
      <c r="T1072">
        <v>9</v>
      </c>
      <c r="U1072">
        <v>0</v>
      </c>
      <c r="V1072">
        <v>0</v>
      </c>
      <c r="W1072">
        <v>36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73</v>
      </c>
      <c r="AF1072">
        <v>11</v>
      </c>
      <c r="AG1072">
        <v>63</v>
      </c>
      <c r="AH1072">
        <v>38</v>
      </c>
      <c r="AI1072">
        <v>0</v>
      </c>
      <c r="AJ1072">
        <v>41</v>
      </c>
      <c r="AK1072">
        <v>0</v>
      </c>
      <c r="AL1072">
        <v>0</v>
      </c>
      <c r="AM1072">
        <v>69</v>
      </c>
      <c r="AN1072">
        <v>28</v>
      </c>
      <c r="AO1072">
        <v>30</v>
      </c>
      <c r="AQ1072" t="str">
        <f t="shared" si="16"/>
        <v>Defensive Forward</v>
      </c>
    </row>
    <row r="1073" spans="1:43" x14ac:dyDescent="0.35">
      <c r="A1073" t="s">
        <v>657</v>
      </c>
      <c r="B1073" t="s">
        <v>39</v>
      </c>
      <c r="C1073" t="s">
        <v>1939</v>
      </c>
      <c r="D1073">
        <v>1988</v>
      </c>
      <c r="E1073">
        <v>27</v>
      </c>
      <c r="F1073" t="s">
        <v>44</v>
      </c>
      <c r="G1073" t="s">
        <v>115</v>
      </c>
      <c r="H1073">
        <v>35200000</v>
      </c>
      <c r="I1073">
        <v>38500000</v>
      </c>
      <c r="J1073" t="s">
        <v>55</v>
      </c>
      <c r="K1073">
        <v>33</v>
      </c>
      <c r="L1073">
        <v>2421</v>
      </c>
      <c r="M1073">
        <v>2</v>
      </c>
      <c r="N1073">
        <v>1607</v>
      </c>
      <c r="O1073">
        <v>2</v>
      </c>
      <c r="P1073">
        <v>4</v>
      </c>
      <c r="Q1073">
        <v>1</v>
      </c>
      <c r="R1073">
        <v>5</v>
      </c>
      <c r="S1073">
        <v>8</v>
      </c>
      <c r="T1073">
        <v>34</v>
      </c>
      <c r="U1073">
        <v>8</v>
      </c>
      <c r="V1073">
        <v>1</v>
      </c>
      <c r="W1073">
        <v>27</v>
      </c>
      <c r="X1073">
        <v>0</v>
      </c>
      <c r="Y1073">
        <v>0</v>
      </c>
      <c r="Z1073">
        <v>0</v>
      </c>
      <c r="AA1073">
        <v>2</v>
      </c>
      <c r="AB1073">
        <v>2</v>
      </c>
      <c r="AC1073">
        <v>3</v>
      </c>
      <c r="AD1073">
        <v>2</v>
      </c>
      <c r="AE1073">
        <v>20</v>
      </c>
      <c r="AF1073">
        <v>10</v>
      </c>
      <c r="AG1073">
        <v>67</v>
      </c>
      <c r="AH1073">
        <v>38</v>
      </c>
      <c r="AI1073">
        <v>0</v>
      </c>
      <c r="AJ1073">
        <v>84</v>
      </c>
      <c r="AK1073">
        <v>0</v>
      </c>
      <c r="AL1073">
        <v>0</v>
      </c>
      <c r="AM1073">
        <v>47</v>
      </c>
      <c r="AN1073">
        <v>38</v>
      </c>
      <c r="AO1073">
        <v>44</v>
      </c>
      <c r="AQ1073" t="str">
        <f t="shared" si="16"/>
        <v>Midfielder</v>
      </c>
    </row>
    <row r="1074" spans="1:43" x14ac:dyDescent="0.35">
      <c r="A1074" t="s">
        <v>657</v>
      </c>
      <c r="B1074" t="s">
        <v>47</v>
      </c>
      <c r="C1074" t="s">
        <v>1940</v>
      </c>
      <c r="D1074">
        <v>1988</v>
      </c>
      <c r="E1074">
        <v>28</v>
      </c>
      <c r="F1074" t="s">
        <v>44</v>
      </c>
      <c r="G1074" t="s">
        <v>115</v>
      </c>
      <c r="H1074">
        <v>38500000</v>
      </c>
      <c r="I1074">
        <v>44000000</v>
      </c>
      <c r="J1074" t="s">
        <v>55</v>
      </c>
      <c r="K1074">
        <v>35</v>
      </c>
      <c r="L1074">
        <v>2697</v>
      </c>
      <c r="M1074">
        <v>0</v>
      </c>
      <c r="N1074">
        <v>1865</v>
      </c>
      <c r="O1074">
        <v>7</v>
      </c>
      <c r="P1074">
        <v>4</v>
      </c>
      <c r="Q1074">
        <v>0</v>
      </c>
      <c r="R1074">
        <v>5</v>
      </c>
      <c r="S1074">
        <v>7</v>
      </c>
      <c r="T1074">
        <v>20</v>
      </c>
      <c r="U1074">
        <v>7</v>
      </c>
      <c r="V1074">
        <v>0</v>
      </c>
      <c r="W1074">
        <v>33</v>
      </c>
      <c r="X1074">
        <v>0</v>
      </c>
      <c r="Y1074">
        <v>0</v>
      </c>
      <c r="Z1074">
        <v>0</v>
      </c>
      <c r="AA1074">
        <v>1</v>
      </c>
      <c r="AB1074">
        <v>8</v>
      </c>
      <c r="AC1074">
        <v>0</v>
      </c>
      <c r="AD1074">
        <v>0</v>
      </c>
      <c r="AE1074">
        <v>8</v>
      </c>
      <c r="AF1074">
        <v>9</v>
      </c>
      <c r="AG1074">
        <v>50</v>
      </c>
      <c r="AH1074">
        <v>33</v>
      </c>
      <c r="AI1074">
        <v>0</v>
      </c>
      <c r="AJ1074">
        <v>51</v>
      </c>
      <c r="AK1074">
        <v>0</v>
      </c>
      <c r="AL1074">
        <v>0</v>
      </c>
      <c r="AM1074">
        <v>46</v>
      </c>
      <c r="AN1074">
        <v>39</v>
      </c>
      <c r="AO1074">
        <v>26</v>
      </c>
      <c r="AQ1074" t="str">
        <f t="shared" si="16"/>
        <v>Midfielder</v>
      </c>
    </row>
    <row r="1075" spans="1:43" x14ac:dyDescent="0.35">
      <c r="A1075" t="s">
        <v>657</v>
      </c>
      <c r="B1075" t="s">
        <v>43</v>
      </c>
      <c r="C1075" t="s">
        <v>1941</v>
      </c>
      <c r="D1075">
        <v>1988</v>
      </c>
      <c r="E1075">
        <v>29</v>
      </c>
      <c r="F1075" t="s">
        <v>129</v>
      </c>
      <c r="G1075" t="s">
        <v>115</v>
      </c>
      <c r="H1075">
        <v>44000000</v>
      </c>
      <c r="I1075">
        <v>33000000</v>
      </c>
      <c r="J1075" t="s">
        <v>55</v>
      </c>
      <c r="K1075">
        <v>36</v>
      </c>
      <c r="L1075">
        <v>3119</v>
      </c>
      <c r="M1075">
        <v>1</v>
      </c>
      <c r="N1075">
        <v>2601</v>
      </c>
      <c r="O1075">
        <v>1</v>
      </c>
      <c r="P1075">
        <v>6</v>
      </c>
      <c r="Q1075">
        <v>0</v>
      </c>
      <c r="R1075">
        <v>1</v>
      </c>
      <c r="S1075">
        <v>2</v>
      </c>
      <c r="T1075">
        <v>18</v>
      </c>
      <c r="U1075">
        <v>3</v>
      </c>
      <c r="V1075">
        <v>0</v>
      </c>
      <c r="W1075">
        <v>27</v>
      </c>
      <c r="X1075">
        <v>0</v>
      </c>
      <c r="Y1075">
        <v>0</v>
      </c>
      <c r="Z1075">
        <v>0</v>
      </c>
      <c r="AA1075">
        <v>2</v>
      </c>
      <c r="AB1075">
        <v>4</v>
      </c>
      <c r="AC1075">
        <v>15</v>
      </c>
      <c r="AD1075">
        <v>1</v>
      </c>
      <c r="AE1075">
        <v>18</v>
      </c>
      <c r="AF1075">
        <v>13</v>
      </c>
      <c r="AG1075">
        <v>64</v>
      </c>
      <c r="AH1075">
        <v>33</v>
      </c>
      <c r="AI1075">
        <v>0</v>
      </c>
      <c r="AJ1075">
        <v>70</v>
      </c>
      <c r="AK1075">
        <v>1</v>
      </c>
      <c r="AL1075">
        <v>0</v>
      </c>
      <c r="AM1075">
        <v>56</v>
      </c>
      <c r="AN1075">
        <v>57</v>
      </c>
      <c r="AO1075">
        <v>28</v>
      </c>
      <c r="AQ1075" t="str">
        <f t="shared" si="16"/>
        <v>Midfielder</v>
      </c>
    </row>
    <row r="1076" spans="1:43" x14ac:dyDescent="0.35">
      <c r="A1076" t="s">
        <v>657</v>
      </c>
      <c r="B1076" t="s">
        <v>46</v>
      </c>
      <c r="C1076" t="s">
        <v>1942</v>
      </c>
      <c r="D1076">
        <v>1988</v>
      </c>
      <c r="E1076">
        <v>30</v>
      </c>
      <c r="F1076" t="s">
        <v>129</v>
      </c>
      <c r="G1076" t="s">
        <v>115</v>
      </c>
      <c r="H1076">
        <v>4400000</v>
      </c>
      <c r="I1076">
        <v>8800000</v>
      </c>
      <c r="J1076" t="s">
        <v>55</v>
      </c>
      <c r="K1076">
        <v>28</v>
      </c>
      <c r="L1076">
        <v>2440</v>
      </c>
      <c r="M1076">
        <v>1</v>
      </c>
      <c r="N1076">
        <v>1836</v>
      </c>
      <c r="O1076">
        <v>0</v>
      </c>
      <c r="P1076">
        <v>6</v>
      </c>
      <c r="Q1076">
        <v>1</v>
      </c>
      <c r="R1076">
        <v>0</v>
      </c>
      <c r="S1076">
        <v>4</v>
      </c>
      <c r="T1076">
        <v>12</v>
      </c>
      <c r="U1076">
        <v>3</v>
      </c>
      <c r="V1076">
        <v>0</v>
      </c>
      <c r="W1076">
        <v>28</v>
      </c>
      <c r="X1076">
        <v>0</v>
      </c>
      <c r="Y1076">
        <v>0</v>
      </c>
      <c r="Z1076">
        <v>0</v>
      </c>
      <c r="AA1076">
        <v>1</v>
      </c>
      <c r="AB1076">
        <v>3</v>
      </c>
      <c r="AC1076">
        <v>9</v>
      </c>
      <c r="AD1076">
        <v>0</v>
      </c>
      <c r="AE1076">
        <v>9</v>
      </c>
      <c r="AF1076">
        <v>18</v>
      </c>
      <c r="AG1076">
        <v>31</v>
      </c>
      <c r="AH1076">
        <v>27</v>
      </c>
      <c r="AI1076">
        <v>0</v>
      </c>
      <c r="AJ1076">
        <v>50</v>
      </c>
      <c r="AK1076">
        <v>0</v>
      </c>
      <c r="AL1076">
        <v>0</v>
      </c>
      <c r="AM1076">
        <v>52</v>
      </c>
      <c r="AN1076">
        <v>55</v>
      </c>
      <c r="AO1076">
        <v>33</v>
      </c>
      <c r="AQ1076" t="str">
        <f t="shared" si="16"/>
        <v>Midfielder</v>
      </c>
    </row>
    <row r="1077" spans="1:43" x14ac:dyDescent="0.35">
      <c r="A1077" t="s">
        <v>658</v>
      </c>
      <c r="B1077" t="s">
        <v>39</v>
      </c>
      <c r="C1077" t="s">
        <v>1943</v>
      </c>
      <c r="D1077">
        <v>1988</v>
      </c>
      <c r="E1077">
        <v>27</v>
      </c>
      <c r="F1077" t="s">
        <v>114</v>
      </c>
      <c r="G1077" t="s">
        <v>262</v>
      </c>
      <c r="H1077">
        <v>22200000</v>
      </c>
      <c r="I1077">
        <v>28500000</v>
      </c>
      <c r="J1077" t="s">
        <v>52</v>
      </c>
      <c r="K1077">
        <v>30</v>
      </c>
      <c r="L1077">
        <v>2672</v>
      </c>
      <c r="M1077">
        <v>1</v>
      </c>
      <c r="N1077">
        <v>1569</v>
      </c>
      <c r="O1077">
        <v>0</v>
      </c>
      <c r="P1077">
        <v>9</v>
      </c>
      <c r="Q1077">
        <v>0</v>
      </c>
      <c r="R1077">
        <v>0</v>
      </c>
      <c r="S1077">
        <v>1</v>
      </c>
      <c r="T1077">
        <v>27</v>
      </c>
      <c r="U1077">
        <v>8</v>
      </c>
      <c r="V1077">
        <v>0</v>
      </c>
      <c r="W1077">
        <v>123</v>
      </c>
      <c r="X1077">
        <v>1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1</v>
      </c>
      <c r="AF1077">
        <v>13</v>
      </c>
      <c r="AG1077">
        <v>104</v>
      </c>
      <c r="AH1077">
        <v>31</v>
      </c>
      <c r="AI1077">
        <v>0</v>
      </c>
      <c r="AJ1077">
        <v>90</v>
      </c>
      <c r="AK1077">
        <v>0</v>
      </c>
      <c r="AL1077">
        <v>0</v>
      </c>
      <c r="AM1077">
        <v>209</v>
      </c>
      <c r="AN1077">
        <v>90</v>
      </c>
      <c r="AO1077">
        <v>49</v>
      </c>
      <c r="AQ1077" t="str">
        <f t="shared" si="16"/>
        <v>Defensive Forward</v>
      </c>
    </row>
    <row r="1078" spans="1:43" x14ac:dyDescent="0.35">
      <c r="A1078" t="s">
        <v>658</v>
      </c>
      <c r="B1078" t="s">
        <v>47</v>
      </c>
      <c r="C1078" t="s">
        <v>1944</v>
      </c>
      <c r="D1078">
        <v>1988</v>
      </c>
      <c r="E1078">
        <v>28</v>
      </c>
      <c r="F1078" t="s">
        <v>114</v>
      </c>
      <c r="G1078" t="s">
        <v>262</v>
      </c>
      <c r="H1078">
        <v>28500000</v>
      </c>
      <c r="I1078">
        <v>27000000</v>
      </c>
      <c r="J1078" t="s">
        <v>52</v>
      </c>
      <c r="K1078">
        <v>30</v>
      </c>
      <c r="L1078">
        <v>2592</v>
      </c>
      <c r="M1078">
        <v>1</v>
      </c>
      <c r="N1078">
        <v>1945</v>
      </c>
      <c r="O1078">
        <v>1</v>
      </c>
      <c r="P1078">
        <v>9</v>
      </c>
      <c r="Q1078">
        <v>0</v>
      </c>
      <c r="R1078">
        <v>1</v>
      </c>
      <c r="S1078">
        <v>1</v>
      </c>
      <c r="T1078">
        <v>15</v>
      </c>
      <c r="U1078">
        <v>3</v>
      </c>
      <c r="V1078">
        <v>0</v>
      </c>
      <c r="W1078">
        <v>140</v>
      </c>
      <c r="X1078">
        <v>1</v>
      </c>
      <c r="Y1078">
        <v>0</v>
      </c>
      <c r="Z1078">
        <v>0</v>
      </c>
      <c r="AA1078">
        <v>1</v>
      </c>
      <c r="AB1078">
        <v>5</v>
      </c>
      <c r="AC1078">
        <v>0</v>
      </c>
      <c r="AD1078">
        <v>0</v>
      </c>
      <c r="AE1078">
        <v>3</v>
      </c>
      <c r="AF1078">
        <v>15</v>
      </c>
      <c r="AG1078">
        <v>84</v>
      </c>
      <c r="AH1078">
        <v>30</v>
      </c>
      <c r="AI1078">
        <v>0</v>
      </c>
      <c r="AJ1078">
        <v>69</v>
      </c>
      <c r="AK1078">
        <v>0</v>
      </c>
      <c r="AL1078">
        <v>0</v>
      </c>
      <c r="AM1078">
        <v>190</v>
      </c>
      <c r="AN1078">
        <v>117</v>
      </c>
      <c r="AO1078">
        <v>67</v>
      </c>
      <c r="AQ1078" t="str">
        <f t="shared" si="16"/>
        <v>Defensive Forward</v>
      </c>
    </row>
    <row r="1079" spans="1:43" x14ac:dyDescent="0.35">
      <c r="A1079" t="s">
        <v>658</v>
      </c>
      <c r="B1079" t="s">
        <v>46</v>
      </c>
      <c r="C1079" t="s">
        <v>1945</v>
      </c>
      <c r="D1079">
        <v>1988</v>
      </c>
      <c r="E1079">
        <v>30</v>
      </c>
      <c r="F1079" t="s">
        <v>114</v>
      </c>
      <c r="G1079" t="s">
        <v>262</v>
      </c>
      <c r="H1079">
        <v>31500000</v>
      </c>
      <c r="I1079">
        <v>22500000</v>
      </c>
      <c r="J1079" t="s">
        <v>52</v>
      </c>
      <c r="K1079">
        <v>18</v>
      </c>
      <c r="L1079">
        <v>1234</v>
      </c>
      <c r="M1079">
        <v>0</v>
      </c>
      <c r="N1079">
        <v>1245</v>
      </c>
      <c r="O1079">
        <v>0</v>
      </c>
      <c r="P1079">
        <v>0</v>
      </c>
      <c r="Q1079">
        <v>0</v>
      </c>
      <c r="R1079">
        <v>4</v>
      </c>
      <c r="S1079">
        <v>1</v>
      </c>
      <c r="T1079">
        <v>15</v>
      </c>
      <c r="U1079">
        <v>3</v>
      </c>
      <c r="V1079">
        <v>0</v>
      </c>
      <c r="W1079">
        <v>23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12</v>
      </c>
      <c r="AD1079">
        <v>0</v>
      </c>
      <c r="AE1079">
        <v>1</v>
      </c>
      <c r="AF1079">
        <v>4</v>
      </c>
      <c r="AG1079">
        <v>29</v>
      </c>
      <c r="AH1079">
        <v>8</v>
      </c>
      <c r="AI1079">
        <v>0</v>
      </c>
      <c r="AJ1079">
        <v>24</v>
      </c>
      <c r="AK1079">
        <v>1</v>
      </c>
      <c r="AL1079">
        <v>0</v>
      </c>
      <c r="AM1079">
        <v>55</v>
      </c>
      <c r="AN1079">
        <v>41</v>
      </c>
      <c r="AO1079">
        <v>25</v>
      </c>
      <c r="AQ1079" t="str">
        <f t="shared" si="16"/>
        <v>Defensive Forward</v>
      </c>
    </row>
    <row r="1080" spans="1:43" x14ac:dyDescent="0.35">
      <c r="A1080" t="s">
        <v>658</v>
      </c>
      <c r="B1080" t="s">
        <v>43</v>
      </c>
      <c r="C1080" t="s">
        <v>1946</v>
      </c>
      <c r="D1080">
        <v>1988</v>
      </c>
      <c r="E1080">
        <v>29</v>
      </c>
      <c r="F1080" t="s">
        <v>114</v>
      </c>
      <c r="G1080" t="s">
        <v>262</v>
      </c>
      <c r="H1080">
        <v>27000000</v>
      </c>
      <c r="I1080">
        <v>31500000</v>
      </c>
      <c r="J1080" t="s">
        <v>52</v>
      </c>
      <c r="K1080">
        <v>34</v>
      </c>
      <c r="L1080">
        <v>2968</v>
      </c>
      <c r="M1080">
        <v>4</v>
      </c>
      <c r="N1080">
        <v>3074</v>
      </c>
      <c r="O1080">
        <v>0</v>
      </c>
      <c r="P1080">
        <v>9</v>
      </c>
      <c r="Q1080">
        <v>0</v>
      </c>
      <c r="R1080">
        <v>1</v>
      </c>
      <c r="S1080">
        <v>2</v>
      </c>
      <c r="T1080">
        <v>32</v>
      </c>
      <c r="U1080">
        <v>10</v>
      </c>
      <c r="V1080">
        <v>2</v>
      </c>
      <c r="W1080">
        <v>76</v>
      </c>
      <c r="X1080">
        <v>2</v>
      </c>
      <c r="Y1080">
        <v>0</v>
      </c>
      <c r="Z1080">
        <v>0</v>
      </c>
      <c r="AA1080">
        <v>0</v>
      </c>
      <c r="AB1080">
        <v>3</v>
      </c>
      <c r="AC1080">
        <v>22</v>
      </c>
      <c r="AD1080">
        <v>0</v>
      </c>
      <c r="AE1080">
        <v>2</v>
      </c>
      <c r="AF1080">
        <v>10</v>
      </c>
      <c r="AG1080">
        <v>48</v>
      </c>
      <c r="AH1080">
        <v>28</v>
      </c>
      <c r="AI1080">
        <v>0</v>
      </c>
      <c r="AJ1080">
        <v>58</v>
      </c>
      <c r="AK1080">
        <v>3</v>
      </c>
      <c r="AL1080">
        <v>1</v>
      </c>
      <c r="AM1080">
        <v>122</v>
      </c>
      <c r="AN1080">
        <v>79</v>
      </c>
      <c r="AO1080">
        <v>68</v>
      </c>
      <c r="AQ1080" t="str">
        <f t="shared" si="16"/>
        <v>Defensive Forward</v>
      </c>
    </row>
    <row r="1081" spans="1:43" x14ac:dyDescent="0.35">
      <c r="A1081" t="s">
        <v>659</v>
      </c>
      <c r="B1081" t="s">
        <v>39</v>
      </c>
      <c r="C1081" t="s">
        <v>1947</v>
      </c>
      <c r="D1081">
        <v>1985</v>
      </c>
      <c r="E1081">
        <v>30</v>
      </c>
      <c r="F1081" t="s">
        <v>50</v>
      </c>
      <c r="G1081" t="s">
        <v>308</v>
      </c>
      <c r="H1081">
        <v>4600000</v>
      </c>
      <c r="I1081">
        <v>3600000</v>
      </c>
      <c r="J1081" t="s">
        <v>42</v>
      </c>
      <c r="K1081">
        <v>13</v>
      </c>
      <c r="L1081">
        <v>339</v>
      </c>
      <c r="M1081">
        <v>1</v>
      </c>
      <c r="N1081">
        <v>74</v>
      </c>
      <c r="O1081">
        <v>0</v>
      </c>
      <c r="P1081">
        <v>1</v>
      </c>
      <c r="Q1081">
        <v>0</v>
      </c>
      <c r="R1081">
        <v>12</v>
      </c>
      <c r="S1081">
        <v>0</v>
      </c>
      <c r="T1081">
        <v>11</v>
      </c>
      <c r="U1081">
        <v>1</v>
      </c>
      <c r="V1081">
        <v>0</v>
      </c>
      <c r="W1081">
        <v>3</v>
      </c>
      <c r="X1081">
        <v>0</v>
      </c>
      <c r="Y1081">
        <v>0</v>
      </c>
      <c r="Z1081">
        <v>0</v>
      </c>
      <c r="AA1081">
        <v>6</v>
      </c>
      <c r="AB1081">
        <v>0</v>
      </c>
      <c r="AC1081">
        <v>0</v>
      </c>
      <c r="AD1081">
        <v>0</v>
      </c>
      <c r="AE1081">
        <v>4</v>
      </c>
      <c r="AF1081">
        <v>0</v>
      </c>
      <c r="AG1081">
        <v>3</v>
      </c>
      <c r="AH1081">
        <v>7</v>
      </c>
      <c r="AI1081">
        <v>0</v>
      </c>
      <c r="AJ1081">
        <v>3</v>
      </c>
      <c r="AK1081">
        <v>0</v>
      </c>
      <c r="AL1081">
        <v>0</v>
      </c>
      <c r="AM1081">
        <v>4</v>
      </c>
      <c r="AN1081">
        <v>10</v>
      </c>
      <c r="AO1081">
        <v>21</v>
      </c>
      <c r="AQ1081" t="str">
        <f t="shared" si="16"/>
        <v>Forward</v>
      </c>
    </row>
    <row r="1082" spans="1:43" x14ac:dyDescent="0.35">
      <c r="A1082" t="s">
        <v>660</v>
      </c>
      <c r="B1082" t="s">
        <v>43</v>
      </c>
      <c r="C1082" t="s">
        <v>1948</v>
      </c>
      <c r="D1082">
        <v>1997</v>
      </c>
      <c r="E1082">
        <v>20</v>
      </c>
      <c r="F1082" t="s">
        <v>54</v>
      </c>
      <c r="G1082" t="s">
        <v>308</v>
      </c>
      <c r="H1082">
        <v>13500000</v>
      </c>
      <c r="I1082">
        <v>10800000</v>
      </c>
      <c r="J1082" t="s">
        <v>55</v>
      </c>
      <c r="K1082">
        <v>12</v>
      </c>
      <c r="L1082">
        <v>575</v>
      </c>
      <c r="M1082">
        <v>0</v>
      </c>
      <c r="N1082">
        <v>203</v>
      </c>
      <c r="O1082">
        <v>0</v>
      </c>
      <c r="P1082">
        <v>0</v>
      </c>
      <c r="Q1082">
        <v>0</v>
      </c>
      <c r="R1082">
        <v>5</v>
      </c>
      <c r="S1082">
        <v>4</v>
      </c>
      <c r="T1082">
        <v>1</v>
      </c>
      <c r="U1082">
        <v>1</v>
      </c>
      <c r="V1082">
        <v>0</v>
      </c>
      <c r="W1082">
        <v>4</v>
      </c>
      <c r="X1082">
        <v>0</v>
      </c>
      <c r="Y1082">
        <v>0</v>
      </c>
      <c r="Z1082">
        <v>0</v>
      </c>
      <c r="AA1082">
        <v>0</v>
      </c>
      <c r="AB1082">
        <v>2</v>
      </c>
      <c r="AC1082">
        <v>0</v>
      </c>
      <c r="AD1082">
        <v>1</v>
      </c>
      <c r="AE1082">
        <v>8</v>
      </c>
      <c r="AF1082">
        <v>2</v>
      </c>
      <c r="AG1082">
        <v>9</v>
      </c>
      <c r="AH1082">
        <v>7</v>
      </c>
      <c r="AI1082">
        <v>0</v>
      </c>
      <c r="AJ1082">
        <v>9</v>
      </c>
      <c r="AK1082">
        <v>0</v>
      </c>
      <c r="AL1082">
        <v>0</v>
      </c>
      <c r="AM1082">
        <v>9</v>
      </c>
      <c r="AN1082">
        <v>5</v>
      </c>
      <c r="AO1082">
        <v>14</v>
      </c>
      <c r="AQ1082" t="str">
        <f t="shared" si="16"/>
        <v>Midfielder</v>
      </c>
    </row>
    <row r="1083" spans="1:43" x14ac:dyDescent="0.35">
      <c r="A1083" t="s">
        <v>661</v>
      </c>
      <c r="B1083" t="s">
        <v>47</v>
      </c>
      <c r="C1083" t="s">
        <v>1949</v>
      </c>
      <c r="D1083">
        <v>1986</v>
      </c>
      <c r="E1083">
        <v>29</v>
      </c>
      <c r="F1083" t="s">
        <v>114</v>
      </c>
      <c r="G1083" t="s">
        <v>45</v>
      </c>
      <c r="H1083">
        <v>6600000</v>
      </c>
      <c r="I1083">
        <v>4950000</v>
      </c>
      <c r="J1083" t="s">
        <v>55</v>
      </c>
      <c r="K1083">
        <v>19</v>
      </c>
      <c r="L1083">
        <v>778</v>
      </c>
      <c r="M1083">
        <v>4</v>
      </c>
      <c r="N1083">
        <v>391</v>
      </c>
      <c r="O1083">
        <v>2</v>
      </c>
      <c r="P1083">
        <v>3</v>
      </c>
      <c r="Q1083">
        <v>1</v>
      </c>
      <c r="R1083">
        <v>10</v>
      </c>
      <c r="S1083">
        <v>7</v>
      </c>
      <c r="T1083">
        <v>32</v>
      </c>
      <c r="U1083">
        <v>12</v>
      </c>
      <c r="V1083">
        <v>0</v>
      </c>
      <c r="W1083">
        <v>2</v>
      </c>
      <c r="X1083">
        <v>1</v>
      </c>
      <c r="Y1083">
        <v>0</v>
      </c>
      <c r="Z1083">
        <v>0</v>
      </c>
      <c r="AA1083">
        <v>4</v>
      </c>
      <c r="AB1083">
        <v>4</v>
      </c>
      <c r="AC1083">
        <v>3</v>
      </c>
      <c r="AD1083">
        <v>10</v>
      </c>
      <c r="AE1083">
        <v>16</v>
      </c>
      <c r="AF1083">
        <v>0</v>
      </c>
      <c r="AG1083">
        <v>7</v>
      </c>
      <c r="AH1083">
        <v>18</v>
      </c>
      <c r="AI1083">
        <v>0</v>
      </c>
      <c r="AJ1083">
        <v>14</v>
      </c>
      <c r="AK1083">
        <v>0</v>
      </c>
      <c r="AL1083">
        <v>0</v>
      </c>
      <c r="AM1083">
        <v>4</v>
      </c>
      <c r="AN1083">
        <v>8</v>
      </c>
      <c r="AO1083">
        <v>12</v>
      </c>
      <c r="AQ1083" t="str">
        <f t="shared" si="16"/>
        <v>Midfielder</v>
      </c>
    </row>
    <row r="1084" spans="1:43" x14ac:dyDescent="0.35">
      <c r="A1084" t="s">
        <v>662</v>
      </c>
      <c r="B1084" t="s">
        <v>39</v>
      </c>
      <c r="C1084" t="s">
        <v>1950</v>
      </c>
      <c r="D1084">
        <v>1987</v>
      </c>
      <c r="E1084">
        <v>28</v>
      </c>
      <c r="F1084" t="s">
        <v>66</v>
      </c>
      <c r="G1084" t="s">
        <v>588</v>
      </c>
      <c r="H1084">
        <v>4950000</v>
      </c>
      <c r="I1084">
        <v>4950000</v>
      </c>
      <c r="J1084" t="s">
        <v>55</v>
      </c>
      <c r="K1084">
        <v>12</v>
      </c>
      <c r="L1084">
        <v>501</v>
      </c>
      <c r="M1084">
        <v>0</v>
      </c>
      <c r="N1084">
        <v>156</v>
      </c>
      <c r="O1084">
        <v>0</v>
      </c>
      <c r="P1084">
        <v>2</v>
      </c>
      <c r="Q1084">
        <v>1</v>
      </c>
      <c r="R1084">
        <v>8</v>
      </c>
      <c r="S1084">
        <v>2</v>
      </c>
      <c r="T1084">
        <v>7</v>
      </c>
      <c r="U1084">
        <v>3</v>
      </c>
      <c r="V1084">
        <v>0</v>
      </c>
      <c r="W1084">
        <v>1</v>
      </c>
      <c r="X1084">
        <v>0</v>
      </c>
      <c r="Y1084">
        <v>0</v>
      </c>
      <c r="Z1084">
        <v>0</v>
      </c>
      <c r="AA1084">
        <v>2</v>
      </c>
      <c r="AB1084">
        <v>2</v>
      </c>
      <c r="AC1084">
        <v>1</v>
      </c>
      <c r="AD1084">
        <v>2</v>
      </c>
      <c r="AE1084">
        <v>38</v>
      </c>
      <c r="AF1084">
        <v>0</v>
      </c>
      <c r="AG1084">
        <v>4</v>
      </c>
      <c r="AH1084">
        <v>15</v>
      </c>
      <c r="AI1084">
        <v>0</v>
      </c>
      <c r="AJ1084">
        <v>5</v>
      </c>
      <c r="AK1084">
        <v>0</v>
      </c>
      <c r="AL1084">
        <v>0</v>
      </c>
      <c r="AM1084">
        <v>1</v>
      </c>
      <c r="AN1084">
        <v>1</v>
      </c>
      <c r="AO1084">
        <v>9</v>
      </c>
      <c r="AQ1084" t="str">
        <f t="shared" si="16"/>
        <v>Midfielder</v>
      </c>
    </row>
    <row r="1085" spans="1:43" x14ac:dyDescent="0.35">
      <c r="A1085" t="s">
        <v>662</v>
      </c>
      <c r="B1085" t="s">
        <v>47</v>
      </c>
      <c r="C1085" t="s">
        <v>1951</v>
      </c>
      <c r="D1085">
        <v>1987</v>
      </c>
      <c r="E1085">
        <v>29</v>
      </c>
      <c r="F1085" t="s">
        <v>66</v>
      </c>
      <c r="G1085" t="s">
        <v>588</v>
      </c>
      <c r="H1085">
        <v>3600000</v>
      </c>
      <c r="I1085">
        <v>2250000</v>
      </c>
      <c r="J1085" t="s">
        <v>55</v>
      </c>
      <c r="K1085">
        <v>29</v>
      </c>
      <c r="L1085">
        <v>2101</v>
      </c>
      <c r="M1085">
        <v>0</v>
      </c>
      <c r="N1085">
        <v>675</v>
      </c>
      <c r="O1085">
        <v>3</v>
      </c>
      <c r="P1085">
        <v>4</v>
      </c>
      <c r="Q1085">
        <v>0</v>
      </c>
      <c r="R1085">
        <v>4</v>
      </c>
      <c r="S1085">
        <v>14</v>
      </c>
      <c r="T1085">
        <v>29</v>
      </c>
      <c r="U1085">
        <v>6</v>
      </c>
      <c r="V1085">
        <v>0</v>
      </c>
      <c r="W1085">
        <v>3</v>
      </c>
      <c r="X1085">
        <v>0</v>
      </c>
      <c r="Y1085">
        <v>0</v>
      </c>
      <c r="Z1085">
        <v>0</v>
      </c>
      <c r="AA1085">
        <v>2</v>
      </c>
      <c r="AB1085">
        <v>2</v>
      </c>
      <c r="AC1085">
        <v>0</v>
      </c>
      <c r="AD1085">
        <v>0</v>
      </c>
      <c r="AE1085">
        <v>130</v>
      </c>
      <c r="AF1085">
        <v>3</v>
      </c>
      <c r="AG1085">
        <v>24</v>
      </c>
      <c r="AH1085">
        <v>47</v>
      </c>
      <c r="AI1085">
        <v>0</v>
      </c>
      <c r="AJ1085">
        <v>45</v>
      </c>
      <c r="AK1085">
        <v>0</v>
      </c>
      <c r="AL1085">
        <v>0</v>
      </c>
      <c r="AM1085">
        <v>11</v>
      </c>
      <c r="AN1085">
        <v>4</v>
      </c>
      <c r="AO1085">
        <v>10</v>
      </c>
      <c r="AQ1085" t="str">
        <f t="shared" si="16"/>
        <v>Midfielder</v>
      </c>
    </row>
    <row r="1086" spans="1:43" x14ac:dyDescent="0.35">
      <c r="A1086" t="s">
        <v>663</v>
      </c>
      <c r="B1086" t="s">
        <v>39</v>
      </c>
      <c r="C1086" t="s">
        <v>1952</v>
      </c>
      <c r="D1086">
        <v>1989</v>
      </c>
      <c r="E1086">
        <v>26</v>
      </c>
      <c r="F1086" t="s">
        <v>66</v>
      </c>
      <c r="G1086" t="s">
        <v>105</v>
      </c>
      <c r="H1086">
        <v>4400000</v>
      </c>
      <c r="I1086">
        <v>10800000</v>
      </c>
      <c r="J1086" t="s">
        <v>42</v>
      </c>
      <c r="K1086">
        <v>37</v>
      </c>
      <c r="L1086">
        <v>3151</v>
      </c>
      <c r="M1086">
        <v>15</v>
      </c>
      <c r="N1086">
        <v>722</v>
      </c>
      <c r="O1086">
        <v>3</v>
      </c>
      <c r="P1086">
        <v>4</v>
      </c>
      <c r="Q1086">
        <v>0</v>
      </c>
      <c r="R1086">
        <v>1</v>
      </c>
      <c r="S1086">
        <v>8</v>
      </c>
      <c r="T1086">
        <v>109</v>
      </c>
      <c r="U1086">
        <v>48</v>
      </c>
      <c r="V1086">
        <v>2</v>
      </c>
      <c r="W1086">
        <v>20</v>
      </c>
      <c r="X1086">
        <v>1</v>
      </c>
      <c r="Y1086">
        <v>0</v>
      </c>
      <c r="Z1086">
        <v>0</v>
      </c>
      <c r="AA1086">
        <v>27</v>
      </c>
      <c r="AB1086">
        <v>4</v>
      </c>
      <c r="AC1086">
        <v>17</v>
      </c>
      <c r="AD1086">
        <v>0</v>
      </c>
      <c r="AE1086">
        <v>15</v>
      </c>
      <c r="AF1086">
        <v>2</v>
      </c>
      <c r="AG1086">
        <v>15</v>
      </c>
      <c r="AH1086">
        <v>47</v>
      </c>
      <c r="AI1086">
        <v>0</v>
      </c>
      <c r="AJ1086">
        <v>27</v>
      </c>
      <c r="AK1086">
        <v>0</v>
      </c>
      <c r="AL1086">
        <v>0</v>
      </c>
      <c r="AM1086">
        <v>27</v>
      </c>
      <c r="AN1086">
        <v>25</v>
      </c>
      <c r="AO1086">
        <v>74</v>
      </c>
      <c r="AQ1086" t="str">
        <f t="shared" si="16"/>
        <v>Forward</v>
      </c>
    </row>
    <row r="1087" spans="1:43" x14ac:dyDescent="0.35">
      <c r="A1087" t="s">
        <v>663</v>
      </c>
      <c r="B1087" t="s">
        <v>47</v>
      </c>
      <c r="C1087" t="s">
        <v>1953</v>
      </c>
      <c r="D1087">
        <v>1989</v>
      </c>
      <c r="E1087">
        <v>27</v>
      </c>
      <c r="F1087" t="s">
        <v>66</v>
      </c>
      <c r="G1087" t="s">
        <v>105</v>
      </c>
      <c r="H1087">
        <v>10800000</v>
      </c>
      <c r="I1087">
        <v>6300000</v>
      </c>
      <c r="J1087" t="s">
        <v>42</v>
      </c>
      <c r="K1087">
        <v>18</v>
      </c>
      <c r="L1087">
        <v>1291</v>
      </c>
      <c r="M1087">
        <v>1</v>
      </c>
      <c r="N1087">
        <v>296</v>
      </c>
      <c r="O1087">
        <v>1</v>
      </c>
      <c r="P1087">
        <v>1</v>
      </c>
      <c r="Q1087">
        <v>0</v>
      </c>
      <c r="R1087">
        <v>4</v>
      </c>
      <c r="S1087">
        <v>4</v>
      </c>
      <c r="T1087">
        <v>37</v>
      </c>
      <c r="U1087">
        <v>10</v>
      </c>
      <c r="V1087">
        <v>0</v>
      </c>
      <c r="W1087">
        <v>1</v>
      </c>
      <c r="X1087">
        <v>0</v>
      </c>
      <c r="Y1087">
        <v>0</v>
      </c>
      <c r="Z1087">
        <v>0</v>
      </c>
      <c r="AA1087">
        <v>9</v>
      </c>
      <c r="AB1087">
        <v>1</v>
      </c>
      <c r="AC1087">
        <v>4</v>
      </c>
      <c r="AD1087">
        <v>0</v>
      </c>
      <c r="AE1087">
        <v>5</v>
      </c>
      <c r="AF1087">
        <v>1</v>
      </c>
      <c r="AG1087">
        <v>3</v>
      </c>
      <c r="AH1087">
        <v>17</v>
      </c>
      <c r="AI1087">
        <v>0</v>
      </c>
      <c r="AJ1087">
        <v>10</v>
      </c>
      <c r="AK1087">
        <v>0</v>
      </c>
      <c r="AL1087">
        <v>0</v>
      </c>
      <c r="AM1087">
        <v>3</v>
      </c>
      <c r="AN1087">
        <v>16</v>
      </c>
      <c r="AO1087">
        <v>45</v>
      </c>
      <c r="AQ1087" t="str">
        <f t="shared" si="16"/>
        <v>Forward</v>
      </c>
    </row>
    <row r="1088" spans="1:43" x14ac:dyDescent="0.35">
      <c r="A1088" t="s">
        <v>664</v>
      </c>
      <c r="B1088" t="s">
        <v>39</v>
      </c>
      <c r="C1088" t="s">
        <v>1954</v>
      </c>
      <c r="D1088">
        <v>1986</v>
      </c>
      <c r="E1088">
        <v>29</v>
      </c>
      <c r="F1088" t="s">
        <v>78</v>
      </c>
      <c r="G1088" t="s">
        <v>484</v>
      </c>
      <c r="H1088">
        <v>13500000</v>
      </c>
      <c r="I1088">
        <v>18000000</v>
      </c>
      <c r="J1088" t="s">
        <v>55</v>
      </c>
      <c r="K1088">
        <v>12</v>
      </c>
      <c r="L1088">
        <v>663</v>
      </c>
      <c r="M1088">
        <v>0</v>
      </c>
      <c r="N1088">
        <v>254</v>
      </c>
      <c r="O1088">
        <v>2</v>
      </c>
      <c r="P1088">
        <v>1</v>
      </c>
      <c r="Q1088">
        <v>0</v>
      </c>
      <c r="R1088">
        <v>3</v>
      </c>
      <c r="S1088">
        <v>7</v>
      </c>
      <c r="T1088">
        <v>7</v>
      </c>
      <c r="U1088">
        <v>1</v>
      </c>
      <c r="V1088">
        <v>0</v>
      </c>
      <c r="W1088">
        <v>3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8</v>
      </c>
      <c r="AH1088">
        <v>9</v>
      </c>
      <c r="AI1088">
        <v>0</v>
      </c>
      <c r="AJ1088">
        <v>10</v>
      </c>
      <c r="AK1088">
        <v>0</v>
      </c>
      <c r="AL1088">
        <v>0</v>
      </c>
      <c r="AM1088">
        <v>6</v>
      </c>
      <c r="AN1088">
        <v>26</v>
      </c>
      <c r="AO1088">
        <v>33</v>
      </c>
      <c r="AQ1088" t="str">
        <f t="shared" si="16"/>
        <v>Midfielder</v>
      </c>
    </row>
    <row r="1089" spans="1:43" x14ac:dyDescent="0.35">
      <c r="A1089" t="s">
        <v>665</v>
      </c>
      <c r="B1089" t="s">
        <v>46</v>
      </c>
      <c r="C1089" t="s">
        <v>1955</v>
      </c>
      <c r="D1089">
        <v>1996</v>
      </c>
      <c r="E1089">
        <v>21</v>
      </c>
      <c r="F1089" t="s">
        <v>114</v>
      </c>
      <c r="G1089" t="s">
        <v>666</v>
      </c>
      <c r="H1089">
        <v>6300000</v>
      </c>
      <c r="I1089">
        <v>9000000</v>
      </c>
      <c r="J1089" t="s">
        <v>55</v>
      </c>
      <c r="K1089">
        <v>14</v>
      </c>
      <c r="L1089">
        <v>1153</v>
      </c>
      <c r="M1089">
        <v>0</v>
      </c>
      <c r="N1089">
        <v>1184</v>
      </c>
      <c r="O1089">
        <v>3</v>
      </c>
      <c r="P1089">
        <v>1</v>
      </c>
      <c r="Q1089">
        <v>0</v>
      </c>
      <c r="R1089">
        <v>0</v>
      </c>
      <c r="S1089">
        <v>2</v>
      </c>
      <c r="T1089">
        <v>7</v>
      </c>
      <c r="U1089">
        <v>0</v>
      </c>
      <c r="V1089">
        <v>0</v>
      </c>
      <c r="W1089">
        <v>9</v>
      </c>
      <c r="X1089">
        <v>0</v>
      </c>
      <c r="Y1089">
        <v>0</v>
      </c>
      <c r="Z1089">
        <v>0</v>
      </c>
      <c r="AA1089">
        <v>0</v>
      </c>
      <c r="AB1089">
        <v>2</v>
      </c>
      <c r="AC1089">
        <v>7</v>
      </c>
      <c r="AD1089">
        <v>0</v>
      </c>
      <c r="AE1089">
        <v>39</v>
      </c>
      <c r="AF1089">
        <v>3</v>
      </c>
      <c r="AG1089">
        <v>20</v>
      </c>
      <c r="AH1089">
        <v>15</v>
      </c>
      <c r="AI1089">
        <v>0</v>
      </c>
      <c r="AJ1089">
        <v>34</v>
      </c>
      <c r="AK1089">
        <v>0</v>
      </c>
      <c r="AL1089">
        <v>0</v>
      </c>
      <c r="AM1089">
        <v>16</v>
      </c>
      <c r="AN1089">
        <v>24</v>
      </c>
      <c r="AO1089">
        <v>33</v>
      </c>
      <c r="AQ1089" t="str">
        <f t="shared" si="16"/>
        <v>Midfielder</v>
      </c>
    </row>
    <row r="1090" spans="1:43" x14ac:dyDescent="0.35">
      <c r="A1090" t="s">
        <v>667</v>
      </c>
      <c r="B1090" t="s">
        <v>43</v>
      </c>
      <c r="C1090" t="s">
        <v>1956</v>
      </c>
      <c r="D1090">
        <v>1997</v>
      </c>
      <c r="E1090">
        <v>20</v>
      </c>
      <c r="F1090" t="s">
        <v>103</v>
      </c>
      <c r="G1090" t="s">
        <v>108</v>
      </c>
      <c r="H1090">
        <v>2750000</v>
      </c>
      <c r="I1090">
        <v>5500000</v>
      </c>
      <c r="J1090" t="s">
        <v>55</v>
      </c>
      <c r="K1090">
        <v>15</v>
      </c>
      <c r="L1090">
        <v>358</v>
      </c>
      <c r="M1090">
        <v>0</v>
      </c>
      <c r="N1090">
        <v>140</v>
      </c>
      <c r="O1090">
        <v>2</v>
      </c>
      <c r="P1090">
        <v>0</v>
      </c>
      <c r="Q1090">
        <v>0</v>
      </c>
      <c r="R1090">
        <v>13</v>
      </c>
      <c r="S1090">
        <v>2</v>
      </c>
      <c r="T1090">
        <v>0</v>
      </c>
      <c r="U1090">
        <v>0</v>
      </c>
      <c r="V1090">
        <v>0</v>
      </c>
      <c r="W1090">
        <v>1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9</v>
      </c>
      <c r="AF1090">
        <v>0</v>
      </c>
      <c r="AG1090">
        <v>7</v>
      </c>
      <c r="AH1090">
        <v>2</v>
      </c>
      <c r="AI1090">
        <v>0</v>
      </c>
      <c r="AJ1090">
        <v>6</v>
      </c>
      <c r="AK1090">
        <v>0</v>
      </c>
      <c r="AL1090">
        <v>0</v>
      </c>
      <c r="AM1090">
        <v>2</v>
      </c>
      <c r="AN1090">
        <v>5</v>
      </c>
      <c r="AO1090">
        <v>7</v>
      </c>
      <c r="AQ1090" t="str">
        <f t="shared" ref="AQ1090:AQ1153" si="17">IF(J1090 = "FW", REPLACE(J1090,1,2,"Forward"),IF(J1090 = "DF", "Defensive Forward", "Midfielder"))</f>
        <v>Midfielder</v>
      </c>
    </row>
    <row r="1091" spans="1:43" x14ac:dyDescent="0.35">
      <c r="A1091" t="s">
        <v>668</v>
      </c>
      <c r="B1091" t="s">
        <v>43</v>
      </c>
      <c r="C1091" t="s">
        <v>1957</v>
      </c>
      <c r="D1091">
        <v>1996</v>
      </c>
      <c r="E1091">
        <v>21</v>
      </c>
      <c r="F1091" t="s">
        <v>40</v>
      </c>
      <c r="G1091" t="s">
        <v>108</v>
      </c>
      <c r="H1091">
        <v>225000</v>
      </c>
      <c r="I1091">
        <v>3600000</v>
      </c>
      <c r="J1091" t="s">
        <v>42</v>
      </c>
      <c r="K1091">
        <v>11</v>
      </c>
      <c r="L1091">
        <v>269</v>
      </c>
      <c r="M1091">
        <v>0</v>
      </c>
      <c r="N1091">
        <v>99</v>
      </c>
      <c r="O1091">
        <v>1</v>
      </c>
      <c r="P1091">
        <v>0</v>
      </c>
      <c r="Q1091">
        <v>0</v>
      </c>
      <c r="R1091">
        <v>9</v>
      </c>
      <c r="S1091">
        <v>2</v>
      </c>
      <c r="T1091">
        <v>3</v>
      </c>
      <c r="U1091">
        <v>3</v>
      </c>
      <c r="V1091">
        <v>0</v>
      </c>
      <c r="W1091">
        <v>3</v>
      </c>
      <c r="X1091">
        <v>0</v>
      </c>
      <c r="Y1091">
        <v>0</v>
      </c>
      <c r="Z1091">
        <v>0</v>
      </c>
      <c r="AA1091">
        <v>0</v>
      </c>
      <c r="AB1091">
        <v>1</v>
      </c>
      <c r="AC1091">
        <v>0</v>
      </c>
      <c r="AD1091">
        <v>0</v>
      </c>
      <c r="AE1091">
        <v>3</v>
      </c>
      <c r="AF1091">
        <v>0</v>
      </c>
      <c r="AG1091">
        <v>0</v>
      </c>
      <c r="AH1091">
        <v>4</v>
      </c>
      <c r="AI1091">
        <v>0</v>
      </c>
      <c r="AJ1091">
        <v>4</v>
      </c>
      <c r="AK1091">
        <v>0</v>
      </c>
      <c r="AL1091">
        <v>0</v>
      </c>
      <c r="AM1091">
        <v>3</v>
      </c>
      <c r="AN1091">
        <v>22</v>
      </c>
      <c r="AO1091">
        <v>20</v>
      </c>
      <c r="AQ1091" t="str">
        <f t="shared" si="17"/>
        <v>Forward</v>
      </c>
    </row>
    <row r="1092" spans="1:43" x14ac:dyDescent="0.35">
      <c r="A1092" t="s">
        <v>669</v>
      </c>
      <c r="B1092" t="s">
        <v>43</v>
      </c>
      <c r="C1092" t="s">
        <v>1958</v>
      </c>
      <c r="D1092">
        <v>1986</v>
      </c>
      <c r="E1092">
        <v>31</v>
      </c>
      <c r="F1092" t="s">
        <v>44</v>
      </c>
      <c r="G1092" t="s">
        <v>67</v>
      </c>
      <c r="H1092">
        <v>24200000</v>
      </c>
      <c r="I1092">
        <v>23200000</v>
      </c>
      <c r="J1092" t="s">
        <v>42</v>
      </c>
      <c r="K1092">
        <v>29</v>
      </c>
      <c r="L1092">
        <v>984</v>
      </c>
      <c r="M1092">
        <v>7</v>
      </c>
      <c r="N1092">
        <v>375</v>
      </c>
      <c r="O1092">
        <v>1</v>
      </c>
      <c r="P1092">
        <v>0</v>
      </c>
      <c r="Q1092">
        <v>0</v>
      </c>
      <c r="R1092">
        <v>22</v>
      </c>
      <c r="S1092">
        <v>4</v>
      </c>
      <c r="T1092">
        <v>48</v>
      </c>
      <c r="U1092">
        <v>15</v>
      </c>
      <c r="V1092">
        <v>3</v>
      </c>
      <c r="W1092">
        <v>7</v>
      </c>
      <c r="X1092">
        <v>4</v>
      </c>
      <c r="Y1092">
        <v>0</v>
      </c>
      <c r="Z1092">
        <v>0</v>
      </c>
      <c r="AA1092">
        <v>5</v>
      </c>
      <c r="AB1092">
        <v>5</v>
      </c>
      <c r="AC1092">
        <v>33</v>
      </c>
      <c r="AD1092">
        <v>0</v>
      </c>
      <c r="AE1092">
        <v>3</v>
      </c>
      <c r="AF1092">
        <v>0</v>
      </c>
      <c r="AG1092">
        <v>2</v>
      </c>
      <c r="AH1092">
        <v>13</v>
      </c>
      <c r="AI1092">
        <v>0</v>
      </c>
      <c r="AJ1092">
        <v>9</v>
      </c>
      <c r="AK1092">
        <v>0</v>
      </c>
      <c r="AL1092">
        <v>0</v>
      </c>
      <c r="AM1092">
        <v>9</v>
      </c>
      <c r="AN1092">
        <v>69</v>
      </c>
      <c r="AO1092">
        <v>44</v>
      </c>
      <c r="AQ1092" t="str">
        <f t="shared" si="17"/>
        <v>Forward</v>
      </c>
    </row>
    <row r="1093" spans="1:43" x14ac:dyDescent="0.35">
      <c r="A1093" t="s">
        <v>669</v>
      </c>
      <c r="B1093" t="s">
        <v>46</v>
      </c>
      <c r="C1093" t="s">
        <v>1959</v>
      </c>
      <c r="D1093">
        <v>1986</v>
      </c>
      <c r="E1093">
        <v>31</v>
      </c>
      <c r="F1093" t="s">
        <v>44</v>
      </c>
      <c r="G1093" t="s">
        <v>67</v>
      </c>
      <c r="H1093">
        <v>16200000</v>
      </c>
      <c r="I1093">
        <v>13500000</v>
      </c>
      <c r="J1093" t="s">
        <v>42</v>
      </c>
      <c r="K1093">
        <v>27</v>
      </c>
      <c r="L1093">
        <v>833</v>
      </c>
      <c r="M1093">
        <v>2</v>
      </c>
      <c r="N1093">
        <v>261</v>
      </c>
      <c r="O1093">
        <v>4</v>
      </c>
      <c r="P1093">
        <v>1</v>
      </c>
      <c r="Q1093">
        <v>0</v>
      </c>
      <c r="R1093">
        <v>20</v>
      </c>
      <c r="S1093">
        <v>5</v>
      </c>
      <c r="T1093">
        <v>32</v>
      </c>
      <c r="U1093">
        <v>10</v>
      </c>
      <c r="V1093">
        <v>1</v>
      </c>
      <c r="W1093">
        <v>6</v>
      </c>
      <c r="X1093">
        <v>1</v>
      </c>
      <c r="Y1093">
        <v>0</v>
      </c>
      <c r="Z1093">
        <v>0</v>
      </c>
      <c r="AA1093">
        <v>6</v>
      </c>
      <c r="AB1093">
        <v>0</v>
      </c>
      <c r="AC1093">
        <v>22</v>
      </c>
      <c r="AD1093">
        <v>0</v>
      </c>
      <c r="AE1093">
        <v>1</v>
      </c>
      <c r="AF1093">
        <v>1</v>
      </c>
      <c r="AG1093">
        <v>3</v>
      </c>
      <c r="AH1093">
        <v>12</v>
      </c>
      <c r="AI1093">
        <v>0</v>
      </c>
      <c r="AJ1093">
        <v>3</v>
      </c>
      <c r="AK1093">
        <v>0</v>
      </c>
      <c r="AL1093">
        <v>0</v>
      </c>
      <c r="AM1093">
        <v>6</v>
      </c>
      <c r="AN1093">
        <v>38</v>
      </c>
      <c r="AO1093">
        <v>22</v>
      </c>
      <c r="AQ1093" t="str">
        <f t="shared" si="17"/>
        <v>Forward</v>
      </c>
    </row>
    <row r="1094" spans="1:43" x14ac:dyDescent="0.35">
      <c r="A1094" t="s">
        <v>669</v>
      </c>
      <c r="B1094" t="s">
        <v>39</v>
      </c>
      <c r="C1094" t="s">
        <v>1960</v>
      </c>
      <c r="D1094">
        <v>1986</v>
      </c>
      <c r="E1094">
        <v>28</v>
      </c>
      <c r="F1094" t="s">
        <v>61</v>
      </c>
      <c r="G1094" t="s">
        <v>67</v>
      </c>
      <c r="H1094">
        <v>26200000</v>
      </c>
      <c r="I1094">
        <v>27500000</v>
      </c>
      <c r="J1094" t="s">
        <v>42</v>
      </c>
      <c r="K1094">
        <v>38</v>
      </c>
      <c r="L1094">
        <v>2424</v>
      </c>
      <c r="M1094">
        <v>16</v>
      </c>
      <c r="N1094">
        <v>839</v>
      </c>
      <c r="O1094">
        <v>6</v>
      </c>
      <c r="P1094">
        <v>2</v>
      </c>
      <c r="Q1094">
        <v>0</v>
      </c>
      <c r="R1094">
        <v>12</v>
      </c>
      <c r="S1094">
        <v>8</v>
      </c>
      <c r="T1094">
        <v>101</v>
      </c>
      <c r="U1094">
        <v>43</v>
      </c>
      <c r="V1094">
        <v>3</v>
      </c>
      <c r="W1094">
        <v>19</v>
      </c>
      <c r="X1094">
        <v>7</v>
      </c>
      <c r="Y1094">
        <v>1</v>
      </c>
      <c r="Z1094">
        <v>0</v>
      </c>
      <c r="AA1094">
        <v>26</v>
      </c>
      <c r="AB1094">
        <v>11</v>
      </c>
      <c r="AC1094">
        <v>13</v>
      </c>
      <c r="AD1094">
        <v>0</v>
      </c>
      <c r="AE1094">
        <v>25</v>
      </c>
      <c r="AF1094">
        <v>4</v>
      </c>
      <c r="AG1094">
        <v>10</v>
      </c>
      <c r="AH1094">
        <v>40</v>
      </c>
      <c r="AI1094">
        <v>0</v>
      </c>
      <c r="AJ1094">
        <v>34</v>
      </c>
      <c r="AK1094">
        <v>0</v>
      </c>
      <c r="AL1094">
        <v>1</v>
      </c>
      <c r="AM1094">
        <v>26</v>
      </c>
      <c r="AN1094">
        <v>102</v>
      </c>
      <c r="AO1094">
        <v>92</v>
      </c>
      <c r="AQ1094" t="str">
        <f t="shared" si="17"/>
        <v>Forward</v>
      </c>
    </row>
    <row r="1095" spans="1:43" x14ac:dyDescent="0.35">
      <c r="A1095" t="s">
        <v>669</v>
      </c>
      <c r="B1095" t="s">
        <v>47</v>
      </c>
      <c r="C1095" t="s">
        <v>1961</v>
      </c>
      <c r="D1095">
        <v>1986</v>
      </c>
      <c r="E1095">
        <v>29</v>
      </c>
      <c r="F1095" t="s">
        <v>61</v>
      </c>
      <c r="G1095" t="s">
        <v>67</v>
      </c>
      <c r="H1095">
        <v>22500000</v>
      </c>
      <c r="I1095">
        <v>19800000</v>
      </c>
      <c r="J1095" t="s">
        <v>42</v>
      </c>
      <c r="K1095">
        <v>29</v>
      </c>
      <c r="L1095">
        <v>1194</v>
      </c>
      <c r="M1095">
        <v>12</v>
      </c>
      <c r="N1095">
        <v>369</v>
      </c>
      <c r="O1095">
        <v>3</v>
      </c>
      <c r="P1095">
        <v>2</v>
      </c>
      <c r="Q1095">
        <v>0</v>
      </c>
      <c r="R1095">
        <v>18</v>
      </c>
      <c r="S1095">
        <v>7</v>
      </c>
      <c r="T1095">
        <v>39</v>
      </c>
      <c r="U1095">
        <v>20</v>
      </c>
      <c r="V1095">
        <v>1</v>
      </c>
      <c r="W1095">
        <v>12</v>
      </c>
      <c r="X1095">
        <v>6</v>
      </c>
      <c r="Y1095">
        <v>0</v>
      </c>
      <c r="Z1095">
        <v>0</v>
      </c>
      <c r="AA1095">
        <v>12</v>
      </c>
      <c r="AB1095">
        <v>4</v>
      </c>
      <c r="AC1095">
        <v>3</v>
      </c>
      <c r="AD1095">
        <v>0</v>
      </c>
      <c r="AE1095">
        <v>3</v>
      </c>
      <c r="AF1095">
        <v>4</v>
      </c>
      <c r="AG1095">
        <v>8</v>
      </c>
      <c r="AH1095">
        <v>21</v>
      </c>
      <c r="AI1095">
        <v>0</v>
      </c>
      <c r="AJ1095">
        <v>14</v>
      </c>
      <c r="AK1095">
        <v>0</v>
      </c>
      <c r="AL1095">
        <v>0</v>
      </c>
      <c r="AM1095">
        <v>17</v>
      </c>
      <c r="AN1095">
        <v>50</v>
      </c>
      <c r="AO1095">
        <v>40</v>
      </c>
      <c r="AQ1095" t="str">
        <f t="shared" si="17"/>
        <v>Forward</v>
      </c>
    </row>
    <row r="1096" spans="1:43" x14ac:dyDescent="0.35">
      <c r="A1096" t="s">
        <v>670</v>
      </c>
      <c r="B1096" t="s">
        <v>39</v>
      </c>
      <c r="C1096" t="s">
        <v>1962</v>
      </c>
      <c r="D1096">
        <v>1991</v>
      </c>
      <c r="E1096">
        <v>23</v>
      </c>
      <c r="F1096" t="s">
        <v>220</v>
      </c>
      <c r="G1096" t="s">
        <v>45</v>
      </c>
      <c r="H1096">
        <v>5500000</v>
      </c>
      <c r="I1096">
        <v>11000000</v>
      </c>
      <c r="J1096" t="s">
        <v>55</v>
      </c>
      <c r="K1096">
        <v>29</v>
      </c>
      <c r="L1096">
        <v>1606</v>
      </c>
      <c r="M1096">
        <v>1</v>
      </c>
      <c r="N1096">
        <v>833</v>
      </c>
      <c r="O1096">
        <v>0</v>
      </c>
      <c r="P1096">
        <v>7</v>
      </c>
      <c r="Q1096">
        <v>0</v>
      </c>
      <c r="R1096">
        <v>12</v>
      </c>
      <c r="S1096">
        <v>7</v>
      </c>
      <c r="T1096">
        <v>28</v>
      </c>
      <c r="U1096">
        <v>8</v>
      </c>
      <c r="V1096">
        <v>0</v>
      </c>
      <c r="W1096">
        <v>9</v>
      </c>
      <c r="X1096">
        <v>0</v>
      </c>
      <c r="Y1096">
        <v>0</v>
      </c>
      <c r="Z1096">
        <v>0</v>
      </c>
      <c r="AA1096">
        <v>0</v>
      </c>
      <c r="AB1096">
        <v>3</v>
      </c>
      <c r="AC1096">
        <v>1</v>
      </c>
      <c r="AD1096">
        <v>0</v>
      </c>
      <c r="AE1096">
        <v>0</v>
      </c>
      <c r="AF1096">
        <v>11</v>
      </c>
      <c r="AG1096">
        <v>39</v>
      </c>
      <c r="AH1096">
        <v>28</v>
      </c>
      <c r="AI1096">
        <v>0</v>
      </c>
      <c r="AJ1096">
        <v>77</v>
      </c>
      <c r="AK1096">
        <v>0</v>
      </c>
      <c r="AL1096">
        <v>0</v>
      </c>
      <c r="AM1096">
        <v>31</v>
      </c>
      <c r="AN1096">
        <v>25</v>
      </c>
      <c r="AO1096">
        <v>28</v>
      </c>
      <c r="AQ1096" t="str">
        <f t="shared" si="17"/>
        <v>Midfielder</v>
      </c>
    </row>
    <row r="1097" spans="1:43" x14ac:dyDescent="0.35">
      <c r="A1097" t="s">
        <v>670</v>
      </c>
      <c r="B1097" t="s">
        <v>47</v>
      </c>
      <c r="C1097" t="s">
        <v>1963</v>
      </c>
      <c r="D1097">
        <v>1991</v>
      </c>
      <c r="E1097">
        <v>24</v>
      </c>
      <c r="F1097" t="s">
        <v>220</v>
      </c>
      <c r="G1097" t="s">
        <v>45</v>
      </c>
      <c r="H1097">
        <v>11000000</v>
      </c>
      <c r="I1097">
        <v>13200000</v>
      </c>
      <c r="J1097" t="s">
        <v>55</v>
      </c>
      <c r="K1097">
        <v>35</v>
      </c>
      <c r="L1097">
        <v>3072</v>
      </c>
      <c r="M1097">
        <v>1</v>
      </c>
      <c r="N1097">
        <v>2070</v>
      </c>
      <c r="O1097">
        <v>0</v>
      </c>
      <c r="P1097">
        <v>11</v>
      </c>
      <c r="Q1097">
        <v>0</v>
      </c>
      <c r="R1097">
        <v>0</v>
      </c>
      <c r="S1097">
        <v>1</v>
      </c>
      <c r="T1097">
        <v>28</v>
      </c>
      <c r="U1097">
        <v>6</v>
      </c>
      <c r="V1097">
        <v>0</v>
      </c>
      <c r="W1097">
        <v>32</v>
      </c>
      <c r="X1097">
        <v>0</v>
      </c>
      <c r="Y1097">
        <v>0</v>
      </c>
      <c r="Z1097">
        <v>0</v>
      </c>
      <c r="AA1097">
        <v>1</v>
      </c>
      <c r="AB1097">
        <v>0</v>
      </c>
      <c r="AC1097">
        <v>0</v>
      </c>
      <c r="AD1097">
        <v>0</v>
      </c>
      <c r="AE1097">
        <v>3</v>
      </c>
      <c r="AF1097">
        <v>13</v>
      </c>
      <c r="AG1097">
        <v>89</v>
      </c>
      <c r="AH1097">
        <v>66</v>
      </c>
      <c r="AI1097">
        <v>0</v>
      </c>
      <c r="AJ1097">
        <v>117</v>
      </c>
      <c r="AK1097">
        <v>0</v>
      </c>
      <c r="AL1097">
        <v>0</v>
      </c>
      <c r="AM1097">
        <v>66</v>
      </c>
      <c r="AN1097">
        <v>75</v>
      </c>
      <c r="AO1097">
        <v>80</v>
      </c>
      <c r="AQ1097" t="str">
        <f t="shared" si="17"/>
        <v>Midfielder</v>
      </c>
    </row>
    <row r="1098" spans="1:43" x14ac:dyDescent="0.35">
      <c r="A1098" t="s">
        <v>670</v>
      </c>
      <c r="B1098" t="s">
        <v>43</v>
      </c>
      <c r="C1098" t="s">
        <v>1964</v>
      </c>
      <c r="D1098">
        <v>1991</v>
      </c>
      <c r="E1098">
        <v>26</v>
      </c>
      <c r="F1098" t="s">
        <v>220</v>
      </c>
      <c r="G1098" t="s">
        <v>45</v>
      </c>
      <c r="H1098">
        <v>13200000</v>
      </c>
      <c r="I1098">
        <v>11000000</v>
      </c>
      <c r="J1098" t="s">
        <v>55</v>
      </c>
      <c r="K1098">
        <v>34</v>
      </c>
      <c r="L1098">
        <v>2901</v>
      </c>
      <c r="M1098">
        <v>1</v>
      </c>
      <c r="N1098">
        <v>1843</v>
      </c>
      <c r="O1098">
        <v>0</v>
      </c>
      <c r="P1098">
        <v>11</v>
      </c>
      <c r="Q1098">
        <v>0</v>
      </c>
      <c r="R1098">
        <v>0</v>
      </c>
      <c r="S1098">
        <v>6</v>
      </c>
      <c r="T1098">
        <v>27</v>
      </c>
      <c r="U1098">
        <v>4</v>
      </c>
      <c r="V1098">
        <v>1</v>
      </c>
      <c r="W1098">
        <v>37</v>
      </c>
      <c r="X1098">
        <v>0</v>
      </c>
      <c r="Y1098">
        <v>0</v>
      </c>
      <c r="Z1098">
        <v>0</v>
      </c>
      <c r="AA1098">
        <v>3</v>
      </c>
      <c r="AB1098">
        <v>2</v>
      </c>
      <c r="AC1098">
        <v>23</v>
      </c>
      <c r="AD1098">
        <v>0</v>
      </c>
      <c r="AE1098">
        <v>6</v>
      </c>
      <c r="AF1098">
        <v>19</v>
      </c>
      <c r="AG1098">
        <v>69</v>
      </c>
      <c r="AH1098">
        <v>53</v>
      </c>
      <c r="AI1098">
        <v>0</v>
      </c>
      <c r="AJ1098">
        <v>93</v>
      </c>
      <c r="AK1098">
        <v>0</v>
      </c>
      <c r="AL1098">
        <v>0</v>
      </c>
      <c r="AM1098">
        <v>72</v>
      </c>
      <c r="AN1098">
        <v>97</v>
      </c>
      <c r="AO1098">
        <v>82</v>
      </c>
      <c r="AQ1098" t="str">
        <f t="shared" si="17"/>
        <v>Midfielder</v>
      </c>
    </row>
    <row r="1099" spans="1:43" x14ac:dyDescent="0.35">
      <c r="A1099" t="s">
        <v>670</v>
      </c>
      <c r="B1099" t="s">
        <v>46</v>
      </c>
      <c r="C1099" t="s">
        <v>1965</v>
      </c>
      <c r="D1099">
        <v>1991</v>
      </c>
      <c r="E1099">
        <v>26</v>
      </c>
      <c r="F1099" t="s">
        <v>220</v>
      </c>
      <c r="G1099" t="s">
        <v>45</v>
      </c>
      <c r="H1099">
        <v>41800000</v>
      </c>
      <c r="I1099">
        <v>38500000</v>
      </c>
      <c r="J1099" t="s">
        <v>55</v>
      </c>
      <c r="K1099">
        <v>31</v>
      </c>
      <c r="L1099">
        <v>2139</v>
      </c>
      <c r="M1099">
        <v>1</v>
      </c>
      <c r="N1099">
        <v>1103</v>
      </c>
      <c r="O1099">
        <v>0</v>
      </c>
      <c r="P1099">
        <v>11</v>
      </c>
      <c r="Q1099">
        <v>0</v>
      </c>
      <c r="R1099">
        <v>6</v>
      </c>
      <c r="S1099">
        <v>10</v>
      </c>
      <c r="T1099">
        <v>10</v>
      </c>
      <c r="U1099">
        <v>4</v>
      </c>
      <c r="V1099">
        <v>0</v>
      </c>
      <c r="W1099">
        <v>14</v>
      </c>
      <c r="X1099">
        <v>0</v>
      </c>
      <c r="Y1099">
        <v>0</v>
      </c>
      <c r="Z1099">
        <v>0</v>
      </c>
      <c r="AA1099">
        <v>0</v>
      </c>
      <c r="AB1099">
        <v>1</v>
      </c>
      <c r="AC1099">
        <v>6</v>
      </c>
      <c r="AD1099">
        <v>0</v>
      </c>
      <c r="AE1099">
        <v>3</v>
      </c>
      <c r="AF1099">
        <v>17</v>
      </c>
      <c r="AG1099">
        <v>52</v>
      </c>
      <c r="AH1099">
        <v>46</v>
      </c>
      <c r="AI1099">
        <v>0</v>
      </c>
      <c r="AJ1099">
        <v>81</v>
      </c>
      <c r="AK1099">
        <v>0</v>
      </c>
      <c r="AL1099">
        <v>0</v>
      </c>
      <c r="AM1099">
        <v>36</v>
      </c>
      <c r="AN1099">
        <v>46</v>
      </c>
      <c r="AO1099">
        <v>39</v>
      </c>
      <c r="AQ1099" t="str">
        <f t="shared" si="17"/>
        <v>Midfielder</v>
      </c>
    </row>
    <row r="1100" spans="1:43" x14ac:dyDescent="0.35">
      <c r="A1100" t="s">
        <v>671</v>
      </c>
      <c r="B1100" t="s">
        <v>39</v>
      </c>
      <c r="C1100" t="s">
        <v>1966</v>
      </c>
      <c r="D1100">
        <v>1991</v>
      </c>
      <c r="E1100">
        <v>23</v>
      </c>
      <c r="F1100" t="s">
        <v>44</v>
      </c>
      <c r="G1100" t="s">
        <v>154</v>
      </c>
      <c r="H1100">
        <v>4400000</v>
      </c>
      <c r="I1100">
        <v>11000000</v>
      </c>
      <c r="J1100" t="s">
        <v>55</v>
      </c>
      <c r="K1100">
        <v>27</v>
      </c>
      <c r="L1100">
        <v>1773</v>
      </c>
      <c r="M1100">
        <v>3</v>
      </c>
      <c r="N1100">
        <v>1040</v>
      </c>
      <c r="O1100">
        <v>3</v>
      </c>
      <c r="P1100">
        <v>4</v>
      </c>
      <c r="Q1100">
        <v>0</v>
      </c>
      <c r="R1100">
        <v>7</v>
      </c>
      <c r="S1100">
        <v>12</v>
      </c>
      <c r="T1100">
        <v>52</v>
      </c>
      <c r="U1100">
        <v>16</v>
      </c>
      <c r="V1100">
        <v>0</v>
      </c>
      <c r="W1100">
        <v>6</v>
      </c>
      <c r="X1100">
        <v>0</v>
      </c>
      <c r="Y1100">
        <v>1</v>
      </c>
      <c r="Z1100">
        <v>1</v>
      </c>
      <c r="AA1100">
        <v>2</v>
      </c>
      <c r="AB1100">
        <v>6</v>
      </c>
      <c r="AC1100">
        <v>4</v>
      </c>
      <c r="AD1100">
        <v>7</v>
      </c>
      <c r="AE1100">
        <v>38</v>
      </c>
      <c r="AF1100">
        <v>2</v>
      </c>
      <c r="AG1100">
        <v>13</v>
      </c>
      <c r="AH1100">
        <v>18</v>
      </c>
      <c r="AI1100">
        <v>0</v>
      </c>
      <c r="AJ1100">
        <v>62</v>
      </c>
      <c r="AK1100">
        <v>0</v>
      </c>
      <c r="AL1100">
        <v>0</v>
      </c>
      <c r="AM1100">
        <v>21</v>
      </c>
      <c r="AN1100">
        <v>12</v>
      </c>
      <c r="AO1100">
        <v>22</v>
      </c>
      <c r="AQ1100" t="str">
        <f t="shared" si="17"/>
        <v>Midfielder</v>
      </c>
    </row>
    <row r="1101" spans="1:43" x14ac:dyDescent="0.35">
      <c r="A1101" t="s">
        <v>672</v>
      </c>
      <c r="B1101" t="s">
        <v>47</v>
      </c>
      <c r="C1101" t="s">
        <v>1967</v>
      </c>
      <c r="D1101">
        <v>1990</v>
      </c>
      <c r="E1101">
        <v>26</v>
      </c>
      <c r="F1101" t="s">
        <v>71</v>
      </c>
      <c r="G1101" t="s">
        <v>132</v>
      </c>
      <c r="H1101">
        <v>10800000</v>
      </c>
      <c r="I1101">
        <v>8100000</v>
      </c>
      <c r="J1101" t="s">
        <v>42</v>
      </c>
      <c r="K1101">
        <v>17</v>
      </c>
      <c r="L1101">
        <v>1095</v>
      </c>
      <c r="M1101">
        <v>4</v>
      </c>
      <c r="N1101">
        <v>235</v>
      </c>
      <c r="O1101">
        <v>1</v>
      </c>
      <c r="P1101">
        <v>3</v>
      </c>
      <c r="Q1101">
        <v>0</v>
      </c>
      <c r="R1101">
        <v>5</v>
      </c>
      <c r="S1101">
        <v>3</v>
      </c>
      <c r="T1101">
        <v>26</v>
      </c>
      <c r="U1101">
        <v>8</v>
      </c>
      <c r="V1101">
        <v>0</v>
      </c>
      <c r="W1101">
        <v>11</v>
      </c>
      <c r="X1101">
        <v>0</v>
      </c>
      <c r="Y1101">
        <v>0</v>
      </c>
      <c r="Z1101">
        <v>0</v>
      </c>
      <c r="AA1101">
        <v>11</v>
      </c>
      <c r="AB1101">
        <v>0</v>
      </c>
      <c r="AC1101">
        <v>2</v>
      </c>
      <c r="AD1101">
        <v>0</v>
      </c>
      <c r="AE1101">
        <v>13</v>
      </c>
      <c r="AF1101">
        <v>0</v>
      </c>
      <c r="AG1101">
        <v>0</v>
      </c>
      <c r="AH1101">
        <v>17</v>
      </c>
      <c r="AI1101">
        <v>0</v>
      </c>
      <c r="AJ1101">
        <v>10</v>
      </c>
      <c r="AK1101">
        <v>0</v>
      </c>
      <c r="AL1101">
        <v>0</v>
      </c>
      <c r="AM1101">
        <v>13</v>
      </c>
      <c r="AN1101">
        <v>25</v>
      </c>
      <c r="AO1101">
        <v>44</v>
      </c>
      <c r="AQ1101" t="str">
        <f t="shared" si="17"/>
        <v>Forward</v>
      </c>
    </row>
    <row r="1102" spans="1:43" x14ac:dyDescent="0.35">
      <c r="A1102" t="s">
        <v>672</v>
      </c>
      <c r="B1102" t="s">
        <v>43</v>
      </c>
      <c r="C1102" t="s">
        <v>1968</v>
      </c>
      <c r="D1102">
        <v>1990</v>
      </c>
      <c r="E1102">
        <v>27</v>
      </c>
      <c r="F1102" t="s">
        <v>54</v>
      </c>
      <c r="G1102" t="s">
        <v>132</v>
      </c>
      <c r="H1102">
        <v>8100000</v>
      </c>
      <c r="I1102">
        <v>7200000</v>
      </c>
      <c r="J1102" t="s">
        <v>42</v>
      </c>
      <c r="K1102">
        <v>22</v>
      </c>
      <c r="L1102">
        <v>1081</v>
      </c>
      <c r="M1102">
        <v>8</v>
      </c>
      <c r="N1102">
        <v>250</v>
      </c>
      <c r="O1102">
        <v>2</v>
      </c>
      <c r="P1102">
        <v>2</v>
      </c>
      <c r="Q1102">
        <v>0</v>
      </c>
      <c r="R1102">
        <v>12</v>
      </c>
      <c r="S1102">
        <v>6</v>
      </c>
      <c r="T1102">
        <v>37</v>
      </c>
      <c r="U1102">
        <v>18</v>
      </c>
      <c r="V1102">
        <v>3</v>
      </c>
      <c r="W1102">
        <v>4</v>
      </c>
      <c r="X1102">
        <v>1</v>
      </c>
      <c r="Y1102">
        <v>0</v>
      </c>
      <c r="Z1102">
        <v>0</v>
      </c>
      <c r="AA1102">
        <v>20</v>
      </c>
      <c r="AB1102">
        <v>2</v>
      </c>
      <c r="AC1102">
        <v>19</v>
      </c>
      <c r="AD1102">
        <v>1</v>
      </c>
      <c r="AE1102">
        <v>7</v>
      </c>
      <c r="AF1102">
        <v>2</v>
      </c>
      <c r="AG1102">
        <v>2</v>
      </c>
      <c r="AH1102">
        <v>31</v>
      </c>
      <c r="AI1102">
        <v>0</v>
      </c>
      <c r="AJ1102">
        <v>10</v>
      </c>
      <c r="AK1102">
        <v>0</v>
      </c>
      <c r="AL1102">
        <v>0</v>
      </c>
      <c r="AM1102">
        <v>6</v>
      </c>
      <c r="AN1102">
        <v>0</v>
      </c>
      <c r="AO1102">
        <v>68</v>
      </c>
      <c r="AQ1102" t="str">
        <f t="shared" si="17"/>
        <v>Forward</v>
      </c>
    </row>
    <row r="1103" spans="1:43" x14ac:dyDescent="0.35">
      <c r="A1103" t="s">
        <v>672</v>
      </c>
      <c r="B1103" t="s">
        <v>46</v>
      </c>
      <c r="C1103" t="s">
        <v>1969</v>
      </c>
      <c r="D1103">
        <v>1990</v>
      </c>
      <c r="E1103">
        <v>28</v>
      </c>
      <c r="F1103" t="s">
        <v>169</v>
      </c>
      <c r="G1103" t="s">
        <v>132</v>
      </c>
      <c r="H1103">
        <v>7200000</v>
      </c>
      <c r="I1103">
        <v>5400000</v>
      </c>
      <c r="J1103" t="s">
        <v>42</v>
      </c>
      <c r="K1103">
        <v>18</v>
      </c>
      <c r="L1103">
        <v>998</v>
      </c>
      <c r="M1103">
        <v>0</v>
      </c>
      <c r="N1103">
        <v>189</v>
      </c>
      <c r="O1103">
        <v>0</v>
      </c>
      <c r="P1103">
        <v>0</v>
      </c>
      <c r="Q1103">
        <v>0</v>
      </c>
      <c r="R1103">
        <v>6</v>
      </c>
      <c r="S1103">
        <v>10</v>
      </c>
      <c r="T1103">
        <v>20</v>
      </c>
      <c r="U1103">
        <v>7</v>
      </c>
      <c r="V1103">
        <v>1</v>
      </c>
      <c r="W1103">
        <v>5</v>
      </c>
      <c r="X1103">
        <v>0</v>
      </c>
      <c r="Y1103">
        <v>0</v>
      </c>
      <c r="Z1103">
        <v>0</v>
      </c>
      <c r="AA1103">
        <v>10</v>
      </c>
      <c r="AB1103">
        <v>0</v>
      </c>
      <c r="AC1103">
        <v>13</v>
      </c>
      <c r="AD1103">
        <v>0</v>
      </c>
      <c r="AE1103">
        <v>5</v>
      </c>
      <c r="AF1103">
        <v>0</v>
      </c>
      <c r="AG1103">
        <v>2</v>
      </c>
      <c r="AH1103">
        <v>11</v>
      </c>
      <c r="AI1103">
        <v>0</v>
      </c>
      <c r="AJ1103">
        <v>12</v>
      </c>
      <c r="AK1103">
        <v>0</v>
      </c>
      <c r="AL1103">
        <v>0</v>
      </c>
      <c r="AM1103">
        <v>7</v>
      </c>
      <c r="AN1103">
        <v>41</v>
      </c>
      <c r="AO1103">
        <v>75</v>
      </c>
      <c r="AQ1103" t="str">
        <f t="shared" si="17"/>
        <v>Forward</v>
      </c>
    </row>
    <row r="1104" spans="1:43" x14ac:dyDescent="0.35">
      <c r="A1104" t="s">
        <v>673</v>
      </c>
      <c r="B1104" t="s">
        <v>47</v>
      </c>
      <c r="C1104" t="s">
        <v>1970</v>
      </c>
      <c r="D1104">
        <v>1985</v>
      </c>
      <c r="E1104">
        <v>31</v>
      </c>
      <c r="F1104" t="s">
        <v>114</v>
      </c>
      <c r="G1104" t="s">
        <v>262</v>
      </c>
      <c r="H1104">
        <v>9000000</v>
      </c>
      <c r="I1104">
        <v>6300000</v>
      </c>
      <c r="J1104" t="s">
        <v>52</v>
      </c>
      <c r="K1104">
        <v>20</v>
      </c>
      <c r="L1104">
        <v>1059</v>
      </c>
      <c r="M1104">
        <v>1</v>
      </c>
      <c r="N1104">
        <v>573</v>
      </c>
      <c r="O1104">
        <v>1</v>
      </c>
      <c r="P1104">
        <v>2</v>
      </c>
      <c r="Q1104">
        <v>0</v>
      </c>
      <c r="R1104">
        <v>9</v>
      </c>
      <c r="S1104">
        <v>3</v>
      </c>
      <c r="T1104">
        <v>7</v>
      </c>
      <c r="U1104">
        <v>2</v>
      </c>
      <c r="V1104">
        <v>0</v>
      </c>
      <c r="W1104">
        <v>29</v>
      </c>
      <c r="X1104">
        <v>0</v>
      </c>
      <c r="Y1104">
        <v>0</v>
      </c>
      <c r="Z1104">
        <v>0</v>
      </c>
      <c r="AA1104">
        <v>5</v>
      </c>
      <c r="AB1104">
        <v>0</v>
      </c>
      <c r="AC1104">
        <v>0</v>
      </c>
      <c r="AD1104">
        <v>0</v>
      </c>
      <c r="AE1104">
        <v>15</v>
      </c>
      <c r="AF1104">
        <v>0</v>
      </c>
      <c r="AG1104">
        <v>24</v>
      </c>
      <c r="AH1104">
        <v>14</v>
      </c>
      <c r="AI1104">
        <v>0</v>
      </c>
      <c r="AJ1104">
        <v>41</v>
      </c>
      <c r="AK1104">
        <v>0</v>
      </c>
      <c r="AL1104">
        <v>0</v>
      </c>
      <c r="AM1104">
        <v>42</v>
      </c>
      <c r="AN1104">
        <v>24</v>
      </c>
      <c r="AO1104">
        <v>16</v>
      </c>
      <c r="AQ1104" t="str">
        <f t="shared" si="17"/>
        <v>Defensive Forward</v>
      </c>
    </row>
    <row r="1105" spans="1:43" x14ac:dyDescent="0.35">
      <c r="A1105" t="s">
        <v>673</v>
      </c>
      <c r="B1105" t="s">
        <v>39</v>
      </c>
      <c r="C1105" t="s">
        <v>1971</v>
      </c>
      <c r="D1105">
        <v>1985</v>
      </c>
      <c r="E1105">
        <v>30</v>
      </c>
      <c r="F1105" t="s">
        <v>114</v>
      </c>
      <c r="G1105" t="s">
        <v>262</v>
      </c>
      <c r="H1105">
        <v>16200000</v>
      </c>
      <c r="I1105">
        <v>9000000</v>
      </c>
      <c r="J1105" t="s">
        <v>52</v>
      </c>
      <c r="K1105">
        <v>13</v>
      </c>
      <c r="L1105">
        <v>1062</v>
      </c>
      <c r="M1105">
        <v>0</v>
      </c>
      <c r="N1105">
        <v>575</v>
      </c>
      <c r="O1105">
        <v>0</v>
      </c>
      <c r="P1105">
        <v>3</v>
      </c>
      <c r="Q1105">
        <v>0</v>
      </c>
      <c r="R1105">
        <v>0</v>
      </c>
      <c r="S1105">
        <v>0</v>
      </c>
      <c r="T1105">
        <v>3</v>
      </c>
      <c r="U1105">
        <v>1</v>
      </c>
      <c r="V1105">
        <v>0</v>
      </c>
      <c r="W1105">
        <v>22</v>
      </c>
      <c r="X1105">
        <v>0</v>
      </c>
      <c r="Y1105">
        <v>0</v>
      </c>
      <c r="Z1105">
        <v>0</v>
      </c>
      <c r="AA1105">
        <v>2</v>
      </c>
      <c r="AB1105">
        <v>0</v>
      </c>
      <c r="AC1105">
        <v>0</v>
      </c>
      <c r="AD1105">
        <v>0</v>
      </c>
      <c r="AE1105">
        <v>19</v>
      </c>
      <c r="AF1105">
        <v>2</v>
      </c>
      <c r="AG1105">
        <v>25</v>
      </c>
      <c r="AH1105">
        <v>15</v>
      </c>
      <c r="AI1105">
        <v>0</v>
      </c>
      <c r="AJ1105">
        <v>43</v>
      </c>
      <c r="AK1105">
        <v>0</v>
      </c>
      <c r="AL1105">
        <v>0</v>
      </c>
      <c r="AM1105">
        <v>35</v>
      </c>
      <c r="AN1105">
        <v>18</v>
      </c>
      <c r="AO1105">
        <v>14</v>
      </c>
      <c r="AQ1105" t="str">
        <f t="shared" si="17"/>
        <v>Defensive Forward</v>
      </c>
    </row>
    <row r="1106" spans="1:43" x14ac:dyDescent="0.35">
      <c r="A1106" t="s">
        <v>673</v>
      </c>
      <c r="B1106" t="s">
        <v>43</v>
      </c>
      <c r="C1106" t="s">
        <v>1972</v>
      </c>
      <c r="D1106">
        <v>1985</v>
      </c>
      <c r="E1106">
        <v>32</v>
      </c>
      <c r="F1106" t="s">
        <v>50</v>
      </c>
      <c r="G1106" t="s">
        <v>262</v>
      </c>
      <c r="H1106">
        <v>6300000</v>
      </c>
      <c r="I1106">
        <v>4500000</v>
      </c>
      <c r="J1106" t="s">
        <v>52</v>
      </c>
      <c r="K1106">
        <v>37</v>
      </c>
      <c r="L1106">
        <v>3291</v>
      </c>
      <c r="M1106">
        <v>0</v>
      </c>
      <c r="N1106">
        <v>1153</v>
      </c>
      <c r="O1106">
        <v>1</v>
      </c>
      <c r="P1106">
        <v>9</v>
      </c>
      <c r="Q1106">
        <v>0</v>
      </c>
      <c r="R1106">
        <v>0</v>
      </c>
      <c r="S1106">
        <v>2</v>
      </c>
      <c r="T1106">
        <v>1</v>
      </c>
      <c r="U1106">
        <v>1</v>
      </c>
      <c r="V1106">
        <v>0</v>
      </c>
      <c r="W1106">
        <v>79</v>
      </c>
      <c r="X1106">
        <v>0</v>
      </c>
      <c r="Y1106">
        <v>0</v>
      </c>
      <c r="Z1106">
        <v>0</v>
      </c>
      <c r="AA1106">
        <v>0</v>
      </c>
      <c r="AB1106">
        <v>1</v>
      </c>
      <c r="AC1106">
        <v>0</v>
      </c>
      <c r="AD1106">
        <v>0</v>
      </c>
      <c r="AE1106">
        <v>71</v>
      </c>
      <c r="AF1106">
        <v>13</v>
      </c>
      <c r="AG1106">
        <v>61</v>
      </c>
      <c r="AH1106">
        <v>33</v>
      </c>
      <c r="AI1106">
        <v>0</v>
      </c>
      <c r="AJ1106">
        <v>96</v>
      </c>
      <c r="AK1106">
        <v>0</v>
      </c>
      <c r="AL1106">
        <v>1</v>
      </c>
      <c r="AM1106">
        <v>124</v>
      </c>
      <c r="AN1106">
        <v>58</v>
      </c>
      <c r="AO1106">
        <v>57</v>
      </c>
      <c r="AQ1106" t="str">
        <f t="shared" si="17"/>
        <v>Defensive Forward</v>
      </c>
    </row>
    <row r="1107" spans="1:43" x14ac:dyDescent="0.35">
      <c r="A1107" t="s">
        <v>673</v>
      </c>
      <c r="B1107" t="s">
        <v>46</v>
      </c>
      <c r="C1107" t="s">
        <v>1973</v>
      </c>
      <c r="D1107">
        <v>1985</v>
      </c>
      <c r="E1107">
        <v>33</v>
      </c>
      <c r="F1107" t="s">
        <v>50</v>
      </c>
      <c r="G1107" t="s">
        <v>262</v>
      </c>
      <c r="H1107">
        <v>4500000</v>
      </c>
      <c r="I1107">
        <v>3150000</v>
      </c>
      <c r="J1107" t="s">
        <v>52</v>
      </c>
      <c r="K1107">
        <v>26</v>
      </c>
      <c r="L1107">
        <v>2091</v>
      </c>
      <c r="M1107">
        <v>0</v>
      </c>
      <c r="N1107">
        <v>860</v>
      </c>
      <c r="O1107">
        <v>1</v>
      </c>
      <c r="P1107">
        <v>4</v>
      </c>
      <c r="Q1107">
        <v>0</v>
      </c>
      <c r="R1107">
        <v>3</v>
      </c>
      <c r="S1107">
        <v>3</v>
      </c>
      <c r="T1107">
        <v>7</v>
      </c>
      <c r="U1107">
        <v>0</v>
      </c>
      <c r="V1107">
        <v>0</v>
      </c>
      <c r="W1107">
        <v>51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7</v>
      </c>
      <c r="AD1107">
        <v>0</v>
      </c>
      <c r="AE1107">
        <v>48</v>
      </c>
      <c r="AF1107">
        <v>15</v>
      </c>
      <c r="AG1107">
        <v>48</v>
      </c>
      <c r="AH1107">
        <v>17</v>
      </c>
      <c r="AI1107">
        <v>0</v>
      </c>
      <c r="AJ1107">
        <v>47</v>
      </c>
      <c r="AK1107">
        <v>0</v>
      </c>
      <c r="AL1107">
        <v>0</v>
      </c>
      <c r="AM1107">
        <v>86</v>
      </c>
      <c r="AN1107">
        <v>47</v>
      </c>
      <c r="AO1107">
        <v>53</v>
      </c>
      <c r="AQ1107" t="str">
        <f t="shared" si="17"/>
        <v>Defensive Forward</v>
      </c>
    </row>
    <row r="1108" spans="1:43" x14ac:dyDescent="0.35">
      <c r="A1108" t="s">
        <v>674</v>
      </c>
      <c r="B1108" t="s">
        <v>39</v>
      </c>
      <c r="C1108" t="s">
        <v>1974</v>
      </c>
      <c r="D1108">
        <v>1990</v>
      </c>
      <c r="E1108">
        <v>25</v>
      </c>
      <c r="F1108" t="s">
        <v>64</v>
      </c>
      <c r="G1108" t="s">
        <v>132</v>
      </c>
      <c r="H1108">
        <v>4500000</v>
      </c>
      <c r="I1108">
        <v>5850000</v>
      </c>
      <c r="J1108" t="s">
        <v>52</v>
      </c>
      <c r="K1108">
        <v>34</v>
      </c>
      <c r="L1108">
        <v>3014</v>
      </c>
      <c r="M1108">
        <v>0</v>
      </c>
      <c r="N1108">
        <v>1165</v>
      </c>
      <c r="O1108">
        <v>1</v>
      </c>
      <c r="P1108">
        <v>6</v>
      </c>
      <c r="Q1108">
        <v>0</v>
      </c>
      <c r="R1108">
        <v>0</v>
      </c>
      <c r="S1108">
        <v>1</v>
      </c>
      <c r="T1108">
        <v>11</v>
      </c>
      <c r="U1108">
        <v>1</v>
      </c>
      <c r="V1108">
        <v>0</v>
      </c>
      <c r="W1108">
        <v>40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137</v>
      </c>
      <c r="AF1108">
        <v>16</v>
      </c>
      <c r="AG1108">
        <v>84</v>
      </c>
      <c r="AH1108">
        <v>25</v>
      </c>
      <c r="AI1108">
        <v>0</v>
      </c>
      <c r="AJ1108">
        <v>32</v>
      </c>
      <c r="AK1108">
        <v>0</v>
      </c>
      <c r="AL1108">
        <v>0</v>
      </c>
      <c r="AM1108">
        <v>122</v>
      </c>
      <c r="AN1108">
        <v>26</v>
      </c>
      <c r="AO1108">
        <v>24</v>
      </c>
      <c r="AQ1108" t="str">
        <f t="shared" si="17"/>
        <v>Defensive Forward</v>
      </c>
    </row>
    <row r="1109" spans="1:43" x14ac:dyDescent="0.35">
      <c r="A1109" t="s">
        <v>675</v>
      </c>
      <c r="B1109" t="s">
        <v>39</v>
      </c>
      <c r="C1109" t="s">
        <v>1975</v>
      </c>
      <c r="D1109">
        <v>1985</v>
      </c>
      <c r="E1109">
        <v>30</v>
      </c>
      <c r="F1109" t="s">
        <v>117</v>
      </c>
      <c r="G1109" t="s">
        <v>132</v>
      </c>
      <c r="H1109">
        <v>7500000</v>
      </c>
      <c r="I1109">
        <v>4500000</v>
      </c>
      <c r="J1109" t="s">
        <v>42</v>
      </c>
      <c r="K1109">
        <v>21</v>
      </c>
      <c r="L1109">
        <v>1070</v>
      </c>
      <c r="M1109">
        <v>3</v>
      </c>
      <c r="N1109">
        <v>405</v>
      </c>
      <c r="O1109">
        <v>0</v>
      </c>
      <c r="P1109">
        <v>1</v>
      </c>
      <c r="Q1109">
        <v>0</v>
      </c>
      <c r="R1109">
        <v>7</v>
      </c>
      <c r="S1109">
        <v>11</v>
      </c>
      <c r="T1109">
        <v>23</v>
      </c>
      <c r="U1109">
        <v>9</v>
      </c>
      <c r="V1109">
        <v>0</v>
      </c>
      <c r="W1109">
        <v>7</v>
      </c>
      <c r="X1109">
        <v>2</v>
      </c>
      <c r="Y1109">
        <v>0</v>
      </c>
      <c r="Z1109">
        <v>0</v>
      </c>
      <c r="AA1109">
        <v>19</v>
      </c>
      <c r="AB1109">
        <v>0</v>
      </c>
      <c r="AC1109">
        <v>1</v>
      </c>
      <c r="AD1109">
        <v>0</v>
      </c>
      <c r="AE1109">
        <v>8</v>
      </c>
      <c r="AF1109">
        <v>1</v>
      </c>
      <c r="AG1109">
        <v>3</v>
      </c>
      <c r="AH1109">
        <v>13</v>
      </c>
      <c r="AI1109">
        <v>0</v>
      </c>
      <c r="AJ1109">
        <v>10</v>
      </c>
      <c r="AK1109">
        <v>0</v>
      </c>
      <c r="AL1109">
        <v>0</v>
      </c>
      <c r="AM1109">
        <v>10</v>
      </c>
      <c r="AN1109">
        <v>25</v>
      </c>
      <c r="AO1109">
        <v>47</v>
      </c>
      <c r="AQ1109" t="str">
        <f t="shared" si="17"/>
        <v>Forward</v>
      </c>
    </row>
    <row r="1110" spans="1:43" x14ac:dyDescent="0.35">
      <c r="A1110" t="s">
        <v>676</v>
      </c>
      <c r="B1110" t="s">
        <v>47</v>
      </c>
      <c r="C1110" t="s">
        <v>1976</v>
      </c>
      <c r="D1110">
        <v>1988</v>
      </c>
      <c r="E1110">
        <v>27</v>
      </c>
      <c r="F1110" t="s">
        <v>78</v>
      </c>
      <c r="G1110" t="s">
        <v>132</v>
      </c>
      <c r="H1110">
        <v>4950000</v>
      </c>
      <c r="I1110">
        <v>5500000</v>
      </c>
      <c r="J1110" t="s">
        <v>52</v>
      </c>
      <c r="K1110">
        <v>18</v>
      </c>
      <c r="L1110">
        <v>1577</v>
      </c>
      <c r="M1110">
        <v>0</v>
      </c>
      <c r="N1110">
        <v>694</v>
      </c>
      <c r="O1110">
        <v>0</v>
      </c>
      <c r="P1110">
        <v>4</v>
      </c>
      <c r="Q1110">
        <v>1</v>
      </c>
      <c r="R1110">
        <v>1</v>
      </c>
      <c r="S1110">
        <v>0</v>
      </c>
      <c r="T1110">
        <v>8</v>
      </c>
      <c r="U1110">
        <v>2</v>
      </c>
      <c r="V1110">
        <v>1</v>
      </c>
      <c r="W1110">
        <v>83</v>
      </c>
      <c r="X1110">
        <v>0</v>
      </c>
      <c r="Y1110">
        <v>0</v>
      </c>
      <c r="Z1110">
        <v>0</v>
      </c>
      <c r="AA1110">
        <v>2</v>
      </c>
      <c r="AB1110">
        <v>0</v>
      </c>
      <c r="AC1110">
        <v>0</v>
      </c>
      <c r="AD1110">
        <v>0</v>
      </c>
      <c r="AE1110">
        <v>5</v>
      </c>
      <c r="AF1110">
        <v>23</v>
      </c>
      <c r="AG1110">
        <v>54</v>
      </c>
      <c r="AH1110">
        <v>23</v>
      </c>
      <c r="AI1110">
        <v>0</v>
      </c>
      <c r="AJ1110">
        <v>24</v>
      </c>
      <c r="AK1110">
        <v>1</v>
      </c>
      <c r="AL1110">
        <v>0</v>
      </c>
      <c r="AM1110">
        <v>163</v>
      </c>
      <c r="AN1110">
        <v>56</v>
      </c>
      <c r="AO1110">
        <v>36</v>
      </c>
      <c r="AQ1110" t="str">
        <f t="shared" si="17"/>
        <v>Defensive Forward</v>
      </c>
    </row>
    <row r="1111" spans="1:43" x14ac:dyDescent="0.35">
      <c r="A1111" t="s">
        <v>677</v>
      </c>
      <c r="B1111" t="s">
        <v>43</v>
      </c>
      <c r="C1111" t="s">
        <v>1977</v>
      </c>
      <c r="D1111">
        <v>1991</v>
      </c>
      <c r="E1111">
        <v>26</v>
      </c>
      <c r="F1111" t="s">
        <v>134</v>
      </c>
      <c r="G1111" t="s">
        <v>146</v>
      </c>
      <c r="H1111">
        <v>11000000</v>
      </c>
      <c r="I1111">
        <v>11000000</v>
      </c>
      <c r="J1111" t="s">
        <v>55</v>
      </c>
      <c r="K1111">
        <v>38</v>
      </c>
      <c r="L1111">
        <v>2947</v>
      </c>
      <c r="M1111">
        <v>7</v>
      </c>
      <c r="N1111">
        <v>1215</v>
      </c>
      <c r="O1111">
        <v>8</v>
      </c>
      <c r="P1111">
        <v>2</v>
      </c>
      <c r="Q1111">
        <v>0</v>
      </c>
      <c r="R1111">
        <v>3</v>
      </c>
      <c r="S1111">
        <v>24</v>
      </c>
      <c r="T1111">
        <v>44</v>
      </c>
      <c r="U1111">
        <v>20</v>
      </c>
      <c r="V1111">
        <v>0</v>
      </c>
      <c r="W1111">
        <v>6</v>
      </c>
      <c r="X1111">
        <v>1</v>
      </c>
      <c r="Y1111">
        <v>1</v>
      </c>
      <c r="Z1111">
        <v>0</v>
      </c>
      <c r="AA1111">
        <v>9</v>
      </c>
      <c r="AB1111">
        <v>10</v>
      </c>
      <c r="AC1111">
        <v>24</v>
      </c>
      <c r="AD1111">
        <v>114</v>
      </c>
      <c r="AE1111">
        <v>234</v>
      </c>
      <c r="AF1111">
        <v>5</v>
      </c>
      <c r="AG1111">
        <v>14</v>
      </c>
      <c r="AH1111">
        <v>33</v>
      </c>
      <c r="AI1111">
        <v>0</v>
      </c>
      <c r="AJ1111">
        <v>36</v>
      </c>
      <c r="AK1111">
        <v>0</v>
      </c>
      <c r="AL1111">
        <v>0</v>
      </c>
      <c r="AM1111">
        <v>19</v>
      </c>
      <c r="AN1111">
        <v>13</v>
      </c>
      <c r="AO1111">
        <v>57</v>
      </c>
      <c r="AQ1111" t="str">
        <f t="shared" si="17"/>
        <v>Midfielder</v>
      </c>
    </row>
    <row r="1112" spans="1:43" x14ac:dyDescent="0.35">
      <c r="A1112" t="s">
        <v>677</v>
      </c>
      <c r="B1112" t="s">
        <v>46</v>
      </c>
      <c r="C1112" t="s">
        <v>1978</v>
      </c>
      <c r="D1112">
        <v>1991</v>
      </c>
      <c r="E1112">
        <v>27</v>
      </c>
      <c r="F1112" t="s">
        <v>134</v>
      </c>
      <c r="G1112" t="s">
        <v>146</v>
      </c>
      <c r="H1112">
        <v>5500000</v>
      </c>
      <c r="I1112">
        <v>5500000</v>
      </c>
      <c r="J1112" t="s">
        <v>55</v>
      </c>
      <c r="K1112">
        <v>25</v>
      </c>
      <c r="L1112">
        <v>1876</v>
      </c>
      <c r="M1112">
        <v>3</v>
      </c>
      <c r="N1112">
        <v>810</v>
      </c>
      <c r="O1112">
        <v>3</v>
      </c>
      <c r="P1112">
        <v>0</v>
      </c>
      <c r="Q1112">
        <v>0</v>
      </c>
      <c r="R1112">
        <v>1</v>
      </c>
      <c r="S1112">
        <v>15</v>
      </c>
      <c r="T1112">
        <v>24</v>
      </c>
      <c r="U1112">
        <v>9</v>
      </c>
      <c r="V1112">
        <v>0</v>
      </c>
      <c r="W1112">
        <v>7</v>
      </c>
      <c r="X1112">
        <v>1</v>
      </c>
      <c r="Y1112">
        <v>0</v>
      </c>
      <c r="Z1112">
        <v>0</v>
      </c>
      <c r="AA1112">
        <v>5</v>
      </c>
      <c r="AB1112">
        <v>2</v>
      </c>
      <c r="AC1112">
        <v>15</v>
      </c>
      <c r="AD1112">
        <v>61</v>
      </c>
      <c r="AE1112">
        <v>142</v>
      </c>
      <c r="AF1112">
        <v>8</v>
      </c>
      <c r="AG1112">
        <v>13</v>
      </c>
      <c r="AH1112">
        <v>11</v>
      </c>
      <c r="AI1112">
        <v>1</v>
      </c>
      <c r="AJ1112">
        <v>28</v>
      </c>
      <c r="AK1112">
        <v>0</v>
      </c>
      <c r="AL1112">
        <v>0</v>
      </c>
      <c r="AM1112">
        <v>22</v>
      </c>
      <c r="AN1112">
        <v>18</v>
      </c>
      <c r="AO1112">
        <v>37</v>
      </c>
      <c r="AQ1112" t="str">
        <f t="shared" si="17"/>
        <v>Midfielder</v>
      </c>
    </row>
    <row r="1113" spans="1:43" x14ac:dyDescent="0.35">
      <c r="A1113" t="s">
        <v>678</v>
      </c>
      <c r="B1113" t="s">
        <v>39</v>
      </c>
      <c r="C1113" t="s">
        <v>1979</v>
      </c>
      <c r="D1113">
        <v>1993</v>
      </c>
      <c r="E1113">
        <v>21</v>
      </c>
      <c r="F1113" t="s">
        <v>123</v>
      </c>
      <c r="G1113" t="s">
        <v>51</v>
      </c>
      <c r="H1113">
        <v>5500000</v>
      </c>
      <c r="I1113">
        <v>5500000</v>
      </c>
      <c r="J1113" t="s">
        <v>55</v>
      </c>
      <c r="K1113">
        <v>13</v>
      </c>
      <c r="L1113">
        <v>355</v>
      </c>
      <c r="M1113">
        <v>0</v>
      </c>
      <c r="N1113">
        <v>90</v>
      </c>
      <c r="O1113">
        <v>0</v>
      </c>
      <c r="P1113">
        <v>0</v>
      </c>
      <c r="Q1113">
        <v>0</v>
      </c>
      <c r="R1113">
        <v>11</v>
      </c>
      <c r="S1113">
        <v>2</v>
      </c>
      <c r="T1113">
        <v>10</v>
      </c>
      <c r="U1113">
        <v>4</v>
      </c>
      <c r="V1113">
        <v>1</v>
      </c>
      <c r="W1113">
        <v>2</v>
      </c>
      <c r="X1113">
        <v>0</v>
      </c>
      <c r="Y1113">
        <v>0</v>
      </c>
      <c r="Z1113">
        <v>0</v>
      </c>
      <c r="AA1113">
        <v>3</v>
      </c>
      <c r="AB1113">
        <v>0</v>
      </c>
      <c r="AC1113">
        <v>1</v>
      </c>
      <c r="AD1113">
        <v>0</v>
      </c>
      <c r="AE1113">
        <v>4</v>
      </c>
      <c r="AF1113">
        <v>0</v>
      </c>
      <c r="AG1113">
        <v>2</v>
      </c>
      <c r="AH1113">
        <v>8</v>
      </c>
      <c r="AI1113">
        <v>0</v>
      </c>
      <c r="AJ1113">
        <v>5</v>
      </c>
      <c r="AK1113">
        <v>0</v>
      </c>
      <c r="AL1113">
        <v>0</v>
      </c>
      <c r="AM1113">
        <v>3</v>
      </c>
      <c r="AN1113">
        <v>8</v>
      </c>
      <c r="AO1113">
        <v>15</v>
      </c>
      <c r="AQ1113" t="str">
        <f t="shared" si="17"/>
        <v>Midfielder</v>
      </c>
    </row>
    <row r="1114" spans="1:43" x14ac:dyDescent="0.35">
      <c r="A1114" t="s">
        <v>678</v>
      </c>
      <c r="B1114" t="s">
        <v>47</v>
      </c>
      <c r="C1114" t="s">
        <v>1980</v>
      </c>
      <c r="D1114">
        <v>1993</v>
      </c>
      <c r="E1114">
        <v>22</v>
      </c>
      <c r="F1114" t="s">
        <v>48</v>
      </c>
      <c r="G1114" t="s">
        <v>51</v>
      </c>
      <c r="H1114">
        <v>77000000</v>
      </c>
      <c r="I1114">
        <v>82500000</v>
      </c>
      <c r="J1114" t="s">
        <v>55</v>
      </c>
      <c r="K1114">
        <v>14</v>
      </c>
      <c r="L1114">
        <v>315</v>
      </c>
      <c r="M1114">
        <v>1</v>
      </c>
      <c r="N1114">
        <v>81</v>
      </c>
      <c r="O1114">
        <v>0</v>
      </c>
      <c r="P1114">
        <v>1</v>
      </c>
      <c r="Q1114">
        <v>0</v>
      </c>
      <c r="R1114">
        <v>12</v>
      </c>
      <c r="S1114">
        <v>0</v>
      </c>
      <c r="T1114">
        <v>7</v>
      </c>
      <c r="U1114">
        <v>3</v>
      </c>
      <c r="V1114">
        <v>0</v>
      </c>
      <c r="W1114">
        <v>1</v>
      </c>
      <c r="X1114">
        <v>1</v>
      </c>
      <c r="Y1114">
        <v>0</v>
      </c>
      <c r="Z1114">
        <v>0</v>
      </c>
      <c r="AA1114">
        <v>2</v>
      </c>
      <c r="AB1114">
        <v>0</v>
      </c>
      <c r="AC1114">
        <v>1</v>
      </c>
      <c r="AD1114">
        <v>0</v>
      </c>
      <c r="AE1114">
        <v>4</v>
      </c>
      <c r="AF1114">
        <v>0</v>
      </c>
      <c r="AG1114">
        <v>4</v>
      </c>
      <c r="AH1114">
        <v>12</v>
      </c>
      <c r="AI1114">
        <v>0</v>
      </c>
      <c r="AJ1114">
        <v>9</v>
      </c>
      <c r="AK1114">
        <v>0</v>
      </c>
      <c r="AL1114">
        <v>0</v>
      </c>
      <c r="AM1114">
        <v>3</v>
      </c>
      <c r="AN1114">
        <v>4</v>
      </c>
      <c r="AO1114">
        <v>8</v>
      </c>
      <c r="AQ1114" t="str">
        <f t="shared" si="17"/>
        <v>Midfielder</v>
      </c>
    </row>
    <row r="1115" spans="1:43" x14ac:dyDescent="0.35">
      <c r="A1115" t="s">
        <v>679</v>
      </c>
      <c r="B1115" t="s">
        <v>43</v>
      </c>
      <c r="C1115" t="s">
        <v>1981</v>
      </c>
      <c r="D1115">
        <v>1990</v>
      </c>
      <c r="E1115">
        <v>26</v>
      </c>
      <c r="F1115" t="s">
        <v>64</v>
      </c>
      <c r="G1115" t="s">
        <v>216</v>
      </c>
      <c r="H1115">
        <v>8100000</v>
      </c>
      <c r="I1115">
        <v>8100000</v>
      </c>
      <c r="J1115" t="s">
        <v>52</v>
      </c>
      <c r="K1115">
        <v>28</v>
      </c>
      <c r="L1115">
        <v>2185</v>
      </c>
      <c r="M1115">
        <v>5</v>
      </c>
      <c r="N1115">
        <v>882</v>
      </c>
      <c r="O1115">
        <v>1</v>
      </c>
      <c r="P1115">
        <v>7</v>
      </c>
      <c r="Q1115">
        <v>0</v>
      </c>
      <c r="R1115">
        <v>3</v>
      </c>
      <c r="S1115">
        <v>4</v>
      </c>
      <c r="T1115">
        <v>33</v>
      </c>
      <c r="U1115">
        <v>11</v>
      </c>
      <c r="V1115">
        <v>0</v>
      </c>
      <c r="W1115">
        <v>24</v>
      </c>
      <c r="X1115">
        <v>0</v>
      </c>
      <c r="Y1115">
        <v>0</v>
      </c>
      <c r="Z1115">
        <v>0</v>
      </c>
      <c r="AA1115">
        <v>3</v>
      </c>
      <c r="AB1115">
        <v>3</v>
      </c>
      <c r="AC1115">
        <v>22</v>
      </c>
      <c r="AD1115">
        <v>11</v>
      </c>
      <c r="AE1115">
        <v>56</v>
      </c>
      <c r="AF1115">
        <v>5</v>
      </c>
      <c r="AG1115">
        <v>47</v>
      </c>
      <c r="AH1115">
        <v>18</v>
      </c>
      <c r="AI1115">
        <v>0</v>
      </c>
      <c r="AJ1115">
        <v>47</v>
      </c>
      <c r="AK1115">
        <v>0</v>
      </c>
      <c r="AL1115">
        <v>0</v>
      </c>
      <c r="AM1115">
        <v>56</v>
      </c>
      <c r="AN1115">
        <v>6</v>
      </c>
      <c r="AO1115">
        <v>5</v>
      </c>
      <c r="AQ1115" t="str">
        <f t="shared" si="17"/>
        <v>Defensive Forward</v>
      </c>
    </row>
    <row r="1116" spans="1:43" x14ac:dyDescent="0.35">
      <c r="A1116" t="s">
        <v>679</v>
      </c>
      <c r="B1116" t="s">
        <v>39</v>
      </c>
      <c r="C1116" t="s">
        <v>1982</v>
      </c>
      <c r="D1116">
        <v>1990</v>
      </c>
      <c r="E1116">
        <v>24</v>
      </c>
      <c r="F1116" t="s">
        <v>78</v>
      </c>
      <c r="G1116" t="s">
        <v>216</v>
      </c>
      <c r="H1116">
        <v>3150000</v>
      </c>
      <c r="I1116">
        <v>5400000</v>
      </c>
      <c r="J1116" t="s">
        <v>52</v>
      </c>
      <c r="K1116">
        <v>33</v>
      </c>
      <c r="L1116">
        <v>2970</v>
      </c>
      <c r="M1116">
        <v>4</v>
      </c>
      <c r="N1116">
        <v>1067</v>
      </c>
      <c r="O1116">
        <v>3</v>
      </c>
      <c r="P1116">
        <v>2</v>
      </c>
      <c r="Q1116">
        <v>0</v>
      </c>
      <c r="R1116">
        <v>0</v>
      </c>
      <c r="S1116">
        <v>0</v>
      </c>
      <c r="T1116">
        <v>46</v>
      </c>
      <c r="U1116">
        <v>9</v>
      </c>
      <c r="V1116">
        <v>2</v>
      </c>
      <c r="W1116">
        <v>33</v>
      </c>
      <c r="X1116">
        <v>0</v>
      </c>
      <c r="Y1116">
        <v>0</v>
      </c>
      <c r="Z1116">
        <v>1</v>
      </c>
      <c r="AA1116">
        <v>4</v>
      </c>
      <c r="AB1116">
        <v>0</v>
      </c>
      <c r="AC1116">
        <v>3</v>
      </c>
      <c r="AD1116">
        <v>3</v>
      </c>
      <c r="AE1116">
        <v>56</v>
      </c>
      <c r="AF1116">
        <v>10</v>
      </c>
      <c r="AG1116">
        <v>63</v>
      </c>
      <c r="AH1116">
        <v>16</v>
      </c>
      <c r="AI1116">
        <v>2</v>
      </c>
      <c r="AJ1116">
        <v>85</v>
      </c>
      <c r="AK1116">
        <v>1</v>
      </c>
      <c r="AL1116">
        <v>0</v>
      </c>
      <c r="AM1116">
        <v>102</v>
      </c>
      <c r="AN1116">
        <v>14</v>
      </c>
      <c r="AO1116">
        <v>16</v>
      </c>
      <c r="AQ1116" t="str">
        <f t="shared" si="17"/>
        <v>Defensive Forward</v>
      </c>
    </row>
    <row r="1117" spans="1:43" x14ac:dyDescent="0.35">
      <c r="A1117" t="s">
        <v>679</v>
      </c>
      <c r="B1117" t="s">
        <v>46</v>
      </c>
      <c r="C1117" t="s">
        <v>1983</v>
      </c>
      <c r="D1117">
        <v>1990</v>
      </c>
      <c r="E1117">
        <v>27</v>
      </c>
      <c r="F1117" t="s">
        <v>64</v>
      </c>
      <c r="G1117" t="s">
        <v>216</v>
      </c>
      <c r="H1117">
        <v>8100000</v>
      </c>
      <c r="I1117">
        <v>9000000</v>
      </c>
      <c r="J1117" t="s">
        <v>52</v>
      </c>
      <c r="K1117">
        <v>36</v>
      </c>
      <c r="L1117">
        <v>3197</v>
      </c>
      <c r="M1117">
        <v>3</v>
      </c>
      <c r="N1117">
        <v>1610</v>
      </c>
      <c r="O1117">
        <v>2</v>
      </c>
      <c r="P1117">
        <v>3</v>
      </c>
      <c r="Q1117">
        <v>0</v>
      </c>
      <c r="R1117">
        <v>0</v>
      </c>
      <c r="S1117">
        <v>3</v>
      </c>
      <c r="T1117">
        <v>45</v>
      </c>
      <c r="U1117">
        <v>11</v>
      </c>
      <c r="V1117">
        <v>0</v>
      </c>
      <c r="W1117">
        <v>30</v>
      </c>
      <c r="X1117">
        <v>0</v>
      </c>
      <c r="Y1117">
        <v>0</v>
      </c>
      <c r="Z1117">
        <v>0</v>
      </c>
      <c r="AA1117">
        <v>10</v>
      </c>
      <c r="AB1117">
        <v>5</v>
      </c>
      <c r="AC1117">
        <v>34</v>
      </c>
      <c r="AD1117">
        <v>2</v>
      </c>
      <c r="AE1117">
        <v>42</v>
      </c>
      <c r="AF1117">
        <v>9</v>
      </c>
      <c r="AG1117">
        <v>40</v>
      </c>
      <c r="AH1117">
        <v>12</v>
      </c>
      <c r="AI1117">
        <v>0</v>
      </c>
      <c r="AJ1117">
        <v>48</v>
      </c>
      <c r="AK1117">
        <v>0</v>
      </c>
      <c r="AL1117">
        <v>0</v>
      </c>
      <c r="AM1117">
        <v>80</v>
      </c>
      <c r="AN1117">
        <v>10</v>
      </c>
      <c r="AO1117">
        <v>12</v>
      </c>
      <c r="AQ1117" t="str">
        <f t="shared" si="17"/>
        <v>Defensive Forward</v>
      </c>
    </row>
    <row r="1118" spans="1:43" x14ac:dyDescent="0.35">
      <c r="A1118" t="s">
        <v>679</v>
      </c>
      <c r="B1118" t="s">
        <v>47</v>
      </c>
      <c r="C1118" t="s">
        <v>1984</v>
      </c>
      <c r="D1118">
        <v>1990</v>
      </c>
      <c r="E1118">
        <v>25</v>
      </c>
      <c r="F1118" t="s">
        <v>78</v>
      </c>
      <c r="G1118" t="s">
        <v>216</v>
      </c>
      <c r="H1118">
        <v>5400000</v>
      </c>
      <c r="I1118">
        <v>8100000</v>
      </c>
      <c r="J1118" t="s">
        <v>52</v>
      </c>
      <c r="K1118">
        <v>32</v>
      </c>
      <c r="L1118">
        <v>2498</v>
      </c>
      <c r="M1118">
        <v>5</v>
      </c>
      <c r="N1118">
        <v>1001</v>
      </c>
      <c r="O1118">
        <v>1</v>
      </c>
      <c r="P1118">
        <v>3</v>
      </c>
      <c r="Q1118">
        <v>0</v>
      </c>
      <c r="R1118">
        <v>4</v>
      </c>
      <c r="S1118">
        <v>4</v>
      </c>
      <c r="T1118">
        <v>34</v>
      </c>
      <c r="U1118">
        <v>13</v>
      </c>
      <c r="V1118">
        <v>0</v>
      </c>
      <c r="W1118">
        <v>34</v>
      </c>
      <c r="X1118">
        <v>0</v>
      </c>
      <c r="Y1118">
        <v>0</v>
      </c>
      <c r="Z1118">
        <v>0</v>
      </c>
      <c r="AA1118">
        <v>6</v>
      </c>
      <c r="AB1118">
        <v>2</v>
      </c>
      <c r="AC1118">
        <v>0</v>
      </c>
      <c r="AD1118">
        <v>15</v>
      </c>
      <c r="AE1118">
        <v>78</v>
      </c>
      <c r="AF1118">
        <v>9</v>
      </c>
      <c r="AG1118">
        <v>58</v>
      </c>
      <c r="AH1118">
        <v>15</v>
      </c>
      <c r="AI1118">
        <v>0</v>
      </c>
      <c r="AJ1118">
        <v>43</v>
      </c>
      <c r="AK1118">
        <v>0</v>
      </c>
      <c r="AL1118">
        <v>0</v>
      </c>
      <c r="AM1118">
        <v>65</v>
      </c>
      <c r="AN1118">
        <v>10</v>
      </c>
      <c r="AO1118">
        <v>17</v>
      </c>
      <c r="AQ1118" t="str">
        <f t="shared" si="17"/>
        <v>Defensive Forward</v>
      </c>
    </row>
    <row r="1119" spans="1:43" x14ac:dyDescent="0.35">
      <c r="A1119" t="s">
        <v>680</v>
      </c>
      <c r="B1119" t="s">
        <v>46</v>
      </c>
      <c r="C1119" t="s">
        <v>1985</v>
      </c>
      <c r="D1119">
        <v>1991</v>
      </c>
      <c r="E1119">
        <v>26</v>
      </c>
      <c r="F1119" t="s">
        <v>117</v>
      </c>
      <c r="G1119" t="s">
        <v>62</v>
      </c>
      <c r="H1119">
        <v>3850000</v>
      </c>
      <c r="I1119">
        <v>5500000</v>
      </c>
      <c r="J1119" t="s">
        <v>52</v>
      </c>
      <c r="K1119">
        <v>26</v>
      </c>
      <c r="L1119">
        <v>1987</v>
      </c>
      <c r="M1119">
        <v>0</v>
      </c>
      <c r="N1119">
        <v>758</v>
      </c>
      <c r="O1119">
        <v>0</v>
      </c>
      <c r="P1119">
        <v>1</v>
      </c>
      <c r="Q1119">
        <v>0</v>
      </c>
      <c r="R1119">
        <v>5</v>
      </c>
      <c r="S1119">
        <v>1</v>
      </c>
      <c r="T1119">
        <v>9</v>
      </c>
      <c r="U1119">
        <v>1</v>
      </c>
      <c r="V1119">
        <v>0</v>
      </c>
      <c r="W1119">
        <v>73</v>
      </c>
      <c r="X1119">
        <v>0</v>
      </c>
      <c r="Y1119">
        <v>0</v>
      </c>
      <c r="Z1119">
        <v>0</v>
      </c>
      <c r="AA1119">
        <v>1</v>
      </c>
      <c r="AB1119">
        <v>0</v>
      </c>
      <c r="AC1119">
        <v>8</v>
      </c>
      <c r="AD1119">
        <v>1</v>
      </c>
      <c r="AE1119">
        <v>32</v>
      </c>
      <c r="AF1119">
        <v>10</v>
      </c>
      <c r="AG1119">
        <v>37</v>
      </c>
      <c r="AH1119">
        <v>11</v>
      </c>
      <c r="AI1119">
        <v>0</v>
      </c>
      <c r="AJ1119">
        <v>34</v>
      </c>
      <c r="AK1119">
        <v>0</v>
      </c>
      <c r="AL1119">
        <v>0</v>
      </c>
      <c r="AM1119">
        <v>123</v>
      </c>
      <c r="AN1119">
        <v>61</v>
      </c>
      <c r="AO1119">
        <v>27</v>
      </c>
      <c r="AQ1119" t="str">
        <f t="shared" si="17"/>
        <v>Defensive Forward</v>
      </c>
    </row>
    <row r="1120" spans="1:43" x14ac:dyDescent="0.35">
      <c r="A1120" t="s">
        <v>680</v>
      </c>
      <c r="B1120" t="s">
        <v>43</v>
      </c>
      <c r="C1120" t="s">
        <v>1986</v>
      </c>
      <c r="D1120">
        <v>1991</v>
      </c>
      <c r="E1120">
        <v>26</v>
      </c>
      <c r="F1120" t="s">
        <v>117</v>
      </c>
      <c r="G1120" t="s">
        <v>62</v>
      </c>
      <c r="H1120">
        <v>3850000</v>
      </c>
      <c r="I1120">
        <v>3850000</v>
      </c>
      <c r="J1120" t="s">
        <v>52</v>
      </c>
      <c r="K1120">
        <v>20</v>
      </c>
      <c r="L1120">
        <v>1603</v>
      </c>
      <c r="M1120">
        <v>0</v>
      </c>
      <c r="N1120">
        <v>599</v>
      </c>
      <c r="O1120">
        <v>0</v>
      </c>
      <c r="P1120">
        <v>1</v>
      </c>
      <c r="Q1120">
        <v>0</v>
      </c>
      <c r="R1120">
        <v>1</v>
      </c>
      <c r="S1120">
        <v>2</v>
      </c>
      <c r="T1120">
        <v>0</v>
      </c>
      <c r="U1120">
        <v>0</v>
      </c>
      <c r="V1120">
        <v>0</v>
      </c>
      <c r="W1120">
        <v>56</v>
      </c>
      <c r="X1120">
        <v>0</v>
      </c>
      <c r="Y1120">
        <v>0</v>
      </c>
      <c r="Z1120">
        <v>0</v>
      </c>
      <c r="AA1120">
        <v>0</v>
      </c>
      <c r="AB1120">
        <v>1</v>
      </c>
      <c r="AC1120">
        <v>0</v>
      </c>
      <c r="AD1120">
        <v>0</v>
      </c>
      <c r="AE1120">
        <v>22</v>
      </c>
      <c r="AF1120">
        <v>10</v>
      </c>
      <c r="AG1120">
        <v>23</v>
      </c>
      <c r="AH1120">
        <v>8</v>
      </c>
      <c r="AI1120">
        <v>0</v>
      </c>
      <c r="AJ1120">
        <v>28</v>
      </c>
      <c r="AK1120">
        <v>1</v>
      </c>
      <c r="AL1120">
        <v>0</v>
      </c>
      <c r="AM1120">
        <v>92</v>
      </c>
      <c r="AN1120">
        <v>55</v>
      </c>
      <c r="AO1120">
        <v>35</v>
      </c>
      <c r="AQ1120" t="str">
        <f t="shared" si="17"/>
        <v>Defensive Forward</v>
      </c>
    </row>
    <row r="1121" spans="1:43" x14ac:dyDescent="0.35">
      <c r="A1121" t="s">
        <v>680</v>
      </c>
      <c r="B1121" t="s">
        <v>39</v>
      </c>
      <c r="C1121" t="s">
        <v>1987</v>
      </c>
      <c r="D1121">
        <v>1991</v>
      </c>
      <c r="E1121">
        <v>23</v>
      </c>
      <c r="F1121" t="s">
        <v>117</v>
      </c>
      <c r="G1121" t="s">
        <v>62</v>
      </c>
      <c r="H1121">
        <v>3850000</v>
      </c>
      <c r="I1121">
        <v>3850000</v>
      </c>
      <c r="J1121" t="s">
        <v>52</v>
      </c>
      <c r="K1121">
        <v>21</v>
      </c>
      <c r="L1121">
        <v>1896</v>
      </c>
      <c r="M1121">
        <v>1</v>
      </c>
      <c r="N1121">
        <v>673</v>
      </c>
      <c r="O1121">
        <v>0</v>
      </c>
      <c r="P1121">
        <v>3</v>
      </c>
      <c r="Q1121">
        <v>0</v>
      </c>
      <c r="R1121">
        <v>0</v>
      </c>
      <c r="S1121">
        <v>5</v>
      </c>
      <c r="T1121">
        <v>5</v>
      </c>
      <c r="U1121">
        <v>1</v>
      </c>
      <c r="V1121">
        <v>1</v>
      </c>
      <c r="W1121">
        <v>56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1</v>
      </c>
      <c r="AE1121">
        <v>34</v>
      </c>
      <c r="AF1121">
        <v>12</v>
      </c>
      <c r="AG1121">
        <v>42</v>
      </c>
      <c r="AH1121">
        <v>13</v>
      </c>
      <c r="AI1121">
        <v>0</v>
      </c>
      <c r="AJ1121">
        <v>54</v>
      </c>
      <c r="AK1121">
        <v>0</v>
      </c>
      <c r="AL1121">
        <v>0</v>
      </c>
      <c r="AM1121">
        <v>88</v>
      </c>
      <c r="AN1121">
        <v>47</v>
      </c>
      <c r="AO1121">
        <v>31</v>
      </c>
      <c r="AQ1121" t="str">
        <f t="shared" si="17"/>
        <v>Defensive Forward</v>
      </c>
    </row>
    <row r="1122" spans="1:43" x14ac:dyDescent="0.35">
      <c r="A1122" t="s">
        <v>681</v>
      </c>
      <c r="B1122" t="s">
        <v>47</v>
      </c>
      <c r="C1122" t="s">
        <v>1988</v>
      </c>
      <c r="D1122">
        <v>1993</v>
      </c>
      <c r="E1122">
        <v>23</v>
      </c>
      <c r="F1122" t="s">
        <v>129</v>
      </c>
      <c r="G1122" t="s">
        <v>67</v>
      </c>
      <c r="H1122">
        <v>82500000</v>
      </c>
      <c r="I1122">
        <v>99000000</v>
      </c>
      <c r="J1122" t="s">
        <v>55</v>
      </c>
      <c r="K1122">
        <v>30</v>
      </c>
      <c r="L1122">
        <v>2608</v>
      </c>
      <c r="M1122">
        <v>5</v>
      </c>
      <c r="N1122">
        <v>2178</v>
      </c>
      <c r="O1122">
        <v>4</v>
      </c>
      <c r="P1122">
        <v>7</v>
      </c>
      <c r="Q1122">
        <v>0</v>
      </c>
      <c r="R1122">
        <v>1</v>
      </c>
      <c r="S1122">
        <v>3</v>
      </c>
      <c r="T1122">
        <v>92</v>
      </c>
      <c r="U1122">
        <v>32</v>
      </c>
      <c r="V1122">
        <v>6</v>
      </c>
      <c r="W1122">
        <v>32</v>
      </c>
      <c r="X1122">
        <v>2</v>
      </c>
      <c r="Y1122">
        <v>0</v>
      </c>
      <c r="Z1122">
        <v>0</v>
      </c>
      <c r="AA1122">
        <v>3</v>
      </c>
      <c r="AB1122">
        <v>28</v>
      </c>
      <c r="AC1122">
        <v>5</v>
      </c>
      <c r="AD1122">
        <v>1</v>
      </c>
      <c r="AE1122">
        <v>39</v>
      </c>
      <c r="AF1122">
        <v>4</v>
      </c>
      <c r="AG1122">
        <v>33</v>
      </c>
      <c r="AH1122">
        <v>62</v>
      </c>
      <c r="AI1122">
        <v>0</v>
      </c>
      <c r="AJ1122">
        <v>53</v>
      </c>
      <c r="AK1122">
        <v>0</v>
      </c>
      <c r="AL1122">
        <v>0</v>
      </c>
      <c r="AM1122">
        <v>42</v>
      </c>
      <c r="AN1122">
        <v>83</v>
      </c>
      <c r="AO1122">
        <v>54</v>
      </c>
      <c r="AQ1122" t="str">
        <f t="shared" si="17"/>
        <v>Midfielder</v>
      </c>
    </row>
    <row r="1123" spans="1:43" x14ac:dyDescent="0.35">
      <c r="A1123" t="s">
        <v>681</v>
      </c>
      <c r="B1123" t="s">
        <v>43</v>
      </c>
      <c r="C1123" t="s">
        <v>1989</v>
      </c>
      <c r="D1123">
        <v>1993</v>
      </c>
      <c r="E1123">
        <v>24</v>
      </c>
      <c r="F1123" t="s">
        <v>129</v>
      </c>
      <c r="G1123" t="s">
        <v>67</v>
      </c>
      <c r="H1123">
        <v>99000000</v>
      </c>
      <c r="I1123">
        <v>110000000</v>
      </c>
      <c r="J1123" t="s">
        <v>55</v>
      </c>
      <c r="K1123">
        <v>27</v>
      </c>
      <c r="L1123">
        <v>2151</v>
      </c>
      <c r="M1123">
        <v>6</v>
      </c>
      <c r="N1123">
        <v>1721</v>
      </c>
      <c r="O1123">
        <v>10</v>
      </c>
      <c r="P1123">
        <v>5</v>
      </c>
      <c r="Q1123">
        <v>1</v>
      </c>
      <c r="R1123">
        <v>2</v>
      </c>
      <c r="S1123">
        <v>5</v>
      </c>
      <c r="T1123">
        <v>76</v>
      </c>
      <c r="U1123">
        <v>18</v>
      </c>
      <c r="V1123">
        <v>2</v>
      </c>
      <c r="W1123">
        <v>14</v>
      </c>
      <c r="X1123">
        <v>1</v>
      </c>
      <c r="Y1123">
        <v>0</v>
      </c>
      <c r="Z1123">
        <v>0</v>
      </c>
      <c r="AA1123">
        <v>3</v>
      </c>
      <c r="AB1123">
        <v>15</v>
      </c>
      <c r="AC1123">
        <v>58</v>
      </c>
      <c r="AD1123">
        <v>0</v>
      </c>
      <c r="AE1123">
        <v>28</v>
      </c>
      <c r="AF1123">
        <v>0</v>
      </c>
      <c r="AG1123">
        <v>21</v>
      </c>
      <c r="AH1123">
        <v>44</v>
      </c>
      <c r="AI1123">
        <v>0</v>
      </c>
      <c r="AJ1123">
        <v>33</v>
      </c>
      <c r="AK1123">
        <v>0</v>
      </c>
      <c r="AL1123">
        <v>0</v>
      </c>
      <c r="AM1123">
        <v>25</v>
      </c>
      <c r="AN1123">
        <v>51</v>
      </c>
      <c r="AO1123">
        <v>30</v>
      </c>
      <c r="AQ1123" t="str">
        <f t="shared" si="17"/>
        <v>Midfielder</v>
      </c>
    </row>
    <row r="1124" spans="1:43" x14ac:dyDescent="0.35">
      <c r="A1124" t="s">
        <v>681</v>
      </c>
      <c r="B1124" t="s">
        <v>46</v>
      </c>
      <c r="C1124" t="s">
        <v>1990</v>
      </c>
      <c r="D1124">
        <v>1993</v>
      </c>
      <c r="E1124">
        <v>25</v>
      </c>
      <c r="F1124" t="s">
        <v>129</v>
      </c>
      <c r="G1124" t="s">
        <v>67</v>
      </c>
      <c r="H1124">
        <v>8000000</v>
      </c>
      <c r="I1124">
        <v>8000000</v>
      </c>
      <c r="J1124" t="s">
        <v>55</v>
      </c>
      <c r="K1124">
        <v>35</v>
      </c>
      <c r="L1124">
        <v>3009</v>
      </c>
      <c r="M1124">
        <v>13</v>
      </c>
      <c r="N1124">
        <v>2068</v>
      </c>
      <c r="O1124">
        <v>9</v>
      </c>
      <c r="P1124">
        <v>6</v>
      </c>
      <c r="Q1124">
        <v>0</v>
      </c>
      <c r="R1124">
        <v>1</v>
      </c>
      <c r="S1124">
        <v>6</v>
      </c>
      <c r="T1124">
        <v>105</v>
      </c>
      <c r="U1124">
        <v>50</v>
      </c>
      <c r="V1124">
        <v>3</v>
      </c>
      <c r="W1124">
        <v>25</v>
      </c>
      <c r="X1124">
        <v>0</v>
      </c>
      <c r="Y1124">
        <v>7</v>
      </c>
      <c r="Z1124">
        <v>0</v>
      </c>
      <c r="AA1124">
        <v>5</v>
      </c>
      <c r="AB1124">
        <v>15</v>
      </c>
      <c r="AC1124">
        <v>55</v>
      </c>
      <c r="AD1124">
        <v>0</v>
      </c>
      <c r="AE1124">
        <v>28</v>
      </c>
      <c r="AF1124">
        <v>9</v>
      </c>
      <c r="AG1124">
        <v>18</v>
      </c>
      <c r="AH1124">
        <v>54</v>
      </c>
      <c r="AI1124">
        <v>0</v>
      </c>
      <c r="AJ1124">
        <v>47</v>
      </c>
      <c r="AK1124">
        <v>0</v>
      </c>
      <c r="AL1124">
        <v>0</v>
      </c>
      <c r="AM1124">
        <v>36</v>
      </c>
      <c r="AN1124">
        <v>59</v>
      </c>
      <c r="AO1124">
        <v>61</v>
      </c>
      <c r="AQ1124" t="str">
        <f t="shared" si="17"/>
        <v>Midfielder</v>
      </c>
    </row>
    <row r="1125" spans="1:43" x14ac:dyDescent="0.35">
      <c r="A1125" t="s">
        <v>682</v>
      </c>
      <c r="B1125" t="s">
        <v>39</v>
      </c>
      <c r="C1125" t="s">
        <v>1991</v>
      </c>
      <c r="D1125">
        <v>1987</v>
      </c>
      <c r="E1125">
        <v>28</v>
      </c>
      <c r="F1125" t="s">
        <v>44</v>
      </c>
      <c r="G1125" t="s">
        <v>45</v>
      </c>
      <c r="H1125">
        <v>15000000</v>
      </c>
      <c r="I1125">
        <v>20700000</v>
      </c>
      <c r="J1125" t="s">
        <v>42</v>
      </c>
      <c r="K1125">
        <v>29</v>
      </c>
      <c r="L1125">
        <v>2040</v>
      </c>
      <c r="M1125">
        <v>7</v>
      </c>
      <c r="N1125">
        <v>971</v>
      </c>
      <c r="O1125">
        <v>2</v>
      </c>
      <c r="P1125">
        <v>3</v>
      </c>
      <c r="Q1125">
        <v>0</v>
      </c>
      <c r="R1125">
        <v>5</v>
      </c>
      <c r="S1125">
        <v>15</v>
      </c>
      <c r="T1125">
        <v>57</v>
      </c>
      <c r="U1125">
        <v>16</v>
      </c>
      <c r="V1125">
        <v>0</v>
      </c>
      <c r="W1125">
        <v>2</v>
      </c>
      <c r="X1125">
        <v>0</v>
      </c>
      <c r="Y1125">
        <v>0</v>
      </c>
      <c r="Z1125">
        <v>0</v>
      </c>
      <c r="AA1125">
        <v>5</v>
      </c>
      <c r="AB1125">
        <v>4</v>
      </c>
      <c r="AC1125">
        <v>4</v>
      </c>
      <c r="AD1125">
        <v>16</v>
      </c>
      <c r="AE1125">
        <v>83</v>
      </c>
      <c r="AF1125">
        <v>0</v>
      </c>
      <c r="AG1125">
        <v>23</v>
      </c>
      <c r="AH1125">
        <v>23</v>
      </c>
      <c r="AI1125">
        <v>0</v>
      </c>
      <c r="AJ1125">
        <v>37</v>
      </c>
      <c r="AK1125">
        <v>1</v>
      </c>
      <c r="AL1125">
        <v>0</v>
      </c>
      <c r="AM1125">
        <v>5</v>
      </c>
      <c r="AN1125">
        <v>8</v>
      </c>
      <c r="AO1125">
        <v>18</v>
      </c>
      <c r="AQ1125" t="str">
        <f t="shared" si="17"/>
        <v>Forward</v>
      </c>
    </row>
    <row r="1126" spans="1:43" x14ac:dyDescent="0.35">
      <c r="A1126" t="s">
        <v>682</v>
      </c>
      <c r="B1126" t="s">
        <v>47</v>
      </c>
      <c r="C1126" t="s">
        <v>1992</v>
      </c>
      <c r="D1126">
        <v>1987</v>
      </c>
      <c r="E1126">
        <v>29</v>
      </c>
      <c r="F1126" t="s">
        <v>44</v>
      </c>
      <c r="G1126" t="s">
        <v>45</v>
      </c>
      <c r="H1126">
        <v>20700000</v>
      </c>
      <c r="I1126">
        <v>25200000</v>
      </c>
      <c r="J1126" t="s">
        <v>42</v>
      </c>
      <c r="K1126">
        <v>35</v>
      </c>
      <c r="L1126">
        <v>2151</v>
      </c>
      <c r="M1126">
        <v>9</v>
      </c>
      <c r="N1126">
        <v>947</v>
      </c>
      <c r="O1126">
        <v>9</v>
      </c>
      <c r="P1126">
        <v>6</v>
      </c>
      <c r="Q1126">
        <v>0</v>
      </c>
      <c r="R1126">
        <v>9</v>
      </c>
      <c r="S1126">
        <v>20</v>
      </c>
      <c r="T1126">
        <v>59</v>
      </c>
      <c r="U1126">
        <v>17</v>
      </c>
      <c r="V1126">
        <v>2</v>
      </c>
      <c r="W1126">
        <v>3</v>
      </c>
      <c r="X1126">
        <v>2</v>
      </c>
      <c r="Y1126">
        <v>0</v>
      </c>
      <c r="Z1126">
        <v>0</v>
      </c>
      <c r="AA1126">
        <v>8</v>
      </c>
      <c r="AB1126">
        <v>15</v>
      </c>
      <c r="AC1126">
        <v>2</v>
      </c>
      <c r="AD1126">
        <v>21</v>
      </c>
      <c r="AE1126">
        <v>72</v>
      </c>
      <c r="AF1126">
        <v>1</v>
      </c>
      <c r="AG1126">
        <v>21</v>
      </c>
      <c r="AH1126">
        <v>33</v>
      </c>
      <c r="AI1126">
        <v>0</v>
      </c>
      <c r="AJ1126">
        <v>48</v>
      </c>
      <c r="AK1126">
        <v>0</v>
      </c>
      <c r="AL1126">
        <v>0</v>
      </c>
      <c r="AM1126">
        <v>11</v>
      </c>
      <c r="AN1126">
        <v>7</v>
      </c>
      <c r="AO1126">
        <v>21</v>
      </c>
      <c r="AQ1126" t="str">
        <f t="shared" si="17"/>
        <v>Forward</v>
      </c>
    </row>
    <row r="1127" spans="1:43" x14ac:dyDescent="0.35">
      <c r="A1127" t="s">
        <v>682</v>
      </c>
      <c r="B1127" t="s">
        <v>43</v>
      </c>
      <c r="C1127" t="s">
        <v>1993</v>
      </c>
      <c r="D1127">
        <v>1987</v>
      </c>
      <c r="E1127">
        <v>30</v>
      </c>
      <c r="F1127" t="s">
        <v>44</v>
      </c>
      <c r="G1127" t="s">
        <v>45</v>
      </c>
      <c r="H1127">
        <v>25200000</v>
      </c>
      <c r="I1127">
        <v>22500000</v>
      </c>
      <c r="J1127" t="s">
        <v>42</v>
      </c>
      <c r="K1127">
        <v>31</v>
      </c>
      <c r="L1127">
        <v>1523</v>
      </c>
      <c r="M1127">
        <v>4</v>
      </c>
      <c r="N1127">
        <v>654</v>
      </c>
      <c r="O1127">
        <v>2</v>
      </c>
      <c r="P1127">
        <v>1</v>
      </c>
      <c r="Q1127">
        <v>0</v>
      </c>
      <c r="R1127">
        <v>14</v>
      </c>
      <c r="S1127">
        <v>13</v>
      </c>
      <c r="T1127">
        <v>56</v>
      </c>
      <c r="U1127">
        <v>20</v>
      </c>
      <c r="V1127">
        <v>1</v>
      </c>
      <c r="W1127">
        <v>1</v>
      </c>
      <c r="X1127">
        <v>0</v>
      </c>
      <c r="Y1127">
        <v>0</v>
      </c>
      <c r="Z1127">
        <v>0</v>
      </c>
      <c r="AA1127">
        <v>15</v>
      </c>
      <c r="AB1127">
        <v>3</v>
      </c>
      <c r="AC1127">
        <v>36</v>
      </c>
      <c r="AD1127">
        <v>3</v>
      </c>
      <c r="AE1127">
        <v>46</v>
      </c>
      <c r="AF1127">
        <v>1</v>
      </c>
      <c r="AG1127">
        <v>13</v>
      </c>
      <c r="AH1127">
        <v>9</v>
      </c>
      <c r="AI1127">
        <v>0</v>
      </c>
      <c r="AJ1127">
        <v>20</v>
      </c>
      <c r="AK1127">
        <v>0</v>
      </c>
      <c r="AL1127">
        <v>0</v>
      </c>
      <c r="AM1127">
        <v>6</v>
      </c>
      <c r="AN1127">
        <v>0</v>
      </c>
      <c r="AO1127">
        <v>18</v>
      </c>
      <c r="AQ1127" t="str">
        <f t="shared" si="17"/>
        <v>Forward</v>
      </c>
    </row>
    <row r="1128" spans="1:43" x14ac:dyDescent="0.35">
      <c r="A1128" t="s">
        <v>682</v>
      </c>
      <c r="B1128" t="s">
        <v>46</v>
      </c>
      <c r="C1128" t="s">
        <v>1994</v>
      </c>
      <c r="D1128">
        <v>1987</v>
      </c>
      <c r="E1128">
        <v>31</v>
      </c>
      <c r="F1128" t="s">
        <v>44</v>
      </c>
      <c r="G1128" t="s">
        <v>45</v>
      </c>
      <c r="H1128">
        <v>22500000</v>
      </c>
      <c r="I1128">
        <v>18000000</v>
      </c>
      <c r="J1128" t="s">
        <v>42</v>
      </c>
      <c r="K1128">
        <v>31</v>
      </c>
      <c r="L1128">
        <v>1780</v>
      </c>
      <c r="M1128">
        <v>8</v>
      </c>
      <c r="N1128">
        <v>1066</v>
      </c>
      <c r="O1128">
        <v>2</v>
      </c>
      <c r="P1128">
        <v>2</v>
      </c>
      <c r="Q1128">
        <v>0</v>
      </c>
      <c r="R1128">
        <v>10</v>
      </c>
      <c r="S1128">
        <v>12</v>
      </c>
      <c r="T1128">
        <v>57</v>
      </c>
      <c r="U1128">
        <v>25</v>
      </c>
      <c r="V1128">
        <v>0</v>
      </c>
      <c r="W1128">
        <v>2</v>
      </c>
      <c r="X1128">
        <v>0</v>
      </c>
      <c r="Y1128">
        <v>0</v>
      </c>
      <c r="Z1128">
        <v>0</v>
      </c>
      <c r="AA1128">
        <v>8</v>
      </c>
      <c r="AB1128">
        <v>7</v>
      </c>
      <c r="AC1128">
        <v>32</v>
      </c>
      <c r="AD1128">
        <v>5</v>
      </c>
      <c r="AE1128">
        <v>61</v>
      </c>
      <c r="AF1128">
        <v>2</v>
      </c>
      <c r="AG1128">
        <v>18</v>
      </c>
      <c r="AH1128">
        <v>17</v>
      </c>
      <c r="AI1128">
        <v>0</v>
      </c>
      <c r="AJ1128">
        <v>27</v>
      </c>
      <c r="AK1128">
        <v>0</v>
      </c>
      <c r="AL1128">
        <v>0</v>
      </c>
      <c r="AM1128">
        <v>8</v>
      </c>
      <c r="AN1128">
        <v>9</v>
      </c>
      <c r="AO1128">
        <v>14</v>
      </c>
      <c r="AQ1128" t="str">
        <f t="shared" si="17"/>
        <v>Forward</v>
      </c>
    </row>
    <row r="1129" spans="1:43" x14ac:dyDescent="0.35">
      <c r="A1129" t="s">
        <v>683</v>
      </c>
      <c r="B1129" t="s">
        <v>39</v>
      </c>
      <c r="C1129" t="s">
        <v>1995</v>
      </c>
      <c r="D1129">
        <v>1992</v>
      </c>
      <c r="E1129">
        <v>23</v>
      </c>
      <c r="F1129" t="s">
        <v>50</v>
      </c>
      <c r="G1129" t="s">
        <v>684</v>
      </c>
      <c r="H1129">
        <v>8000000</v>
      </c>
      <c r="I1129">
        <v>9000000</v>
      </c>
      <c r="J1129" t="s">
        <v>55</v>
      </c>
      <c r="K1129">
        <v>12</v>
      </c>
      <c r="L1129">
        <v>1079</v>
      </c>
      <c r="M1129">
        <v>0</v>
      </c>
      <c r="N1129">
        <v>476</v>
      </c>
      <c r="O1129">
        <v>1</v>
      </c>
      <c r="P1129">
        <v>2</v>
      </c>
      <c r="Q1129">
        <v>0</v>
      </c>
      <c r="R1129">
        <v>13</v>
      </c>
      <c r="S1129">
        <v>4</v>
      </c>
      <c r="T1129">
        <v>8</v>
      </c>
      <c r="U1129">
        <v>1</v>
      </c>
      <c r="V1129">
        <v>0</v>
      </c>
      <c r="W1129">
        <v>10</v>
      </c>
      <c r="X1129">
        <v>0</v>
      </c>
      <c r="Y1129">
        <v>0</v>
      </c>
      <c r="Z1129">
        <v>0</v>
      </c>
      <c r="AA1129">
        <v>0</v>
      </c>
      <c r="AB1129">
        <v>1</v>
      </c>
      <c r="AC1129">
        <v>0</v>
      </c>
      <c r="AD1129">
        <v>0</v>
      </c>
      <c r="AE1129">
        <v>4</v>
      </c>
      <c r="AF1129">
        <v>11</v>
      </c>
      <c r="AG1129">
        <v>36</v>
      </c>
      <c r="AH1129">
        <v>20</v>
      </c>
      <c r="AI1129">
        <v>0</v>
      </c>
      <c r="AJ1129">
        <v>42</v>
      </c>
      <c r="AK1129">
        <v>0</v>
      </c>
      <c r="AL1129">
        <v>0</v>
      </c>
      <c r="AM1129">
        <v>21</v>
      </c>
      <c r="AN1129">
        <v>31</v>
      </c>
      <c r="AO1129">
        <v>18</v>
      </c>
      <c r="AQ1129" t="str">
        <f t="shared" si="17"/>
        <v>Midfielder</v>
      </c>
    </row>
    <row r="1130" spans="1:43" x14ac:dyDescent="0.35">
      <c r="A1130" t="s">
        <v>683</v>
      </c>
      <c r="B1130" t="s">
        <v>47</v>
      </c>
      <c r="C1130" t="s">
        <v>1996</v>
      </c>
      <c r="D1130">
        <v>1992</v>
      </c>
      <c r="E1130">
        <v>24</v>
      </c>
      <c r="F1130" t="s">
        <v>50</v>
      </c>
      <c r="G1130" t="s">
        <v>684</v>
      </c>
      <c r="H1130">
        <v>9000000</v>
      </c>
      <c r="I1130">
        <v>8000000</v>
      </c>
      <c r="J1130" t="s">
        <v>55</v>
      </c>
      <c r="K1130">
        <v>22</v>
      </c>
      <c r="L1130">
        <v>1766</v>
      </c>
      <c r="M1130">
        <v>1</v>
      </c>
      <c r="N1130">
        <v>911</v>
      </c>
      <c r="O1130">
        <v>1</v>
      </c>
      <c r="P1130">
        <v>7</v>
      </c>
      <c r="Q1130">
        <v>0</v>
      </c>
      <c r="R1130">
        <v>1</v>
      </c>
      <c r="S1130">
        <v>5</v>
      </c>
      <c r="T1130">
        <v>9</v>
      </c>
      <c r="U1130">
        <v>2</v>
      </c>
      <c r="V1130">
        <v>1</v>
      </c>
      <c r="W1130">
        <v>18</v>
      </c>
      <c r="X1130">
        <v>0</v>
      </c>
      <c r="Y1130">
        <v>0</v>
      </c>
      <c r="Z1130">
        <v>0</v>
      </c>
      <c r="AA1130">
        <v>0</v>
      </c>
      <c r="AB1130">
        <v>5</v>
      </c>
      <c r="AC1130">
        <v>0</v>
      </c>
      <c r="AD1130">
        <v>0</v>
      </c>
      <c r="AE1130">
        <v>8</v>
      </c>
      <c r="AF1130">
        <v>7</v>
      </c>
      <c r="AG1130">
        <v>33</v>
      </c>
      <c r="AH1130">
        <v>27</v>
      </c>
      <c r="AI1130">
        <v>0</v>
      </c>
      <c r="AJ1130">
        <v>61</v>
      </c>
      <c r="AK1130">
        <v>1</v>
      </c>
      <c r="AL1130">
        <v>0</v>
      </c>
      <c r="AM1130">
        <v>29</v>
      </c>
      <c r="AN1130">
        <v>22</v>
      </c>
      <c r="AO1130">
        <v>24</v>
      </c>
      <c r="AQ1130" t="str">
        <f t="shared" si="17"/>
        <v>Midfielder</v>
      </c>
    </row>
    <row r="1131" spans="1:43" x14ac:dyDescent="0.35">
      <c r="A1131" t="s">
        <v>683</v>
      </c>
      <c r="B1131" t="s">
        <v>43</v>
      </c>
      <c r="C1131" t="s">
        <v>1997</v>
      </c>
      <c r="D1131">
        <v>1992</v>
      </c>
      <c r="E1131">
        <v>25</v>
      </c>
      <c r="F1131" t="s">
        <v>50</v>
      </c>
      <c r="G1131" t="s">
        <v>684</v>
      </c>
      <c r="H1131">
        <v>8000000</v>
      </c>
      <c r="I1131">
        <v>7000000</v>
      </c>
      <c r="J1131" t="s">
        <v>55</v>
      </c>
      <c r="K1131">
        <v>21</v>
      </c>
      <c r="L1131">
        <v>1562</v>
      </c>
      <c r="M1131">
        <v>2</v>
      </c>
      <c r="N1131">
        <v>757</v>
      </c>
      <c r="O1131">
        <v>0</v>
      </c>
      <c r="P1131">
        <v>3</v>
      </c>
      <c r="Q1131">
        <v>0</v>
      </c>
      <c r="R1131">
        <v>3</v>
      </c>
      <c r="S1131">
        <v>4</v>
      </c>
      <c r="T1131">
        <v>13</v>
      </c>
      <c r="U1131">
        <v>5</v>
      </c>
      <c r="V1131">
        <v>1</v>
      </c>
      <c r="W1131">
        <v>9</v>
      </c>
      <c r="X1131">
        <v>0</v>
      </c>
      <c r="Y1131">
        <v>0</v>
      </c>
      <c r="Z1131">
        <v>0</v>
      </c>
      <c r="AA1131">
        <v>0</v>
      </c>
      <c r="AB1131">
        <v>2</v>
      </c>
      <c r="AC1131">
        <v>8</v>
      </c>
      <c r="AD1131">
        <v>0</v>
      </c>
      <c r="AE1131">
        <v>8</v>
      </c>
      <c r="AF1131">
        <v>16</v>
      </c>
      <c r="AG1131">
        <v>24</v>
      </c>
      <c r="AH1131">
        <v>27</v>
      </c>
      <c r="AI1131">
        <v>0</v>
      </c>
      <c r="AJ1131">
        <v>53</v>
      </c>
      <c r="AK1131">
        <v>0</v>
      </c>
      <c r="AL1131">
        <v>0</v>
      </c>
      <c r="AM1131">
        <v>19</v>
      </c>
      <c r="AN1131">
        <v>20</v>
      </c>
      <c r="AO1131">
        <v>27</v>
      </c>
      <c r="AQ1131" t="str">
        <f t="shared" si="17"/>
        <v>Midfielder</v>
      </c>
    </row>
    <row r="1132" spans="1:43" x14ac:dyDescent="0.35">
      <c r="A1132" t="s">
        <v>683</v>
      </c>
      <c r="B1132" t="s">
        <v>46</v>
      </c>
      <c r="C1132" t="s">
        <v>1998</v>
      </c>
      <c r="D1132">
        <v>1992</v>
      </c>
      <c r="E1132">
        <v>26</v>
      </c>
      <c r="F1132" t="s">
        <v>50</v>
      </c>
      <c r="G1132" t="s">
        <v>684</v>
      </c>
      <c r="H1132">
        <v>7000000</v>
      </c>
      <c r="I1132">
        <v>25000000</v>
      </c>
      <c r="J1132" t="s">
        <v>55</v>
      </c>
      <c r="K1132">
        <v>24</v>
      </c>
      <c r="L1132">
        <v>1120</v>
      </c>
      <c r="M1132">
        <v>0</v>
      </c>
      <c r="N1132">
        <v>536</v>
      </c>
      <c r="O1132">
        <v>1</v>
      </c>
      <c r="P1132">
        <v>0</v>
      </c>
      <c r="Q1132">
        <v>0</v>
      </c>
      <c r="R1132">
        <v>12</v>
      </c>
      <c r="S1132">
        <v>5</v>
      </c>
      <c r="T1132">
        <v>15</v>
      </c>
      <c r="U1132">
        <v>1</v>
      </c>
      <c r="V1132">
        <v>1</v>
      </c>
      <c r="W1132">
        <v>5</v>
      </c>
      <c r="X1132">
        <v>0</v>
      </c>
      <c r="Y1132">
        <v>0</v>
      </c>
      <c r="Z1132">
        <v>0</v>
      </c>
      <c r="AA1132">
        <v>2</v>
      </c>
      <c r="AB1132">
        <v>2</v>
      </c>
      <c r="AC1132">
        <v>14</v>
      </c>
      <c r="AD1132">
        <v>0</v>
      </c>
      <c r="AE1132">
        <v>7</v>
      </c>
      <c r="AF1132">
        <v>9</v>
      </c>
      <c r="AG1132">
        <v>12</v>
      </c>
      <c r="AH1132">
        <v>13</v>
      </c>
      <c r="AI1132">
        <v>0</v>
      </c>
      <c r="AJ1132">
        <v>41</v>
      </c>
      <c r="AK1132">
        <v>0</v>
      </c>
      <c r="AL1132">
        <v>0</v>
      </c>
      <c r="AM1132">
        <v>15</v>
      </c>
      <c r="AN1132">
        <v>16</v>
      </c>
      <c r="AO1132">
        <v>20</v>
      </c>
      <c r="AQ1132" t="str">
        <f t="shared" si="17"/>
        <v>Midfielder</v>
      </c>
    </row>
    <row r="1133" spans="1:43" x14ac:dyDescent="0.35">
      <c r="A1133" t="s">
        <v>685</v>
      </c>
      <c r="B1133" t="s">
        <v>39</v>
      </c>
      <c r="C1133" t="s">
        <v>1999</v>
      </c>
      <c r="D1133">
        <v>1984</v>
      </c>
      <c r="E1133">
        <v>30</v>
      </c>
      <c r="F1133" t="s">
        <v>61</v>
      </c>
      <c r="G1133" t="s">
        <v>146</v>
      </c>
      <c r="H1133">
        <v>13500000</v>
      </c>
      <c r="I1133">
        <v>9000000</v>
      </c>
      <c r="J1133" t="s">
        <v>52</v>
      </c>
      <c r="K1133">
        <v>24</v>
      </c>
      <c r="L1133">
        <v>2049</v>
      </c>
      <c r="M1133">
        <v>0</v>
      </c>
      <c r="N1133">
        <v>1246</v>
      </c>
      <c r="O1133">
        <v>0</v>
      </c>
      <c r="P1133">
        <v>1</v>
      </c>
      <c r="Q1133">
        <v>1</v>
      </c>
      <c r="R1133">
        <v>0</v>
      </c>
      <c r="S1133">
        <v>1</v>
      </c>
      <c r="T1133">
        <v>8</v>
      </c>
      <c r="U1133">
        <v>0</v>
      </c>
      <c r="V1133">
        <v>0</v>
      </c>
      <c r="W1133">
        <v>58</v>
      </c>
      <c r="X1133">
        <v>0</v>
      </c>
      <c r="Y1133">
        <v>0</v>
      </c>
      <c r="Z1133">
        <v>0</v>
      </c>
      <c r="AA1133">
        <v>1</v>
      </c>
      <c r="AB1133">
        <v>0</v>
      </c>
      <c r="AC1133">
        <v>2</v>
      </c>
      <c r="AD1133">
        <v>0</v>
      </c>
      <c r="AE1133">
        <v>0</v>
      </c>
      <c r="AF1133">
        <v>10</v>
      </c>
      <c r="AG1133">
        <v>36</v>
      </c>
      <c r="AH1133">
        <v>7</v>
      </c>
      <c r="AI1133">
        <v>0</v>
      </c>
      <c r="AJ1133">
        <v>27</v>
      </c>
      <c r="AK1133">
        <v>0</v>
      </c>
      <c r="AL1133">
        <v>0</v>
      </c>
      <c r="AM1133">
        <v>108</v>
      </c>
      <c r="AN1133">
        <v>54</v>
      </c>
      <c r="AO1133">
        <v>16</v>
      </c>
      <c r="AQ1133" t="str">
        <f t="shared" si="17"/>
        <v>Defensive Forward</v>
      </c>
    </row>
    <row r="1134" spans="1:43" x14ac:dyDescent="0.35">
      <c r="A1134" t="s">
        <v>686</v>
      </c>
      <c r="B1134" t="s">
        <v>39</v>
      </c>
      <c r="C1134" t="s">
        <v>2000</v>
      </c>
      <c r="D1134">
        <v>1981</v>
      </c>
      <c r="E1134">
        <v>34</v>
      </c>
      <c r="F1134" t="s">
        <v>184</v>
      </c>
      <c r="G1134" t="s">
        <v>51</v>
      </c>
      <c r="H1134">
        <v>1350000</v>
      </c>
      <c r="I1134">
        <v>1350000</v>
      </c>
      <c r="J1134" t="s">
        <v>42</v>
      </c>
      <c r="K1134">
        <v>11</v>
      </c>
      <c r="L1134">
        <v>457</v>
      </c>
      <c r="M1134">
        <v>0</v>
      </c>
      <c r="N1134">
        <v>152</v>
      </c>
      <c r="O1134">
        <v>0</v>
      </c>
      <c r="P1134">
        <v>0</v>
      </c>
      <c r="Q1134">
        <v>0</v>
      </c>
      <c r="R1134">
        <v>7</v>
      </c>
      <c r="S1134">
        <v>0</v>
      </c>
      <c r="T1134">
        <v>7</v>
      </c>
      <c r="U1134">
        <v>3</v>
      </c>
      <c r="V1134">
        <v>0</v>
      </c>
      <c r="W1134">
        <v>7</v>
      </c>
      <c r="X1134">
        <v>0</v>
      </c>
      <c r="Y1134">
        <v>0</v>
      </c>
      <c r="Z1134">
        <v>0</v>
      </c>
      <c r="AA1134">
        <v>9</v>
      </c>
      <c r="AB1134">
        <v>0</v>
      </c>
      <c r="AC1134">
        <v>0</v>
      </c>
      <c r="AD1134">
        <v>0</v>
      </c>
      <c r="AE1134">
        <v>1</v>
      </c>
      <c r="AF1134">
        <v>0</v>
      </c>
      <c r="AG1134">
        <v>4</v>
      </c>
      <c r="AH1134">
        <v>13</v>
      </c>
      <c r="AI1134">
        <v>0</v>
      </c>
      <c r="AJ1134">
        <v>3</v>
      </c>
      <c r="AK1134">
        <v>0</v>
      </c>
      <c r="AL1134">
        <v>0</v>
      </c>
      <c r="AM1134">
        <v>9</v>
      </c>
      <c r="AN1134">
        <v>50</v>
      </c>
      <c r="AO1134">
        <v>33</v>
      </c>
      <c r="AQ1134" t="str">
        <f t="shared" si="17"/>
        <v>Forward</v>
      </c>
    </row>
    <row r="1135" spans="1:43" x14ac:dyDescent="0.35">
      <c r="A1135" t="s">
        <v>686</v>
      </c>
      <c r="B1135" t="s">
        <v>47</v>
      </c>
      <c r="C1135" t="s">
        <v>2001</v>
      </c>
      <c r="D1135">
        <v>1981</v>
      </c>
      <c r="E1135">
        <v>35</v>
      </c>
      <c r="F1135" t="s">
        <v>184</v>
      </c>
      <c r="G1135" t="s">
        <v>51</v>
      </c>
      <c r="H1135">
        <v>1350000</v>
      </c>
      <c r="I1135">
        <v>1350000</v>
      </c>
      <c r="J1135" t="s">
        <v>42</v>
      </c>
      <c r="K1135">
        <v>27</v>
      </c>
      <c r="L1135">
        <v>1335</v>
      </c>
      <c r="M1135">
        <v>7</v>
      </c>
      <c r="N1135">
        <v>496</v>
      </c>
      <c r="O1135">
        <v>2</v>
      </c>
      <c r="P1135">
        <v>3</v>
      </c>
      <c r="Q1135">
        <v>0</v>
      </c>
      <c r="R1135">
        <v>14</v>
      </c>
      <c r="S1135">
        <v>5</v>
      </c>
      <c r="T1135">
        <v>37</v>
      </c>
      <c r="U1135">
        <v>16</v>
      </c>
      <c r="V1135">
        <v>0</v>
      </c>
      <c r="W1135">
        <v>21</v>
      </c>
      <c r="X1135">
        <v>3</v>
      </c>
      <c r="Y1135">
        <v>0</v>
      </c>
      <c r="Z1135">
        <v>0</v>
      </c>
      <c r="AA1135">
        <v>7</v>
      </c>
      <c r="AB1135">
        <v>2</v>
      </c>
      <c r="AC1135">
        <v>5</v>
      </c>
      <c r="AD1135">
        <v>0</v>
      </c>
      <c r="AE1135">
        <v>0</v>
      </c>
      <c r="AF1135">
        <v>4</v>
      </c>
      <c r="AG1135">
        <v>3</v>
      </c>
      <c r="AH1135">
        <v>26</v>
      </c>
      <c r="AI1135">
        <v>0</v>
      </c>
      <c r="AJ1135">
        <v>4</v>
      </c>
      <c r="AK1135">
        <v>0</v>
      </c>
      <c r="AL1135">
        <v>0</v>
      </c>
      <c r="AM1135">
        <v>26</v>
      </c>
      <c r="AN1135">
        <v>171</v>
      </c>
      <c r="AO1135">
        <v>70</v>
      </c>
      <c r="AQ1135" t="str">
        <f t="shared" si="17"/>
        <v>Forward</v>
      </c>
    </row>
    <row r="1136" spans="1:43" x14ac:dyDescent="0.35">
      <c r="A1136" t="s">
        <v>686</v>
      </c>
      <c r="B1136" t="s">
        <v>43</v>
      </c>
      <c r="C1136" t="s">
        <v>2002</v>
      </c>
      <c r="D1136">
        <v>1981</v>
      </c>
      <c r="E1136">
        <v>36</v>
      </c>
      <c r="F1136" t="s">
        <v>184</v>
      </c>
      <c r="G1136" t="s">
        <v>51</v>
      </c>
      <c r="H1136">
        <v>1350000</v>
      </c>
      <c r="I1136">
        <v>900000</v>
      </c>
      <c r="J1136" t="s">
        <v>42</v>
      </c>
      <c r="K1136">
        <v>31</v>
      </c>
      <c r="L1136">
        <v>1555</v>
      </c>
      <c r="M1136">
        <v>5</v>
      </c>
      <c r="N1136">
        <v>634</v>
      </c>
      <c r="O1136">
        <v>2</v>
      </c>
      <c r="P1136">
        <v>4</v>
      </c>
      <c r="Q1136">
        <v>0</v>
      </c>
      <c r="R1136">
        <v>17</v>
      </c>
      <c r="S1136">
        <v>4</v>
      </c>
      <c r="T1136">
        <v>23</v>
      </c>
      <c r="U1136">
        <v>9</v>
      </c>
      <c r="V1136">
        <v>2</v>
      </c>
      <c r="W1136">
        <v>28</v>
      </c>
      <c r="X1136">
        <v>3</v>
      </c>
      <c r="Y1136">
        <v>0</v>
      </c>
      <c r="Z1136">
        <v>0</v>
      </c>
      <c r="AA1136">
        <v>14</v>
      </c>
      <c r="AB1136">
        <v>1</v>
      </c>
      <c r="AC1136">
        <v>14</v>
      </c>
      <c r="AD1136">
        <v>0</v>
      </c>
      <c r="AE1136">
        <v>3</v>
      </c>
      <c r="AF1136">
        <v>4</v>
      </c>
      <c r="AG1136">
        <v>1</v>
      </c>
      <c r="AH1136">
        <v>40</v>
      </c>
      <c r="AI1136">
        <v>0</v>
      </c>
      <c r="AJ1136">
        <v>2</v>
      </c>
      <c r="AK1136">
        <v>0</v>
      </c>
      <c r="AL1136">
        <v>0</v>
      </c>
      <c r="AM1136">
        <v>31</v>
      </c>
      <c r="AN1136">
        <v>243</v>
      </c>
      <c r="AO1136">
        <v>132</v>
      </c>
      <c r="AQ1136" t="str">
        <f t="shared" si="17"/>
        <v>Forward</v>
      </c>
    </row>
    <row r="1137" spans="1:43" x14ac:dyDescent="0.35">
      <c r="A1137" t="s">
        <v>687</v>
      </c>
      <c r="B1137" t="s">
        <v>39</v>
      </c>
      <c r="C1137" t="s">
        <v>2003</v>
      </c>
      <c r="D1137">
        <v>1985</v>
      </c>
      <c r="E1137">
        <v>30</v>
      </c>
      <c r="F1137" t="s">
        <v>184</v>
      </c>
      <c r="G1137" t="s">
        <v>108</v>
      </c>
      <c r="H1137">
        <v>1800000</v>
      </c>
      <c r="I1137">
        <v>1350000</v>
      </c>
      <c r="J1137" t="s">
        <v>52</v>
      </c>
      <c r="K1137">
        <v>11</v>
      </c>
      <c r="L1137">
        <v>816</v>
      </c>
      <c r="M1137">
        <v>0</v>
      </c>
      <c r="N1137">
        <v>300</v>
      </c>
      <c r="O1137">
        <v>1</v>
      </c>
      <c r="P1137">
        <v>1</v>
      </c>
      <c r="Q1137">
        <v>0</v>
      </c>
      <c r="R1137">
        <v>2</v>
      </c>
      <c r="S1137">
        <v>1</v>
      </c>
      <c r="T1137">
        <v>7</v>
      </c>
      <c r="U1137">
        <v>2</v>
      </c>
      <c r="V1137">
        <v>0</v>
      </c>
      <c r="W1137">
        <v>12</v>
      </c>
      <c r="X1137">
        <v>0</v>
      </c>
      <c r="Y1137">
        <v>0</v>
      </c>
      <c r="Z1137">
        <v>0</v>
      </c>
      <c r="AA1137">
        <v>0</v>
      </c>
      <c r="AB1137">
        <v>1</v>
      </c>
      <c r="AC1137">
        <v>0</v>
      </c>
      <c r="AD1137">
        <v>0</v>
      </c>
      <c r="AE1137">
        <v>14</v>
      </c>
      <c r="AF1137">
        <v>8</v>
      </c>
      <c r="AG1137">
        <v>18</v>
      </c>
      <c r="AH1137">
        <v>12</v>
      </c>
      <c r="AI1137">
        <v>1</v>
      </c>
      <c r="AJ1137">
        <v>31</v>
      </c>
      <c r="AK1137">
        <v>0</v>
      </c>
      <c r="AL1137">
        <v>0</v>
      </c>
      <c r="AM1137">
        <v>32</v>
      </c>
      <c r="AN1137">
        <v>12</v>
      </c>
      <c r="AO1137">
        <v>3</v>
      </c>
      <c r="AQ1137" t="str">
        <f t="shared" si="17"/>
        <v>Defensive Forward</v>
      </c>
    </row>
    <row r="1138" spans="1:43" x14ac:dyDescent="0.35">
      <c r="A1138" t="s">
        <v>687</v>
      </c>
      <c r="B1138" t="s">
        <v>46</v>
      </c>
      <c r="C1138" t="s">
        <v>2004</v>
      </c>
      <c r="D1138">
        <v>1985</v>
      </c>
      <c r="E1138">
        <v>33</v>
      </c>
      <c r="F1138" t="s">
        <v>56</v>
      </c>
      <c r="G1138" t="s">
        <v>108</v>
      </c>
      <c r="H1138">
        <v>1350000</v>
      </c>
      <c r="I1138">
        <v>1350000</v>
      </c>
      <c r="J1138" t="s">
        <v>52</v>
      </c>
      <c r="K1138">
        <v>19</v>
      </c>
      <c r="L1138">
        <v>1672</v>
      </c>
      <c r="M1138">
        <v>0</v>
      </c>
      <c r="N1138">
        <v>555</v>
      </c>
      <c r="O1138">
        <v>0</v>
      </c>
      <c r="P1138">
        <v>9</v>
      </c>
      <c r="Q1138">
        <v>0</v>
      </c>
      <c r="R1138">
        <v>0</v>
      </c>
      <c r="S1138">
        <v>2</v>
      </c>
      <c r="T1138">
        <v>12</v>
      </c>
      <c r="U1138">
        <v>1</v>
      </c>
      <c r="V1138">
        <v>0</v>
      </c>
      <c r="W1138">
        <v>28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11</v>
      </c>
      <c r="AD1138">
        <v>0</v>
      </c>
      <c r="AE1138">
        <v>37</v>
      </c>
      <c r="AF1138">
        <v>12</v>
      </c>
      <c r="AG1138">
        <v>31</v>
      </c>
      <c r="AH1138">
        <v>22</v>
      </c>
      <c r="AI1138">
        <v>1</v>
      </c>
      <c r="AJ1138">
        <v>32</v>
      </c>
      <c r="AK1138">
        <v>0</v>
      </c>
      <c r="AL1138">
        <v>1</v>
      </c>
      <c r="AM1138">
        <v>66</v>
      </c>
      <c r="AN1138">
        <v>32</v>
      </c>
      <c r="AO1138">
        <v>28</v>
      </c>
      <c r="AQ1138" t="str">
        <f t="shared" si="17"/>
        <v>Defensive Forward</v>
      </c>
    </row>
    <row r="1139" spans="1:43" x14ac:dyDescent="0.35">
      <c r="A1139" t="s">
        <v>687</v>
      </c>
      <c r="B1139" t="s">
        <v>43</v>
      </c>
      <c r="C1139" t="s">
        <v>2005</v>
      </c>
      <c r="D1139">
        <v>1985</v>
      </c>
      <c r="E1139">
        <v>32</v>
      </c>
      <c r="F1139" t="s">
        <v>56</v>
      </c>
      <c r="G1139" t="s">
        <v>108</v>
      </c>
      <c r="H1139">
        <v>1350000</v>
      </c>
      <c r="I1139">
        <v>1350000</v>
      </c>
      <c r="J1139" t="s">
        <v>52</v>
      </c>
      <c r="K1139">
        <v>13</v>
      </c>
      <c r="L1139">
        <v>1125</v>
      </c>
      <c r="M1139">
        <v>0</v>
      </c>
      <c r="N1139">
        <v>418</v>
      </c>
      <c r="O1139">
        <v>0</v>
      </c>
      <c r="P1139">
        <v>5</v>
      </c>
      <c r="Q1139">
        <v>0</v>
      </c>
      <c r="R1139">
        <v>0</v>
      </c>
      <c r="S1139">
        <v>1</v>
      </c>
      <c r="T1139">
        <v>2</v>
      </c>
      <c r="U1139">
        <v>2</v>
      </c>
      <c r="V1139">
        <v>0</v>
      </c>
      <c r="W1139">
        <v>32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19</v>
      </c>
      <c r="AF1139">
        <v>6</v>
      </c>
      <c r="AG1139">
        <v>22</v>
      </c>
      <c r="AH1139">
        <v>22</v>
      </c>
      <c r="AI1139">
        <v>0</v>
      </c>
      <c r="AJ1139">
        <v>17</v>
      </c>
      <c r="AK1139">
        <v>0</v>
      </c>
      <c r="AL1139">
        <v>0</v>
      </c>
      <c r="AM1139">
        <v>66</v>
      </c>
      <c r="AN1139">
        <v>29</v>
      </c>
      <c r="AO1139">
        <v>27</v>
      </c>
      <c r="AQ1139" t="str">
        <f t="shared" si="17"/>
        <v>Defensive Forward</v>
      </c>
    </row>
    <row r="1140" spans="1:43" x14ac:dyDescent="0.35">
      <c r="A1140" t="s">
        <v>687</v>
      </c>
      <c r="B1140" t="s">
        <v>47</v>
      </c>
      <c r="C1140" t="s">
        <v>2006</v>
      </c>
      <c r="D1140">
        <v>1985</v>
      </c>
      <c r="E1140">
        <v>31</v>
      </c>
      <c r="F1140" t="s">
        <v>184</v>
      </c>
      <c r="G1140" t="s">
        <v>108</v>
      </c>
      <c r="H1140">
        <v>1350000</v>
      </c>
      <c r="I1140">
        <v>1350000</v>
      </c>
      <c r="J1140" t="s">
        <v>52</v>
      </c>
      <c r="K1140">
        <v>15</v>
      </c>
      <c r="L1140">
        <v>1170</v>
      </c>
      <c r="M1140">
        <v>0</v>
      </c>
      <c r="N1140">
        <v>397</v>
      </c>
      <c r="O1140">
        <v>0</v>
      </c>
      <c r="P1140">
        <v>4</v>
      </c>
      <c r="Q1140">
        <v>1</v>
      </c>
      <c r="R1140">
        <v>1</v>
      </c>
      <c r="S1140">
        <v>3</v>
      </c>
      <c r="T1140">
        <v>11</v>
      </c>
      <c r="U1140">
        <v>2</v>
      </c>
      <c r="V1140">
        <v>0</v>
      </c>
      <c r="W1140">
        <v>10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28</v>
      </c>
      <c r="AF1140">
        <v>6</v>
      </c>
      <c r="AG1140">
        <v>27</v>
      </c>
      <c r="AH1140">
        <v>25</v>
      </c>
      <c r="AI1140">
        <v>0</v>
      </c>
      <c r="AJ1140">
        <v>32</v>
      </c>
      <c r="AK1140">
        <v>0</v>
      </c>
      <c r="AL1140">
        <v>0</v>
      </c>
      <c r="AM1140">
        <v>27</v>
      </c>
      <c r="AN1140">
        <v>8</v>
      </c>
      <c r="AO1140">
        <v>16</v>
      </c>
      <c r="AQ1140" t="str">
        <f t="shared" si="17"/>
        <v>Defensive Forward</v>
      </c>
    </row>
    <row r="1141" spans="1:43" x14ac:dyDescent="0.35">
      <c r="A1141" t="s">
        <v>688</v>
      </c>
      <c r="B1141" t="s">
        <v>46</v>
      </c>
      <c r="C1141" t="s">
        <v>2007</v>
      </c>
      <c r="D1141">
        <v>2000</v>
      </c>
      <c r="E1141">
        <v>18</v>
      </c>
      <c r="F1141" t="s">
        <v>114</v>
      </c>
      <c r="G1141" t="s">
        <v>51</v>
      </c>
      <c r="H1141">
        <v>1100000</v>
      </c>
      <c r="I1141">
        <v>2750000</v>
      </c>
      <c r="J1141" t="s">
        <v>55</v>
      </c>
      <c r="K1141">
        <v>13</v>
      </c>
      <c r="L1141">
        <v>329</v>
      </c>
      <c r="M1141">
        <v>1</v>
      </c>
      <c r="N1141">
        <v>231</v>
      </c>
      <c r="O1141">
        <v>0</v>
      </c>
      <c r="P1141">
        <v>0</v>
      </c>
      <c r="Q1141">
        <v>0</v>
      </c>
      <c r="R1141">
        <v>10</v>
      </c>
      <c r="S1141">
        <v>2</v>
      </c>
      <c r="T1141">
        <v>14</v>
      </c>
      <c r="U1141">
        <v>6</v>
      </c>
      <c r="V1141">
        <v>1</v>
      </c>
      <c r="W1141">
        <v>0</v>
      </c>
      <c r="X1141">
        <v>1</v>
      </c>
      <c r="Y1141">
        <v>0</v>
      </c>
      <c r="Z1141">
        <v>0</v>
      </c>
      <c r="AA1141">
        <v>0</v>
      </c>
      <c r="AB1141">
        <v>3</v>
      </c>
      <c r="AC1141">
        <v>8</v>
      </c>
      <c r="AD1141">
        <v>3</v>
      </c>
      <c r="AE1141">
        <v>4</v>
      </c>
      <c r="AF1141">
        <v>0</v>
      </c>
      <c r="AG1141">
        <v>4</v>
      </c>
      <c r="AH1141">
        <v>4</v>
      </c>
      <c r="AI1141">
        <v>0</v>
      </c>
      <c r="AJ1141">
        <v>7</v>
      </c>
      <c r="AK1141">
        <v>0</v>
      </c>
      <c r="AL1141">
        <v>0</v>
      </c>
      <c r="AM1141">
        <v>1</v>
      </c>
      <c r="AN1141">
        <v>2</v>
      </c>
      <c r="AO1141">
        <v>7</v>
      </c>
      <c r="AQ1141" t="str">
        <f t="shared" si="17"/>
        <v>Midfielder</v>
      </c>
    </row>
    <row r="1142" spans="1:43" x14ac:dyDescent="0.35">
      <c r="A1142" t="s">
        <v>689</v>
      </c>
      <c r="B1142" t="s">
        <v>47</v>
      </c>
      <c r="C1142" t="s">
        <v>2008</v>
      </c>
      <c r="D1142">
        <v>1982</v>
      </c>
      <c r="E1142">
        <v>33</v>
      </c>
      <c r="F1142" t="s">
        <v>54</v>
      </c>
      <c r="G1142" t="s">
        <v>51</v>
      </c>
      <c r="H1142">
        <v>3100000</v>
      </c>
      <c r="I1142">
        <v>1800000</v>
      </c>
      <c r="J1142" t="s">
        <v>52</v>
      </c>
      <c r="K1142">
        <v>27</v>
      </c>
      <c r="L1142">
        <v>2249</v>
      </c>
      <c r="M1142">
        <v>3</v>
      </c>
      <c r="N1142">
        <v>1216</v>
      </c>
      <c r="O1142">
        <v>2</v>
      </c>
      <c r="P1142">
        <v>4</v>
      </c>
      <c r="Q1142">
        <v>0</v>
      </c>
      <c r="R1142">
        <v>2</v>
      </c>
      <c r="S1142">
        <v>2</v>
      </c>
      <c r="T1142">
        <v>14</v>
      </c>
      <c r="U1142">
        <v>6</v>
      </c>
      <c r="V1142">
        <v>0</v>
      </c>
      <c r="W1142">
        <v>127</v>
      </c>
      <c r="X1142">
        <v>2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1</v>
      </c>
      <c r="AF1142">
        <v>24</v>
      </c>
      <c r="AG1142">
        <v>41</v>
      </c>
      <c r="AH1142">
        <v>13</v>
      </c>
      <c r="AI1142">
        <v>2</v>
      </c>
      <c r="AJ1142">
        <v>43</v>
      </c>
      <c r="AK1142">
        <v>0</v>
      </c>
      <c r="AL1142">
        <v>0</v>
      </c>
      <c r="AM1142">
        <v>208</v>
      </c>
      <c r="AN1142">
        <v>90</v>
      </c>
      <c r="AO1142">
        <v>54</v>
      </c>
      <c r="AQ1142" t="str">
        <f t="shared" si="17"/>
        <v>Defensive Forward</v>
      </c>
    </row>
    <row r="1143" spans="1:43" x14ac:dyDescent="0.35">
      <c r="A1143" t="s">
        <v>689</v>
      </c>
      <c r="B1143" t="s">
        <v>43</v>
      </c>
      <c r="C1143" t="s">
        <v>2009</v>
      </c>
      <c r="D1143">
        <v>1982</v>
      </c>
      <c r="E1143">
        <v>35</v>
      </c>
      <c r="F1143" t="s">
        <v>54</v>
      </c>
      <c r="G1143" t="s">
        <v>51</v>
      </c>
      <c r="H1143">
        <v>1800000</v>
      </c>
      <c r="I1143">
        <v>1350000</v>
      </c>
      <c r="J1143" t="s">
        <v>52</v>
      </c>
      <c r="K1143">
        <v>25</v>
      </c>
      <c r="L1143">
        <v>2065</v>
      </c>
      <c r="M1143">
        <v>0</v>
      </c>
      <c r="N1143">
        <v>966</v>
      </c>
      <c r="O1143">
        <v>0</v>
      </c>
      <c r="P1143">
        <v>2</v>
      </c>
      <c r="Q1143">
        <v>0</v>
      </c>
      <c r="R1143">
        <v>2</v>
      </c>
      <c r="S1143">
        <v>2</v>
      </c>
      <c r="T1143">
        <v>2</v>
      </c>
      <c r="U1143">
        <v>2</v>
      </c>
      <c r="V1143">
        <v>0</v>
      </c>
      <c r="W1143">
        <v>89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4</v>
      </c>
      <c r="AF1143">
        <v>20</v>
      </c>
      <c r="AG1143">
        <v>39</v>
      </c>
      <c r="AH1143">
        <v>8</v>
      </c>
      <c r="AI1143">
        <v>0</v>
      </c>
      <c r="AJ1143">
        <v>33</v>
      </c>
      <c r="AK1143">
        <v>0</v>
      </c>
      <c r="AL1143">
        <v>0</v>
      </c>
      <c r="AM1143">
        <v>177</v>
      </c>
      <c r="AN1143">
        <v>67</v>
      </c>
      <c r="AO1143">
        <v>42</v>
      </c>
      <c r="AQ1143" t="str">
        <f t="shared" si="17"/>
        <v>Defensive Forward</v>
      </c>
    </row>
    <row r="1144" spans="1:43" x14ac:dyDescent="0.35">
      <c r="A1144" t="s">
        <v>689</v>
      </c>
      <c r="B1144" t="s">
        <v>39</v>
      </c>
      <c r="C1144" t="s">
        <v>2010</v>
      </c>
      <c r="D1144">
        <v>1982</v>
      </c>
      <c r="E1144">
        <v>32</v>
      </c>
      <c r="F1144" t="s">
        <v>54</v>
      </c>
      <c r="G1144" t="s">
        <v>51</v>
      </c>
      <c r="H1144">
        <v>4000000</v>
      </c>
      <c r="I1144">
        <v>3100000</v>
      </c>
      <c r="J1144" t="s">
        <v>52</v>
      </c>
      <c r="K1144">
        <v>21</v>
      </c>
      <c r="L1144">
        <v>1851</v>
      </c>
      <c r="M1144">
        <v>0</v>
      </c>
      <c r="N1144">
        <v>1036</v>
      </c>
      <c r="O1144">
        <v>0</v>
      </c>
      <c r="P1144">
        <v>0</v>
      </c>
      <c r="Q1144">
        <v>0</v>
      </c>
      <c r="R1144">
        <v>0</v>
      </c>
      <c r="S1144">
        <v>2</v>
      </c>
      <c r="T1144">
        <v>9</v>
      </c>
      <c r="U1144">
        <v>1</v>
      </c>
      <c r="V1144">
        <v>1</v>
      </c>
      <c r="W1144">
        <v>92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2</v>
      </c>
      <c r="AD1144">
        <v>0</v>
      </c>
      <c r="AE1144">
        <v>3</v>
      </c>
      <c r="AF1144">
        <v>21</v>
      </c>
      <c r="AG1144">
        <v>50</v>
      </c>
      <c r="AH1144">
        <v>9</v>
      </c>
      <c r="AI1144">
        <v>0</v>
      </c>
      <c r="AJ1144">
        <v>39</v>
      </c>
      <c r="AK1144">
        <v>3</v>
      </c>
      <c r="AL1144">
        <v>0</v>
      </c>
      <c r="AM1144">
        <v>170</v>
      </c>
      <c r="AN1144">
        <v>58</v>
      </c>
      <c r="AO1144">
        <v>38</v>
      </c>
      <c r="AQ1144" t="str">
        <f t="shared" si="17"/>
        <v>Defensive Forward</v>
      </c>
    </row>
    <row r="1145" spans="1:43" x14ac:dyDescent="0.35">
      <c r="A1145" t="s">
        <v>690</v>
      </c>
      <c r="B1145" t="s">
        <v>39</v>
      </c>
      <c r="C1145" t="s">
        <v>2011</v>
      </c>
      <c r="D1145">
        <v>1992</v>
      </c>
      <c r="E1145">
        <v>23</v>
      </c>
      <c r="F1145" t="s">
        <v>129</v>
      </c>
      <c r="G1145" t="s">
        <v>51</v>
      </c>
      <c r="H1145">
        <v>13500000</v>
      </c>
      <c r="I1145">
        <v>12600000</v>
      </c>
      <c r="J1145" t="s">
        <v>52</v>
      </c>
      <c r="K1145">
        <v>10</v>
      </c>
      <c r="L1145">
        <v>528</v>
      </c>
      <c r="M1145">
        <v>0</v>
      </c>
      <c r="N1145">
        <v>320</v>
      </c>
      <c r="O1145">
        <v>0</v>
      </c>
      <c r="P1145">
        <v>0</v>
      </c>
      <c r="Q1145">
        <v>0</v>
      </c>
      <c r="R1145">
        <v>4</v>
      </c>
      <c r="S1145">
        <v>2</v>
      </c>
      <c r="T1145">
        <v>1</v>
      </c>
      <c r="U1145">
        <v>0</v>
      </c>
      <c r="V1145">
        <v>0</v>
      </c>
      <c r="W1145">
        <v>14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3</v>
      </c>
      <c r="AF1145">
        <v>1</v>
      </c>
      <c r="AG1145">
        <v>13</v>
      </c>
      <c r="AH1145">
        <v>4</v>
      </c>
      <c r="AI1145">
        <v>0</v>
      </c>
      <c r="AJ1145">
        <v>9</v>
      </c>
      <c r="AK1145">
        <v>0</v>
      </c>
      <c r="AL1145">
        <v>0</v>
      </c>
      <c r="AM1145">
        <v>24</v>
      </c>
      <c r="AN1145">
        <v>20</v>
      </c>
      <c r="AO1145">
        <v>4</v>
      </c>
      <c r="AQ1145" t="str">
        <f t="shared" si="17"/>
        <v>Defensive Forward</v>
      </c>
    </row>
    <row r="1146" spans="1:43" x14ac:dyDescent="0.35">
      <c r="A1146" t="s">
        <v>690</v>
      </c>
      <c r="B1146" t="s">
        <v>43</v>
      </c>
      <c r="C1146" t="s">
        <v>2012</v>
      </c>
      <c r="D1146">
        <v>1992</v>
      </c>
      <c r="E1146">
        <v>25</v>
      </c>
      <c r="F1146" t="s">
        <v>129</v>
      </c>
      <c r="G1146" t="s">
        <v>51</v>
      </c>
      <c r="H1146">
        <v>12600000</v>
      </c>
      <c r="I1146">
        <v>18000000</v>
      </c>
      <c r="J1146" t="s">
        <v>52</v>
      </c>
      <c r="K1146">
        <v>23</v>
      </c>
      <c r="L1146">
        <v>1975</v>
      </c>
      <c r="M1146">
        <v>0</v>
      </c>
      <c r="N1146">
        <v>1083</v>
      </c>
      <c r="O1146">
        <v>0</v>
      </c>
      <c r="P1146">
        <v>2</v>
      </c>
      <c r="Q1146">
        <v>0</v>
      </c>
      <c r="R1146">
        <v>0</v>
      </c>
      <c r="S1146">
        <v>2</v>
      </c>
      <c r="T1146">
        <v>0</v>
      </c>
      <c r="U1146">
        <v>0</v>
      </c>
      <c r="V1146">
        <v>1</v>
      </c>
      <c r="W1146">
        <v>80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2</v>
      </c>
      <c r="AF1146">
        <v>17</v>
      </c>
      <c r="AG1146">
        <v>41</v>
      </c>
      <c r="AH1146">
        <v>10</v>
      </c>
      <c r="AI1146">
        <v>0</v>
      </c>
      <c r="AJ1146">
        <v>25</v>
      </c>
      <c r="AK1146">
        <v>0</v>
      </c>
      <c r="AL1146">
        <v>1</v>
      </c>
      <c r="AM1146">
        <v>129</v>
      </c>
      <c r="AN1146">
        <v>57</v>
      </c>
      <c r="AO1146">
        <v>22</v>
      </c>
      <c r="AQ1146" t="str">
        <f t="shared" si="17"/>
        <v>Defensive Forward</v>
      </c>
    </row>
    <row r="1147" spans="1:43" x14ac:dyDescent="0.35">
      <c r="A1147" t="s">
        <v>690</v>
      </c>
      <c r="B1147" t="s">
        <v>46</v>
      </c>
      <c r="C1147" t="s">
        <v>2013</v>
      </c>
      <c r="D1147">
        <v>1992</v>
      </c>
      <c r="E1147">
        <v>26</v>
      </c>
      <c r="F1147" t="s">
        <v>129</v>
      </c>
      <c r="G1147" t="s">
        <v>51</v>
      </c>
      <c r="H1147">
        <v>18000000</v>
      </c>
      <c r="I1147">
        <v>18000000</v>
      </c>
      <c r="J1147" t="s">
        <v>52</v>
      </c>
      <c r="K1147">
        <v>18</v>
      </c>
      <c r="L1147">
        <v>1262</v>
      </c>
      <c r="M1147">
        <v>0</v>
      </c>
      <c r="N1147">
        <v>754</v>
      </c>
      <c r="O1147">
        <v>1</v>
      </c>
      <c r="P1147">
        <v>1</v>
      </c>
      <c r="Q1147">
        <v>0</v>
      </c>
      <c r="R1147">
        <v>3</v>
      </c>
      <c r="S1147">
        <v>3</v>
      </c>
      <c r="T1147">
        <v>5</v>
      </c>
      <c r="U1147">
        <v>2</v>
      </c>
      <c r="V1147">
        <v>0</v>
      </c>
      <c r="W1147">
        <v>28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3</v>
      </c>
      <c r="AD1147">
        <v>0</v>
      </c>
      <c r="AE1147">
        <v>1</v>
      </c>
      <c r="AF1147">
        <v>11</v>
      </c>
      <c r="AG1147">
        <v>23</v>
      </c>
      <c r="AH1147">
        <v>8</v>
      </c>
      <c r="AI1147">
        <v>1</v>
      </c>
      <c r="AJ1147">
        <v>19</v>
      </c>
      <c r="AK1147">
        <v>0</v>
      </c>
      <c r="AL1147">
        <v>0</v>
      </c>
      <c r="AM1147">
        <v>62</v>
      </c>
      <c r="AN1147">
        <v>46</v>
      </c>
      <c r="AO1147">
        <v>18</v>
      </c>
      <c r="AQ1147" t="str">
        <f t="shared" si="17"/>
        <v>Defensive Forward</v>
      </c>
    </row>
    <row r="1148" spans="1:43" x14ac:dyDescent="0.35">
      <c r="A1148" t="s">
        <v>690</v>
      </c>
      <c r="B1148" t="s">
        <v>47</v>
      </c>
      <c r="C1148" t="s">
        <v>2014</v>
      </c>
      <c r="D1148">
        <v>1992</v>
      </c>
      <c r="E1148">
        <v>24</v>
      </c>
      <c r="F1148" t="s">
        <v>129</v>
      </c>
      <c r="G1148" t="s">
        <v>51</v>
      </c>
      <c r="H1148">
        <v>12600000</v>
      </c>
      <c r="I1148">
        <v>12600000</v>
      </c>
      <c r="J1148" t="s">
        <v>52</v>
      </c>
      <c r="K1148">
        <v>18</v>
      </c>
      <c r="L1148">
        <v>1585</v>
      </c>
      <c r="M1148">
        <v>0</v>
      </c>
      <c r="N1148">
        <v>791</v>
      </c>
      <c r="O1148">
        <v>0</v>
      </c>
      <c r="P1148">
        <v>2</v>
      </c>
      <c r="Q1148">
        <v>0</v>
      </c>
      <c r="R1148">
        <v>0</v>
      </c>
      <c r="S1148">
        <v>1</v>
      </c>
      <c r="T1148">
        <v>3</v>
      </c>
      <c r="U1148">
        <v>0</v>
      </c>
      <c r="V1148">
        <v>0</v>
      </c>
      <c r="W1148">
        <v>88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1</v>
      </c>
      <c r="AF1148">
        <v>16</v>
      </c>
      <c r="AG1148">
        <v>27</v>
      </c>
      <c r="AH1148">
        <v>9</v>
      </c>
      <c r="AI1148">
        <v>1</v>
      </c>
      <c r="AJ1148">
        <v>34</v>
      </c>
      <c r="AK1148">
        <v>0</v>
      </c>
      <c r="AL1148">
        <v>0</v>
      </c>
      <c r="AM1148">
        <v>138</v>
      </c>
      <c r="AN1148">
        <v>46</v>
      </c>
      <c r="AO1148">
        <v>21</v>
      </c>
      <c r="AQ1148" t="str">
        <f t="shared" si="17"/>
        <v>Defensive Forward</v>
      </c>
    </row>
    <row r="1149" spans="1:43" x14ac:dyDescent="0.35">
      <c r="A1149" t="s">
        <v>691</v>
      </c>
      <c r="B1149" t="s">
        <v>43</v>
      </c>
      <c r="C1149" t="s">
        <v>2015</v>
      </c>
      <c r="D1149">
        <v>1996</v>
      </c>
      <c r="E1149">
        <v>21</v>
      </c>
      <c r="F1149" t="s">
        <v>58</v>
      </c>
      <c r="G1149" t="s">
        <v>152</v>
      </c>
      <c r="H1149">
        <v>2750000</v>
      </c>
      <c r="I1149">
        <v>7700000</v>
      </c>
      <c r="J1149" t="s">
        <v>55</v>
      </c>
      <c r="K1149">
        <v>16</v>
      </c>
      <c r="L1149">
        <v>760</v>
      </c>
      <c r="M1149">
        <v>0</v>
      </c>
      <c r="N1149">
        <v>371</v>
      </c>
      <c r="O1149">
        <v>0</v>
      </c>
      <c r="P1149">
        <v>3</v>
      </c>
      <c r="Q1149">
        <v>0</v>
      </c>
      <c r="R1149">
        <v>8</v>
      </c>
      <c r="S1149">
        <v>4</v>
      </c>
      <c r="T1149">
        <v>2</v>
      </c>
      <c r="U1149">
        <v>2</v>
      </c>
      <c r="V1149">
        <v>0</v>
      </c>
      <c r="W1149">
        <v>7</v>
      </c>
      <c r="X1149">
        <v>0</v>
      </c>
      <c r="Y1149">
        <v>0</v>
      </c>
      <c r="Z1149">
        <v>0</v>
      </c>
      <c r="AA1149">
        <v>1</v>
      </c>
      <c r="AB1149">
        <v>1</v>
      </c>
      <c r="AC1149">
        <v>0</v>
      </c>
      <c r="AD1149">
        <v>0</v>
      </c>
      <c r="AE1149">
        <v>12</v>
      </c>
      <c r="AF1149">
        <v>1</v>
      </c>
      <c r="AG1149">
        <v>18</v>
      </c>
      <c r="AH1149">
        <v>14</v>
      </c>
      <c r="AI1149">
        <v>0</v>
      </c>
      <c r="AJ1149">
        <v>25</v>
      </c>
      <c r="AK1149">
        <v>0</v>
      </c>
      <c r="AL1149">
        <v>0</v>
      </c>
      <c r="AM1149">
        <v>13</v>
      </c>
      <c r="AN1149">
        <v>25</v>
      </c>
      <c r="AO1149">
        <v>12</v>
      </c>
      <c r="AQ1149" t="str">
        <f t="shared" si="17"/>
        <v>Midfielder</v>
      </c>
    </row>
    <row r="1150" spans="1:43" x14ac:dyDescent="0.35">
      <c r="A1150" t="s">
        <v>691</v>
      </c>
      <c r="B1150" t="s">
        <v>46</v>
      </c>
      <c r="C1150" t="s">
        <v>2016</v>
      </c>
      <c r="D1150">
        <v>1996</v>
      </c>
      <c r="E1150">
        <v>22</v>
      </c>
      <c r="F1150" t="s">
        <v>58</v>
      </c>
      <c r="G1150" t="s">
        <v>152</v>
      </c>
      <c r="H1150">
        <v>71500000</v>
      </c>
      <c r="I1150">
        <v>110000000</v>
      </c>
      <c r="J1150" t="s">
        <v>55</v>
      </c>
      <c r="K1150">
        <v>27</v>
      </c>
      <c r="L1150">
        <v>2190</v>
      </c>
      <c r="M1150">
        <v>2</v>
      </c>
      <c r="N1150">
        <v>1074</v>
      </c>
      <c r="O1150">
        <v>0</v>
      </c>
      <c r="P1150">
        <v>7</v>
      </c>
      <c r="Q1150">
        <v>0</v>
      </c>
      <c r="R1150">
        <v>2</v>
      </c>
      <c r="S1150">
        <v>6</v>
      </c>
      <c r="T1150">
        <v>42</v>
      </c>
      <c r="U1150">
        <v>9</v>
      </c>
      <c r="V1150">
        <v>3</v>
      </c>
      <c r="W1150">
        <v>23</v>
      </c>
      <c r="X1150">
        <v>1</v>
      </c>
      <c r="Y1150">
        <v>0</v>
      </c>
      <c r="Z1150">
        <v>0</v>
      </c>
      <c r="AA1150">
        <v>2</v>
      </c>
      <c r="AB1150">
        <v>0</v>
      </c>
      <c r="AC1150">
        <v>33</v>
      </c>
      <c r="AD1150">
        <v>2</v>
      </c>
      <c r="AE1150">
        <v>56</v>
      </c>
      <c r="AF1150">
        <v>16</v>
      </c>
      <c r="AG1150">
        <v>53</v>
      </c>
      <c r="AH1150">
        <v>37</v>
      </c>
      <c r="AI1150">
        <v>0</v>
      </c>
      <c r="AJ1150">
        <v>74</v>
      </c>
      <c r="AK1150">
        <v>0</v>
      </c>
      <c r="AL1150">
        <v>0</v>
      </c>
      <c r="AM1150">
        <v>40</v>
      </c>
      <c r="AN1150">
        <v>88</v>
      </c>
      <c r="AO1150">
        <v>30</v>
      </c>
      <c r="AQ1150" t="str">
        <f t="shared" si="17"/>
        <v>Midfielder</v>
      </c>
    </row>
    <row r="1151" spans="1:43" x14ac:dyDescent="0.35">
      <c r="A1151" t="s">
        <v>692</v>
      </c>
      <c r="B1151" t="s">
        <v>39</v>
      </c>
      <c r="C1151" t="s">
        <v>2017</v>
      </c>
      <c r="D1151">
        <v>1989</v>
      </c>
      <c r="E1151">
        <v>26</v>
      </c>
      <c r="F1151" t="s">
        <v>184</v>
      </c>
      <c r="G1151" t="s">
        <v>146</v>
      </c>
      <c r="H1151">
        <v>4500000</v>
      </c>
      <c r="I1151">
        <v>6750000</v>
      </c>
      <c r="J1151" t="s">
        <v>52</v>
      </c>
      <c r="K1151">
        <v>31</v>
      </c>
      <c r="L1151">
        <v>2685</v>
      </c>
      <c r="M1151">
        <v>0</v>
      </c>
      <c r="N1151">
        <v>1220</v>
      </c>
      <c r="O1151">
        <v>0</v>
      </c>
      <c r="P1151">
        <v>2</v>
      </c>
      <c r="Q1151">
        <v>0</v>
      </c>
      <c r="R1151">
        <v>0</v>
      </c>
      <c r="S1151">
        <v>0</v>
      </c>
      <c r="T1151">
        <v>2</v>
      </c>
      <c r="U1151">
        <v>0</v>
      </c>
      <c r="V1151">
        <v>0</v>
      </c>
      <c r="W1151">
        <v>88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19</v>
      </c>
      <c r="AG1151">
        <v>75</v>
      </c>
      <c r="AH1151">
        <v>17</v>
      </c>
      <c r="AI1151">
        <v>1</v>
      </c>
      <c r="AJ1151">
        <v>74</v>
      </c>
      <c r="AK1151">
        <v>0</v>
      </c>
      <c r="AL1151">
        <v>0</v>
      </c>
      <c r="AM1151">
        <v>164</v>
      </c>
      <c r="AN1151">
        <v>71</v>
      </c>
      <c r="AO1151">
        <v>42</v>
      </c>
      <c r="AQ1151" t="str">
        <f t="shared" si="17"/>
        <v>Defensive Forward</v>
      </c>
    </row>
    <row r="1152" spans="1:43" x14ac:dyDescent="0.35">
      <c r="A1152" t="s">
        <v>693</v>
      </c>
      <c r="B1152" t="s">
        <v>39</v>
      </c>
      <c r="C1152" t="s">
        <v>2018</v>
      </c>
      <c r="D1152">
        <v>1992</v>
      </c>
      <c r="E1152">
        <v>23</v>
      </c>
      <c r="F1152" t="s">
        <v>80</v>
      </c>
      <c r="G1152" t="s">
        <v>154</v>
      </c>
      <c r="H1152">
        <v>22000000</v>
      </c>
      <c r="I1152">
        <v>31500000</v>
      </c>
      <c r="J1152" t="s">
        <v>42</v>
      </c>
      <c r="K1152">
        <v>26</v>
      </c>
      <c r="L1152">
        <v>2003</v>
      </c>
      <c r="M1152">
        <v>8</v>
      </c>
      <c r="N1152">
        <v>1092</v>
      </c>
      <c r="O1152">
        <v>5</v>
      </c>
      <c r="P1152">
        <v>2</v>
      </c>
      <c r="Q1152">
        <v>1</v>
      </c>
      <c r="R1152">
        <v>2</v>
      </c>
      <c r="S1152">
        <v>11</v>
      </c>
      <c r="T1152">
        <v>111</v>
      </c>
      <c r="U1152">
        <v>30</v>
      </c>
      <c r="V1152">
        <v>3</v>
      </c>
      <c r="W1152">
        <v>1</v>
      </c>
      <c r="X1152">
        <v>0</v>
      </c>
      <c r="Y1152">
        <v>0</v>
      </c>
      <c r="Z1152">
        <v>0</v>
      </c>
      <c r="AA1152">
        <v>5</v>
      </c>
      <c r="AB1152">
        <v>15</v>
      </c>
      <c r="AC1152">
        <v>3</v>
      </c>
      <c r="AD1152">
        <v>36</v>
      </c>
      <c r="AE1152">
        <v>57</v>
      </c>
      <c r="AF1152">
        <v>1</v>
      </c>
      <c r="AG1152">
        <v>17</v>
      </c>
      <c r="AH1152">
        <v>10</v>
      </c>
      <c r="AI1152">
        <v>0</v>
      </c>
      <c r="AJ1152">
        <v>35</v>
      </c>
      <c r="AK1152">
        <v>0</v>
      </c>
      <c r="AL1152">
        <v>0</v>
      </c>
      <c r="AM1152">
        <v>7</v>
      </c>
      <c r="AN1152">
        <v>5</v>
      </c>
      <c r="AO1152">
        <v>23</v>
      </c>
      <c r="AQ1152" t="str">
        <f t="shared" si="17"/>
        <v>Forward</v>
      </c>
    </row>
    <row r="1153" spans="1:43" x14ac:dyDescent="0.35">
      <c r="A1153" t="s">
        <v>693</v>
      </c>
      <c r="B1153" t="s">
        <v>47</v>
      </c>
      <c r="C1153" t="s">
        <v>2019</v>
      </c>
      <c r="D1153">
        <v>1992</v>
      </c>
      <c r="E1153">
        <v>24</v>
      </c>
      <c r="F1153" t="s">
        <v>80</v>
      </c>
      <c r="G1153" t="s">
        <v>154</v>
      </c>
      <c r="H1153">
        <v>31500000</v>
      </c>
      <c r="I1153">
        <v>40500000</v>
      </c>
      <c r="J1153" t="s">
        <v>42</v>
      </c>
      <c r="K1153">
        <v>31</v>
      </c>
      <c r="L1153">
        <v>2243</v>
      </c>
      <c r="M1153">
        <v>13</v>
      </c>
      <c r="N1153">
        <v>1402</v>
      </c>
      <c r="O1153">
        <v>7</v>
      </c>
      <c r="P1153">
        <v>2</v>
      </c>
      <c r="Q1153">
        <v>0</v>
      </c>
      <c r="R1153">
        <v>3</v>
      </c>
      <c r="S1153">
        <v>19</v>
      </c>
      <c r="T1153">
        <v>106</v>
      </c>
      <c r="U1153">
        <v>38</v>
      </c>
      <c r="V1153">
        <v>1</v>
      </c>
      <c r="W1153">
        <v>1</v>
      </c>
      <c r="X1153">
        <v>0</v>
      </c>
      <c r="Y1153">
        <v>0</v>
      </c>
      <c r="Z1153">
        <v>3</v>
      </c>
      <c r="AA1153">
        <v>4</v>
      </c>
      <c r="AB1153">
        <v>15</v>
      </c>
      <c r="AC1153">
        <v>4</v>
      </c>
      <c r="AD1153">
        <v>92</v>
      </c>
      <c r="AE1153">
        <v>126</v>
      </c>
      <c r="AF1153">
        <v>0</v>
      </c>
      <c r="AG1153">
        <v>18</v>
      </c>
      <c r="AH1153">
        <v>18</v>
      </c>
      <c r="AI1153">
        <v>0</v>
      </c>
      <c r="AJ1153">
        <v>35</v>
      </c>
      <c r="AK1153">
        <v>0</v>
      </c>
      <c r="AL1153">
        <v>0</v>
      </c>
      <c r="AM1153">
        <v>5</v>
      </c>
      <c r="AN1153">
        <v>6</v>
      </c>
      <c r="AO1153">
        <v>32</v>
      </c>
      <c r="AQ1153" t="str">
        <f t="shared" si="17"/>
        <v>Forward</v>
      </c>
    </row>
    <row r="1154" spans="1:43" x14ac:dyDescent="0.35">
      <c r="A1154" t="s">
        <v>693</v>
      </c>
      <c r="B1154" t="s">
        <v>43</v>
      </c>
      <c r="C1154" t="s">
        <v>2020</v>
      </c>
      <c r="D1154">
        <v>1992</v>
      </c>
      <c r="E1154">
        <v>25</v>
      </c>
      <c r="F1154" t="s">
        <v>80</v>
      </c>
      <c r="G1154" t="s">
        <v>154</v>
      </c>
      <c r="H1154">
        <v>11000000</v>
      </c>
      <c r="I1154">
        <v>16500000</v>
      </c>
      <c r="J1154" t="s">
        <v>55</v>
      </c>
      <c r="K1154">
        <v>14</v>
      </c>
      <c r="L1154">
        <v>1116</v>
      </c>
      <c r="M1154">
        <v>7</v>
      </c>
      <c r="N1154">
        <v>690</v>
      </c>
      <c r="O1154">
        <v>6</v>
      </c>
      <c r="P1154">
        <v>0</v>
      </c>
      <c r="Q1154">
        <v>0</v>
      </c>
      <c r="R1154">
        <v>1</v>
      </c>
      <c r="S1154">
        <v>8</v>
      </c>
      <c r="T1154">
        <v>54</v>
      </c>
      <c r="U1154">
        <v>17</v>
      </c>
      <c r="V1154">
        <v>2</v>
      </c>
      <c r="W1154">
        <v>1</v>
      </c>
      <c r="X1154">
        <v>1</v>
      </c>
      <c r="Y1154">
        <v>0</v>
      </c>
      <c r="Z1154">
        <v>2</v>
      </c>
      <c r="AA1154">
        <v>4</v>
      </c>
      <c r="AB1154">
        <v>17</v>
      </c>
      <c r="AC1154">
        <v>37</v>
      </c>
      <c r="AD1154">
        <v>53</v>
      </c>
      <c r="AE1154">
        <v>58</v>
      </c>
      <c r="AF1154">
        <v>0</v>
      </c>
      <c r="AG1154">
        <v>10</v>
      </c>
      <c r="AH1154">
        <v>5</v>
      </c>
      <c r="AI1154">
        <v>0</v>
      </c>
      <c r="AJ1154">
        <v>17</v>
      </c>
      <c r="AK1154">
        <v>0</v>
      </c>
      <c r="AL1154">
        <v>0</v>
      </c>
      <c r="AM1154">
        <v>2</v>
      </c>
      <c r="AN1154">
        <v>1</v>
      </c>
      <c r="AO1154">
        <v>7</v>
      </c>
      <c r="AQ1154" t="str">
        <f t="shared" ref="AQ1154:AQ1217" si="18">IF(J1154 = "FW", REPLACE(J1154,1,2,"Forward"),IF(J1154 = "DF", "Defensive Forward", "Midfielder"))</f>
        <v>Midfielder</v>
      </c>
    </row>
    <row r="1155" spans="1:43" x14ac:dyDescent="0.35">
      <c r="A1155" t="s">
        <v>694</v>
      </c>
      <c r="B1155" t="s">
        <v>43</v>
      </c>
      <c r="C1155" t="s">
        <v>2021</v>
      </c>
      <c r="D1155">
        <v>1989</v>
      </c>
      <c r="E1155">
        <v>28</v>
      </c>
      <c r="F1155" t="s">
        <v>61</v>
      </c>
      <c r="G1155" t="s">
        <v>214</v>
      </c>
      <c r="H1155">
        <v>71500000</v>
      </c>
      <c r="I1155">
        <v>82500000</v>
      </c>
      <c r="J1155" t="s">
        <v>42</v>
      </c>
      <c r="K1155">
        <v>13</v>
      </c>
      <c r="L1155">
        <v>1058</v>
      </c>
      <c r="M1155">
        <v>10</v>
      </c>
      <c r="N1155">
        <v>317</v>
      </c>
      <c r="O1155">
        <v>4</v>
      </c>
      <c r="P1155">
        <v>0</v>
      </c>
      <c r="Q1155">
        <v>0</v>
      </c>
      <c r="R1155">
        <v>1</v>
      </c>
      <c r="S1155">
        <v>2</v>
      </c>
      <c r="T1155">
        <v>31</v>
      </c>
      <c r="U1155">
        <v>19</v>
      </c>
      <c r="V1155">
        <v>0</v>
      </c>
      <c r="W1155">
        <v>2</v>
      </c>
      <c r="X1155">
        <v>0</v>
      </c>
      <c r="Y1155">
        <v>1</v>
      </c>
      <c r="Z1155">
        <v>0</v>
      </c>
      <c r="AA1155">
        <v>10</v>
      </c>
      <c r="AB1155">
        <v>1</v>
      </c>
      <c r="AC1155">
        <v>12</v>
      </c>
      <c r="AD1155">
        <v>0</v>
      </c>
      <c r="AE1155">
        <v>16</v>
      </c>
      <c r="AF1155">
        <v>1</v>
      </c>
      <c r="AG1155">
        <v>3</v>
      </c>
      <c r="AH1155">
        <v>1</v>
      </c>
      <c r="AI1155">
        <v>0</v>
      </c>
      <c r="AJ1155">
        <v>5</v>
      </c>
      <c r="AK1155">
        <v>0</v>
      </c>
      <c r="AL1155">
        <v>0</v>
      </c>
      <c r="AM1155">
        <v>7</v>
      </c>
      <c r="AN1155">
        <v>8</v>
      </c>
      <c r="AO1155">
        <v>28</v>
      </c>
      <c r="AQ1155" t="str">
        <f t="shared" si="18"/>
        <v>Forward</v>
      </c>
    </row>
    <row r="1156" spans="1:43" x14ac:dyDescent="0.35">
      <c r="A1156" t="s">
        <v>694</v>
      </c>
      <c r="B1156" t="s">
        <v>46</v>
      </c>
      <c r="C1156" t="s">
        <v>2022</v>
      </c>
      <c r="D1156">
        <v>1989</v>
      </c>
      <c r="E1156">
        <v>29</v>
      </c>
      <c r="F1156" t="s">
        <v>61</v>
      </c>
      <c r="G1156" t="s">
        <v>214</v>
      </c>
      <c r="H1156">
        <v>82500000</v>
      </c>
      <c r="I1156">
        <v>77000000</v>
      </c>
      <c r="J1156" t="s">
        <v>42</v>
      </c>
      <c r="K1156">
        <v>36</v>
      </c>
      <c r="L1156">
        <v>2731</v>
      </c>
      <c r="M1156">
        <v>22</v>
      </c>
      <c r="N1156">
        <v>692</v>
      </c>
      <c r="O1156">
        <v>5</v>
      </c>
      <c r="P1156">
        <v>0</v>
      </c>
      <c r="Q1156">
        <v>0</v>
      </c>
      <c r="R1156">
        <v>6</v>
      </c>
      <c r="S1156">
        <v>11</v>
      </c>
      <c r="T1156">
        <v>94</v>
      </c>
      <c r="U1156">
        <v>40</v>
      </c>
      <c r="V1156">
        <v>4</v>
      </c>
      <c r="W1156">
        <v>6</v>
      </c>
      <c r="X1156">
        <v>0</v>
      </c>
      <c r="Y1156">
        <v>4</v>
      </c>
      <c r="Z1156">
        <v>0</v>
      </c>
      <c r="AA1156">
        <v>23</v>
      </c>
      <c r="AB1156">
        <v>3</v>
      </c>
      <c r="AC1156">
        <v>54</v>
      </c>
      <c r="AD1156">
        <v>0</v>
      </c>
      <c r="AE1156">
        <v>43</v>
      </c>
      <c r="AF1156">
        <v>0</v>
      </c>
      <c r="AG1156">
        <v>8</v>
      </c>
      <c r="AH1156">
        <v>13</v>
      </c>
      <c r="AI1156">
        <v>0</v>
      </c>
      <c r="AJ1156">
        <v>21</v>
      </c>
      <c r="AK1156">
        <v>0</v>
      </c>
      <c r="AL1156">
        <v>0</v>
      </c>
      <c r="AM1156">
        <v>18</v>
      </c>
      <c r="AN1156">
        <v>32</v>
      </c>
      <c r="AO1156">
        <v>83</v>
      </c>
      <c r="AQ1156" t="str">
        <f t="shared" si="18"/>
        <v>Forward</v>
      </c>
    </row>
    <row r="1157" spans="1:43" x14ac:dyDescent="0.35">
      <c r="A1157" t="s">
        <v>695</v>
      </c>
      <c r="B1157" t="s">
        <v>46</v>
      </c>
      <c r="C1157" t="s">
        <v>2023</v>
      </c>
      <c r="D1157">
        <v>1995</v>
      </c>
      <c r="E1157">
        <v>23</v>
      </c>
      <c r="F1157" t="s">
        <v>220</v>
      </c>
      <c r="G1157" t="s">
        <v>152</v>
      </c>
      <c r="H1157">
        <v>8800000</v>
      </c>
      <c r="I1157">
        <v>8800000</v>
      </c>
      <c r="J1157" t="s">
        <v>55</v>
      </c>
      <c r="K1157">
        <v>31</v>
      </c>
      <c r="L1157">
        <v>2764</v>
      </c>
      <c r="M1157">
        <v>4</v>
      </c>
      <c r="N1157">
        <v>1793</v>
      </c>
      <c r="O1157">
        <v>3</v>
      </c>
      <c r="P1157">
        <v>0</v>
      </c>
      <c r="Q1157">
        <v>2</v>
      </c>
      <c r="R1157">
        <v>0</v>
      </c>
      <c r="S1157">
        <v>2</v>
      </c>
      <c r="T1157">
        <v>53</v>
      </c>
      <c r="U1157">
        <v>19</v>
      </c>
      <c r="V1157">
        <v>1</v>
      </c>
      <c r="W1157">
        <v>14</v>
      </c>
      <c r="X1157">
        <v>0</v>
      </c>
      <c r="Y1157">
        <v>0</v>
      </c>
      <c r="Z1157">
        <v>0</v>
      </c>
      <c r="AA1157">
        <v>0</v>
      </c>
      <c r="AB1157">
        <v>7</v>
      </c>
      <c r="AC1157">
        <v>34</v>
      </c>
      <c r="AD1157">
        <v>2</v>
      </c>
      <c r="AE1157">
        <v>29</v>
      </c>
      <c r="AF1157">
        <v>8</v>
      </c>
      <c r="AG1157">
        <v>60</v>
      </c>
      <c r="AH1157">
        <v>47</v>
      </c>
      <c r="AI1157">
        <v>0</v>
      </c>
      <c r="AJ1157">
        <v>71</v>
      </c>
      <c r="AK1157">
        <v>1</v>
      </c>
      <c r="AL1157">
        <v>0</v>
      </c>
      <c r="AM1157">
        <v>28</v>
      </c>
      <c r="AN1157">
        <v>48</v>
      </c>
      <c r="AO1157">
        <v>30</v>
      </c>
      <c r="AQ1157" t="str">
        <f t="shared" si="18"/>
        <v>Midfielder</v>
      </c>
    </row>
    <row r="1158" spans="1:43" x14ac:dyDescent="0.35">
      <c r="A1158" t="s">
        <v>695</v>
      </c>
      <c r="B1158" t="s">
        <v>47</v>
      </c>
      <c r="C1158" t="s">
        <v>2024</v>
      </c>
      <c r="D1158">
        <v>1995</v>
      </c>
      <c r="E1158">
        <v>21</v>
      </c>
      <c r="F1158" t="s">
        <v>220</v>
      </c>
      <c r="G1158" t="s">
        <v>152</v>
      </c>
      <c r="H1158">
        <v>8800000</v>
      </c>
      <c r="I1158">
        <v>11000000</v>
      </c>
      <c r="J1158" t="s">
        <v>55</v>
      </c>
      <c r="K1158">
        <v>22</v>
      </c>
      <c r="L1158">
        <v>1299</v>
      </c>
      <c r="M1158">
        <v>0</v>
      </c>
      <c r="N1158">
        <v>1001</v>
      </c>
      <c r="O1158">
        <v>0</v>
      </c>
      <c r="P1158">
        <v>2</v>
      </c>
      <c r="Q1158">
        <v>0</v>
      </c>
      <c r="R1158">
        <v>8</v>
      </c>
      <c r="S1158">
        <v>6</v>
      </c>
      <c r="T1158">
        <v>28</v>
      </c>
      <c r="U1158">
        <v>4</v>
      </c>
      <c r="V1158">
        <v>2</v>
      </c>
      <c r="W1158">
        <v>16</v>
      </c>
      <c r="X1158">
        <v>0</v>
      </c>
      <c r="Y1158">
        <v>0</v>
      </c>
      <c r="Z1158">
        <v>0</v>
      </c>
      <c r="AA1158">
        <v>0</v>
      </c>
      <c r="AB1158">
        <v>4</v>
      </c>
      <c r="AC1158">
        <v>1</v>
      </c>
      <c r="AD1158">
        <v>0</v>
      </c>
      <c r="AE1158">
        <v>20</v>
      </c>
      <c r="AF1158">
        <v>5</v>
      </c>
      <c r="AG1158">
        <v>33</v>
      </c>
      <c r="AH1158">
        <v>19</v>
      </c>
      <c r="AI1158">
        <v>0</v>
      </c>
      <c r="AJ1158">
        <v>44</v>
      </c>
      <c r="AK1158">
        <v>0</v>
      </c>
      <c r="AL1158">
        <v>0</v>
      </c>
      <c r="AM1158">
        <v>25</v>
      </c>
      <c r="AN1158">
        <v>17</v>
      </c>
      <c r="AO1158">
        <v>12</v>
      </c>
      <c r="AQ1158" t="str">
        <f t="shared" si="18"/>
        <v>Midfielder</v>
      </c>
    </row>
    <row r="1159" spans="1:43" x14ac:dyDescent="0.35">
      <c r="A1159" t="s">
        <v>695</v>
      </c>
      <c r="B1159" t="s">
        <v>43</v>
      </c>
      <c r="C1159" t="s">
        <v>2025</v>
      </c>
      <c r="D1159">
        <v>1995</v>
      </c>
      <c r="E1159">
        <v>22</v>
      </c>
      <c r="F1159" t="s">
        <v>220</v>
      </c>
      <c r="G1159" t="s">
        <v>152</v>
      </c>
      <c r="H1159">
        <v>4400000</v>
      </c>
      <c r="I1159">
        <v>8800000</v>
      </c>
      <c r="J1159" t="s">
        <v>55</v>
      </c>
      <c r="K1159">
        <v>23</v>
      </c>
      <c r="L1159">
        <v>1671</v>
      </c>
      <c r="M1159">
        <v>0</v>
      </c>
      <c r="N1159">
        <v>1108</v>
      </c>
      <c r="O1159">
        <v>0</v>
      </c>
      <c r="P1159">
        <v>6</v>
      </c>
      <c r="Q1159">
        <v>0</v>
      </c>
      <c r="R1159">
        <v>4</v>
      </c>
      <c r="S1159">
        <v>5</v>
      </c>
      <c r="T1159">
        <v>16</v>
      </c>
      <c r="U1159">
        <v>6</v>
      </c>
      <c r="V1159">
        <v>1</v>
      </c>
      <c r="W1159">
        <v>15</v>
      </c>
      <c r="X1159">
        <v>0</v>
      </c>
      <c r="Y1159">
        <v>0</v>
      </c>
      <c r="Z1159">
        <v>0</v>
      </c>
      <c r="AA1159">
        <v>0</v>
      </c>
      <c r="AB1159">
        <v>5</v>
      </c>
      <c r="AC1159">
        <v>10</v>
      </c>
      <c r="AD1159">
        <v>0</v>
      </c>
      <c r="AE1159">
        <v>12</v>
      </c>
      <c r="AF1159">
        <v>3</v>
      </c>
      <c r="AG1159">
        <v>37</v>
      </c>
      <c r="AH1159">
        <v>32</v>
      </c>
      <c r="AI1159">
        <v>0</v>
      </c>
      <c r="AJ1159">
        <v>45</v>
      </c>
      <c r="AK1159">
        <v>1</v>
      </c>
      <c r="AL1159">
        <v>0</v>
      </c>
      <c r="AM1159">
        <v>24</v>
      </c>
      <c r="AN1159">
        <v>28</v>
      </c>
      <c r="AO1159">
        <v>28</v>
      </c>
      <c r="AQ1159" t="str">
        <f t="shared" si="18"/>
        <v>Midfielder</v>
      </c>
    </row>
    <row r="1160" spans="1:43" x14ac:dyDescent="0.35">
      <c r="A1160" t="s">
        <v>696</v>
      </c>
      <c r="B1160" t="s">
        <v>46</v>
      </c>
      <c r="C1160" t="s">
        <v>2026</v>
      </c>
      <c r="D1160">
        <v>1997</v>
      </c>
      <c r="E1160">
        <v>21</v>
      </c>
      <c r="F1160" t="s">
        <v>90</v>
      </c>
      <c r="G1160" t="s">
        <v>41</v>
      </c>
      <c r="H1160">
        <v>22500000</v>
      </c>
      <c r="I1160">
        <v>40500000</v>
      </c>
      <c r="J1160" t="s">
        <v>55</v>
      </c>
      <c r="K1160">
        <v>35</v>
      </c>
      <c r="L1160">
        <v>3009</v>
      </c>
      <c r="M1160">
        <v>4</v>
      </c>
      <c r="N1160">
        <v>1940</v>
      </c>
      <c r="O1160">
        <v>3</v>
      </c>
      <c r="P1160">
        <v>0</v>
      </c>
      <c r="Q1160">
        <v>0</v>
      </c>
      <c r="R1160">
        <v>1</v>
      </c>
      <c r="S1160">
        <v>3</v>
      </c>
      <c r="T1160">
        <v>74</v>
      </c>
      <c r="U1160">
        <v>16</v>
      </c>
      <c r="V1160">
        <v>0</v>
      </c>
      <c r="W1160">
        <v>16</v>
      </c>
      <c r="X1160">
        <v>0</v>
      </c>
      <c r="Y1160">
        <v>2</v>
      </c>
      <c r="Z1160">
        <v>2</v>
      </c>
      <c r="AA1160">
        <v>0</v>
      </c>
      <c r="AB1160">
        <v>11</v>
      </c>
      <c r="AC1160">
        <v>58</v>
      </c>
      <c r="AD1160">
        <v>2</v>
      </c>
      <c r="AE1160">
        <v>26</v>
      </c>
      <c r="AF1160">
        <v>18</v>
      </c>
      <c r="AG1160">
        <v>73</v>
      </c>
      <c r="AH1160">
        <v>37</v>
      </c>
      <c r="AI1160">
        <v>0</v>
      </c>
      <c r="AJ1160">
        <v>75</v>
      </c>
      <c r="AK1160">
        <v>0</v>
      </c>
      <c r="AL1160">
        <v>0</v>
      </c>
      <c r="AM1160">
        <v>44</v>
      </c>
      <c r="AN1160">
        <v>31</v>
      </c>
      <c r="AO1160">
        <v>35</v>
      </c>
      <c r="AQ1160" t="str">
        <f t="shared" si="18"/>
        <v>Midfielder</v>
      </c>
    </row>
    <row r="1161" spans="1:43" x14ac:dyDescent="0.35">
      <c r="A1161" t="s">
        <v>697</v>
      </c>
      <c r="B1161" t="s">
        <v>46</v>
      </c>
      <c r="C1161" t="s">
        <v>2027</v>
      </c>
      <c r="D1161">
        <v>1999</v>
      </c>
      <c r="E1161">
        <v>19</v>
      </c>
      <c r="F1161" t="s">
        <v>90</v>
      </c>
      <c r="G1161" t="s">
        <v>41</v>
      </c>
      <c r="H1161">
        <v>1800000</v>
      </c>
      <c r="I1161">
        <v>6300000</v>
      </c>
      <c r="J1161" t="s">
        <v>52</v>
      </c>
      <c r="K1161">
        <v>17</v>
      </c>
      <c r="L1161">
        <v>706</v>
      </c>
      <c r="M1161">
        <v>0</v>
      </c>
      <c r="N1161">
        <v>286</v>
      </c>
      <c r="O1161">
        <v>0</v>
      </c>
      <c r="P1161">
        <v>0</v>
      </c>
      <c r="Q1161">
        <v>0</v>
      </c>
      <c r="R1161">
        <v>10</v>
      </c>
      <c r="S1161">
        <v>3</v>
      </c>
      <c r="T1161">
        <v>4</v>
      </c>
      <c r="U1161">
        <v>3</v>
      </c>
      <c r="V1161">
        <v>0</v>
      </c>
      <c r="W1161">
        <v>7</v>
      </c>
      <c r="X1161">
        <v>0</v>
      </c>
      <c r="Y1161">
        <v>0</v>
      </c>
      <c r="Z1161">
        <v>0</v>
      </c>
      <c r="AA1161">
        <v>1</v>
      </c>
      <c r="AB1161">
        <v>1</v>
      </c>
      <c r="AC1161">
        <v>1</v>
      </c>
      <c r="AD1161">
        <v>2</v>
      </c>
      <c r="AE1161">
        <v>52</v>
      </c>
      <c r="AF1161">
        <v>2</v>
      </c>
      <c r="AG1161">
        <v>14</v>
      </c>
      <c r="AH1161">
        <v>12</v>
      </c>
      <c r="AI1161">
        <v>0</v>
      </c>
      <c r="AJ1161">
        <v>14</v>
      </c>
      <c r="AK1161">
        <v>0</v>
      </c>
      <c r="AL1161">
        <v>0</v>
      </c>
      <c r="AM1161">
        <v>13</v>
      </c>
      <c r="AN1161">
        <v>9</v>
      </c>
      <c r="AO1161">
        <v>17</v>
      </c>
      <c r="AQ1161" t="str">
        <f t="shared" si="18"/>
        <v>Defensive Forward</v>
      </c>
    </row>
    <row r="1162" spans="1:43" x14ac:dyDescent="0.35">
      <c r="A1162" t="s">
        <v>698</v>
      </c>
      <c r="B1162" t="s">
        <v>46</v>
      </c>
      <c r="C1162" t="s">
        <v>2028</v>
      </c>
      <c r="D1162">
        <v>1991</v>
      </c>
      <c r="E1162">
        <v>27</v>
      </c>
      <c r="F1162" t="s">
        <v>90</v>
      </c>
      <c r="G1162" t="s">
        <v>243</v>
      </c>
      <c r="H1162">
        <v>16500000</v>
      </c>
      <c r="I1162">
        <v>31500000</v>
      </c>
      <c r="J1162" t="s">
        <v>42</v>
      </c>
      <c r="K1162">
        <v>38</v>
      </c>
      <c r="L1162">
        <v>3122</v>
      </c>
      <c r="M1162">
        <v>13</v>
      </c>
      <c r="N1162">
        <v>1059</v>
      </c>
      <c r="O1162">
        <v>7</v>
      </c>
      <c r="P1162">
        <v>0</v>
      </c>
      <c r="Q1162">
        <v>0</v>
      </c>
      <c r="R1162">
        <v>2</v>
      </c>
      <c r="S1162">
        <v>16</v>
      </c>
      <c r="T1162">
        <v>111</v>
      </c>
      <c r="U1162">
        <v>35</v>
      </c>
      <c r="V1162">
        <v>3</v>
      </c>
      <c r="W1162">
        <v>31</v>
      </c>
      <c r="X1162">
        <v>3</v>
      </c>
      <c r="Y1162">
        <v>2</v>
      </c>
      <c r="Z1162">
        <v>0</v>
      </c>
      <c r="AA1162">
        <v>33</v>
      </c>
      <c r="AB1162">
        <v>13</v>
      </c>
      <c r="AC1162">
        <v>76</v>
      </c>
      <c r="AD1162">
        <v>0</v>
      </c>
      <c r="AE1162">
        <v>27</v>
      </c>
      <c r="AF1162">
        <v>3</v>
      </c>
      <c r="AG1162">
        <v>26</v>
      </c>
      <c r="AH1162">
        <v>42</v>
      </c>
      <c r="AI1162">
        <v>0</v>
      </c>
      <c r="AJ1162">
        <v>30</v>
      </c>
      <c r="AK1162">
        <v>0</v>
      </c>
      <c r="AL1162">
        <v>0</v>
      </c>
      <c r="AM1162">
        <v>39</v>
      </c>
      <c r="AN1162">
        <v>78</v>
      </c>
      <c r="AO1162">
        <v>107</v>
      </c>
      <c r="AQ1162" t="str">
        <f t="shared" si="18"/>
        <v>Forward</v>
      </c>
    </row>
    <row r="1163" spans="1:43" x14ac:dyDescent="0.35">
      <c r="A1163" t="s">
        <v>699</v>
      </c>
      <c r="B1163" t="s">
        <v>46</v>
      </c>
      <c r="C1163" t="s">
        <v>2029</v>
      </c>
      <c r="D1163">
        <v>1992</v>
      </c>
      <c r="E1163">
        <v>26</v>
      </c>
      <c r="F1163" t="s">
        <v>99</v>
      </c>
      <c r="G1163" t="s">
        <v>93</v>
      </c>
      <c r="H1163">
        <v>4500000</v>
      </c>
      <c r="I1163">
        <v>5400000</v>
      </c>
      <c r="J1163" t="s">
        <v>55</v>
      </c>
      <c r="K1163">
        <v>19</v>
      </c>
      <c r="L1163">
        <v>735</v>
      </c>
      <c r="M1163">
        <v>1</v>
      </c>
      <c r="N1163">
        <v>422</v>
      </c>
      <c r="O1163">
        <v>0</v>
      </c>
      <c r="P1163">
        <v>3</v>
      </c>
      <c r="Q1163">
        <v>0</v>
      </c>
      <c r="R1163">
        <v>11</v>
      </c>
      <c r="S1163">
        <v>6</v>
      </c>
      <c r="T1163">
        <v>19</v>
      </c>
      <c r="U1163">
        <v>5</v>
      </c>
      <c r="V1163">
        <v>1</v>
      </c>
      <c r="W1163">
        <v>2</v>
      </c>
      <c r="X1163">
        <v>0</v>
      </c>
      <c r="Y1163">
        <v>0</v>
      </c>
      <c r="Z1163">
        <v>0</v>
      </c>
      <c r="AA1163">
        <v>0</v>
      </c>
      <c r="AB1163">
        <v>6</v>
      </c>
      <c r="AC1163">
        <v>14</v>
      </c>
      <c r="AD1163">
        <v>25</v>
      </c>
      <c r="AE1163">
        <v>45</v>
      </c>
      <c r="AF1163">
        <v>1</v>
      </c>
      <c r="AG1163">
        <v>7</v>
      </c>
      <c r="AH1163">
        <v>13</v>
      </c>
      <c r="AI1163">
        <v>0</v>
      </c>
      <c r="AJ1163">
        <v>14</v>
      </c>
      <c r="AK1163">
        <v>0</v>
      </c>
      <c r="AL1163">
        <v>0</v>
      </c>
      <c r="AM1163">
        <v>3</v>
      </c>
      <c r="AN1163">
        <v>10</v>
      </c>
      <c r="AO1163">
        <v>7</v>
      </c>
      <c r="AQ1163" t="str">
        <f t="shared" si="18"/>
        <v>Midfielder</v>
      </c>
    </row>
    <row r="1164" spans="1:43" x14ac:dyDescent="0.35">
      <c r="A1164" t="s">
        <v>700</v>
      </c>
      <c r="B1164" t="s">
        <v>39</v>
      </c>
      <c r="C1164" t="s">
        <v>2030</v>
      </c>
      <c r="D1164">
        <v>1986</v>
      </c>
      <c r="E1164">
        <v>29</v>
      </c>
      <c r="F1164" t="s">
        <v>44</v>
      </c>
      <c r="G1164" t="s">
        <v>202</v>
      </c>
      <c r="H1164">
        <v>31500000</v>
      </c>
      <c r="I1164">
        <v>13500000</v>
      </c>
      <c r="J1164" t="s">
        <v>42</v>
      </c>
      <c r="K1164">
        <v>10</v>
      </c>
      <c r="L1164">
        <v>228</v>
      </c>
      <c r="M1164">
        <v>1</v>
      </c>
      <c r="N1164">
        <v>84</v>
      </c>
      <c r="O1164">
        <v>0</v>
      </c>
      <c r="P1164">
        <v>1</v>
      </c>
      <c r="Q1164">
        <v>0</v>
      </c>
      <c r="R1164">
        <v>9</v>
      </c>
      <c r="S1164">
        <v>0</v>
      </c>
      <c r="T1164">
        <v>11</v>
      </c>
      <c r="U1164">
        <v>0</v>
      </c>
      <c r="V1164">
        <v>0</v>
      </c>
      <c r="W1164">
        <v>1</v>
      </c>
      <c r="X1164">
        <v>1</v>
      </c>
      <c r="Y1164">
        <v>0</v>
      </c>
      <c r="Z1164">
        <v>0</v>
      </c>
      <c r="AA1164">
        <v>2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3</v>
      </c>
      <c r="AH1164">
        <v>7</v>
      </c>
      <c r="AI1164">
        <v>0</v>
      </c>
      <c r="AJ1164">
        <v>2</v>
      </c>
      <c r="AK1164">
        <v>0</v>
      </c>
      <c r="AL1164">
        <v>0</v>
      </c>
      <c r="AM1164">
        <v>1</v>
      </c>
      <c r="AN1164">
        <v>10</v>
      </c>
      <c r="AO1164">
        <v>14</v>
      </c>
      <c r="AQ1164" t="str">
        <f t="shared" si="18"/>
        <v>Forward</v>
      </c>
    </row>
    <row r="1165" spans="1:43" x14ac:dyDescent="0.35">
      <c r="A1165" t="s">
        <v>701</v>
      </c>
      <c r="B1165" t="s">
        <v>47</v>
      </c>
      <c r="C1165" t="s">
        <v>2031</v>
      </c>
      <c r="D1165">
        <v>1985</v>
      </c>
      <c r="E1165">
        <v>31</v>
      </c>
      <c r="F1165" t="s">
        <v>80</v>
      </c>
      <c r="G1165" t="s">
        <v>702</v>
      </c>
      <c r="H1165">
        <v>3600000</v>
      </c>
      <c r="I1165">
        <v>3150000</v>
      </c>
      <c r="J1165" t="s">
        <v>52</v>
      </c>
      <c r="K1165">
        <v>20</v>
      </c>
      <c r="L1165">
        <v>1408</v>
      </c>
      <c r="M1165">
        <v>0</v>
      </c>
      <c r="N1165">
        <v>938</v>
      </c>
      <c r="O1165">
        <v>0</v>
      </c>
      <c r="P1165">
        <v>3</v>
      </c>
      <c r="Q1165">
        <v>0</v>
      </c>
      <c r="R1165">
        <v>5</v>
      </c>
      <c r="S1165">
        <v>0</v>
      </c>
      <c r="T1165">
        <v>4</v>
      </c>
      <c r="U1165">
        <v>2</v>
      </c>
      <c r="V1165">
        <v>0</v>
      </c>
      <c r="W1165">
        <v>48</v>
      </c>
      <c r="X1165">
        <v>0</v>
      </c>
      <c r="Y1165">
        <v>0</v>
      </c>
      <c r="Z1165">
        <v>0</v>
      </c>
      <c r="AA1165">
        <v>0</v>
      </c>
      <c r="AB1165">
        <v>1</v>
      </c>
      <c r="AC1165">
        <v>0</v>
      </c>
      <c r="AD1165">
        <v>0</v>
      </c>
      <c r="AE1165">
        <v>1</v>
      </c>
      <c r="AF1165">
        <v>9</v>
      </c>
      <c r="AG1165">
        <v>14</v>
      </c>
      <c r="AH1165">
        <v>15</v>
      </c>
      <c r="AI1165">
        <v>0</v>
      </c>
      <c r="AJ1165">
        <v>25</v>
      </c>
      <c r="AK1165">
        <v>1</v>
      </c>
      <c r="AL1165">
        <v>0</v>
      </c>
      <c r="AM1165">
        <v>92</v>
      </c>
      <c r="AN1165">
        <v>38</v>
      </c>
      <c r="AO1165">
        <v>33</v>
      </c>
      <c r="AQ1165" t="str">
        <f t="shared" si="18"/>
        <v>Defensive Forward</v>
      </c>
    </row>
    <row r="1166" spans="1:43" x14ac:dyDescent="0.35">
      <c r="A1166" t="s">
        <v>701</v>
      </c>
      <c r="B1166" t="s">
        <v>43</v>
      </c>
      <c r="C1166" t="s">
        <v>2032</v>
      </c>
      <c r="D1166">
        <v>1985</v>
      </c>
      <c r="E1166">
        <v>32</v>
      </c>
      <c r="F1166" t="s">
        <v>80</v>
      </c>
      <c r="G1166" t="s">
        <v>702</v>
      </c>
      <c r="H1166">
        <v>3150000</v>
      </c>
      <c r="I1166">
        <v>3150000</v>
      </c>
      <c r="J1166" t="s">
        <v>52</v>
      </c>
      <c r="K1166">
        <v>19</v>
      </c>
      <c r="L1166">
        <v>1449</v>
      </c>
      <c r="M1166">
        <v>1</v>
      </c>
      <c r="N1166">
        <v>1198</v>
      </c>
      <c r="O1166">
        <v>0</v>
      </c>
      <c r="P1166">
        <v>0</v>
      </c>
      <c r="Q1166">
        <v>0</v>
      </c>
      <c r="R1166">
        <v>3</v>
      </c>
      <c r="S1166">
        <v>0</v>
      </c>
      <c r="T1166">
        <v>1</v>
      </c>
      <c r="U1166">
        <v>1</v>
      </c>
      <c r="V1166">
        <v>0</v>
      </c>
      <c r="W1166">
        <v>38</v>
      </c>
      <c r="X1166">
        <v>1</v>
      </c>
      <c r="Y1166">
        <v>0</v>
      </c>
      <c r="Z1166">
        <v>0</v>
      </c>
      <c r="AA1166">
        <v>0</v>
      </c>
      <c r="AB1166">
        <v>1</v>
      </c>
      <c r="AC1166">
        <v>0</v>
      </c>
      <c r="AD1166">
        <v>0</v>
      </c>
      <c r="AE1166">
        <v>1</v>
      </c>
      <c r="AF1166">
        <v>5</v>
      </c>
      <c r="AG1166">
        <v>15</v>
      </c>
      <c r="AH1166">
        <v>7</v>
      </c>
      <c r="AI1166">
        <v>0</v>
      </c>
      <c r="AJ1166">
        <v>14</v>
      </c>
      <c r="AK1166">
        <v>0</v>
      </c>
      <c r="AL1166">
        <v>0</v>
      </c>
      <c r="AM1166">
        <v>82</v>
      </c>
      <c r="AN1166">
        <v>39</v>
      </c>
      <c r="AO1166">
        <v>40</v>
      </c>
      <c r="AQ1166" t="str">
        <f t="shared" si="18"/>
        <v>Defensive Forward</v>
      </c>
    </row>
    <row r="1167" spans="1:43" x14ac:dyDescent="0.35">
      <c r="A1167" t="s">
        <v>703</v>
      </c>
      <c r="B1167" t="s">
        <v>39</v>
      </c>
      <c r="C1167" t="s">
        <v>2033</v>
      </c>
      <c r="D1167">
        <v>1994</v>
      </c>
      <c r="E1167">
        <v>20</v>
      </c>
      <c r="F1167" t="s">
        <v>114</v>
      </c>
      <c r="G1167" t="s">
        <v>51</v>
      </c>
      <c r="H1167">
        <v>34000000</v>
      </c>
      <c r="I1167">
        <v>40500000</v>
      </c>
      <c r="J1167" t="s">
        <v>42</v>
      </c>
      <c r="K1167">
        <v>31</v>
      </c>
      <c r="L1167">
        <v>1925</v>
      </c>
      <c r="M1167">
        <v>6</v>
      </c>
      <c r="N1167">
        <v>846</v>
      </c>
      <c r="O1167">
        <v>2</v>
      </c>
      <c r="P1167">
        <v>1</v>
      </c>
      <c r="Q1167">
        <v>0</v>
      </c>
      <c r="R1167">
        <v>8</v>
      </c>
      <c r="S1167">
        <v>15</v>
      </c>
      <c r="T1167">
        <v>52</v>
      </c>
      <c r="U1167">
        <v>22</v>
      </c>
      <c r="V1167">
        <v>0</v>
      </c>
      <c r="W1167">
        <v>2</v>
      </c>
      <c r="X1167">
        <v>0</v>
      </c>
      <c r="Y1167">
        <v>0</v>
      </c>
      <c r="Z1167">
        <v>0</v>
      </c>
      <c r="AA1167">
        <v>5</v>
      </c>
      <c r="AB1167">
        <v>4</v>
      </c>
      <c r="AC1167">
        <v>6</v>
      </c>
      <c r="AD1167">
        <v>5</v>
      </c>
      <c r="AE1167">
        <v>58</v>
      </c>
      <c r="AF1167">
        <v>0</v>
      </c>
      <c r="AG1167">
        <v>16</v>
      </c>
      <c r="AH1167">
        <v>26</v>
      </c>
      <c r="AI1167">
        <v>0</v>
      </c>
      <c r="AJ1167">
        <v>34</v>
      </c>
      <c r="AK1167">
        <v>0</v>
      </c>
      <c r="AL1167">
        <v>0</v>
      </c>
      <c r="AM1167">
        <v>3</v>
      </c>
      <c r="AN1167">
        <v>8</v>
      </c>
      <c r="AO1167">
        <v>22</v>
      </c>
      <c r="AQ1167" t="str">
        <f t="shared" si="18"/>
        <v>Forward</v>
      </c>
    </row>
    <row r="1168" spans="1:43" x14ac:dyDescent="0.35">
      <c r="A1168" t="s">
        <v>703</v>
      </c>
      <c r="B1168" t="s">
        <v>47</v>
      </c>
      <c r="C1168" t="s">
        <v>2034</v>
      </c>
      <c r="D1168">
        <v>1994</v>
      </c>
      <c r="E1168">
        <v>21</v>
      </c>
      <c r="F1168" t="s">
        <v>114</v>
      </c>
      <c r="G1168" t="s">
        <v>51</v>
      </c>
      <c r="H1168">
        <v>40500000</v>
      </c>
      <c r="I1168">
        <v>40500000</v>
      </c>
      <c r="J1168" t="s">
        <v>42</v>
      </c>
      <c r="K1168">
        <v>33</v>
      </c>
      <c r="L1168">
        <v>2515</v>
      </c>
      <c r="M1168">
        <v>7</v>
      </c>
      <c r="N1168">
        <v>1033</v>
      </c>
      <c r="O1168">
        <v>6</v>
      </c>
      <c r="P1168">
        <v>7</v>
      </c>
      <c r="Q1168">
        <v>0</v>
      </c>
      <c r="R1168">
        <v>4</v>
      </c>
      <c r="S1168">
        <v>13</v>
      </c>
      <c r="T1168">
        <v>64</v>
      </c>
      <c r="U1168">
        <v>22</v>
      </c>
      <c r="V1168">
        <v>3</v>
      </c>
      <c r="W1168">
        <v>0</v>
      </c>
      <c r="X1168">
        <v>0</v>
      </c>
      <c r="Y1168">
        <v>0</v>
      </c>
      <c r="Z1168">
        <v>0</v>
      </c>
      <c r="AA1168">
        <v>16</v>
      </c>
      <c r="AB1168">
        <v>4</v>
      </c>
      <c r="AC1168">
        <v>5</v>
      </c>
      <c r="AD1168">
        <v>5</v>
      </c>
      <c r="AE1168">
        <v>84</v>
      </c>
      <c r="AF1168">
        <v>1</v>
      </c>
      <c r="AG1168">
        <v>16</v>
      </c>
      <c r="AH1168">
        <v>36</v>
      </c>
      <c r="AI1168">
        <v>0</v>
      </c>
      <c r="AJ1168">
        <v>24</v>
      </c>
      <c r="AK1168">
        <v>0</v>
      </c>
      <c r="AL1168">
        <v>0</v>
      </c>
      <c r="AM1168">
        <v>3</v>
      </c>
      <c r="AN1168">
        <v>12</v>
      </c>
      <c r="AO1168">
        <v>27</v>
      </c>
      <c r="AQ1168" t="str">
        <f t="shared" si="18"/>
        <v>Forward</v>
      </c>
    </row>
    <row r="1169" spans="1:43" x14ac:dyDescent="0.35">
      <c r="A1169" t="s">
        <v>703</v>
      </c>
      <c r="B1169" t="s">
        <v>43</v>
      </c>
      <c r="C1169" t="s">
        <v>2035</v>
      </c>
      <c r="D1169">
        <v>1994</v>
      </c>
      <c r="E1169">
        <v>23</v>
      </c>
      <c r="F1169" t="s">
        <v>114</v>
      </c>
      <c r="G1169" t="s">
        <v>51</v>
      </c>
      <c r="H1169">
        <v>40500000</v>
      </c>
      <c r="I1169">
        <v>81000000</v>
      </c>
      <c r="J1169" t="s">
        <v>42</v>
      </c>
      <c r="K1169">
        <v>33</v>
      </c>
      <c r="L1169">
        <v>2592</v>
      </c>
      <c r="M1169">
        <v>18</v>
      </c>
      <c r="N1169">
        <v>1170</v>
      </c>
      <c r="O1169">
        <v>11</v>
      </c>
      <c r="P1169">
        <v>3</v>
      </c>
      <c r="Q1169">
        <v>1</v>
      </c>
      <c r="R1169">
        <v>4</v>
      </c>
      <c r="S1169">
        <v>9</v>
      </c>
      <c r="T1169">
        <v>87</v>
      </c>
      <c r="U1169">
        <v>35</v>
      </c>
      <c r="V1169">
        <v>4</v>
      </c>
      <c r="W1169">
        <v>5</v>
      </c>
      <c r="X1169">
        <v>0</v>
      </c>
      <c r="Y1169">
        <v>1</v>
      </c>
      <c r="Z1169">
        <v>0</v>
      </c>
      <c r="AA1169">
        <v>19</v>
      </c>
      <c r="AB1169">
        <v>9</v>
      </c>
      <c r="AC1169">
        <v>52</v>
      </c>
      <c r="AD1169">
        <v>6</v>
      </c>
      <c r="AE1169">
        <v>39</v>
      </c>
      <c r="AF1169">
        <v>0</v>
      </c>
      <c r="AG1169">
        <v>9</v>
      </c>
      <c r="AH1169">
        <v>39</v>
      </c>
      <c r="AI1169">
        <v>0</v>
      </c>
      <c r="AJ1169">
        <v>19</v>
      </c>
      <c r="AK1169">
        <v>0</v>
      </c>
      <c r="AL1169">
        <v>0</v>
      </c>
      <c r="AM1169">
        <v>7</v>
      </c>
      <c r="AN1169">
        <v>8</v>
      </c>
      <c r="AO1169">
        <v>24</v>
      </c>
      <c r="AQ1169" t="str">
        <f t="shared" si="18"/>
        <v>Forward</v>
      </c>
    </row>
    <row r="1170" spans="1:43" x14ac:dyDescent="0.35">
      <c r="A1170" t="s">
        <v>703</v>
      </c>
      <c r="B1170" t="s">
        <v>46</v>
      </c>
      <c r="C1170" t="s">
        <v>2036</v>
      </c>
      <c r="D1170">
        <v>1994</v>
      </c>
      <c r="E1170">
        <v>23</v>
      </c>
      <c r="F1170" t="s">
        <v>114</v>
      </c>
      <c r="G1170" t="s">
        <v>51</v>
      </c>
      <c r="H1170">
        <v>81000000</v>
      </c>
      <c r="I1170">
        <v>126000000</v>
      </c>
      <c r="J1170" t="s">
        <v>42</v>
      </c>
      <c r="K1170">
        <v>34</v>
      </c>
      <c r="L1170">
        <v>2776</v>
      </c>
      <c r="M1170">
        <v>17</v>
      </c>
      <c r="N1170">
        <v>1263</v>
      </c>
      <c r="O1170">
        <v>10</v>
      </c>
      <c r="P1170">
        <v>3</v>
      </c>
      <c r="Q1170">
        <v>0</v>
      </c>
      <c r="R1170">
        <v>3</v>
      </c>
      <c r="S1170">
        <v>9</v>
      </c>
      <c r="T1170">
        <v>77</v>
      </c>
      <c r="U1170">
        <v>39</v>
      </c>
      <c r="V1170">
        <v>3</v>
      </c>
      <c r="W1170">
        <v>1</v>
      </c>
      <c r="X1170">
        <v>2</v>
      </c>
      <c r="Y1170">
        <v>0</v>
      </c>
      <c r="Z1170">
        <v>0</v>
      </c>
      <c r="AA1170">
        <v>13</v>
      </c>
      <c r="AB1170">
        <v>6</v>
      </c>
      <c r="AC1170">
        <v>38</v>
      </c>
      <c r="AD1170">
        <v>19</v>
      </c>
      <c r="AE1170">
        <v>75</v>
      </c>
      <c r="AF1170">
        <v>3</v>
      </c>
      <c r="AG1170">
        <v>17</v>
      </c>
      <c r="AH1170">
        <v>40</v>
      </c>
      <c r="AI1170">
        <v>0</v>
      </c>
      <c r="AJ1170">
        <v>32</v>
      </c>
      <c r="AK1170">
        <v>0</v>
      </c>
      <c r="AL1170">
        <v>0</v>
      </c>
      <c r="AM1170">
        <v>4</v>
      </c>
      <c r="AN1170">
        <v>15</v>
      </c>
      <c r="AO1170">
        <v>28</v>
      </c>
      <c r="AQ1170" t="str">
        <f t="shared" si="18"/>
        <v>Forward</v>
      </c>
    </row>
    <row r="1171" spans="1:43" x14ac:dyDescent="0.35">
      <c r="A1171" t="s">
        <v>704</v>
      </c>
      <c r="B1171" t="s">
        <v>43</v>
      </c>
      <c r="C1171" t="s">
        <v>2037</v>
      </c>
      <c r="D1171">
        <v>1991</v>
      </c>
      <c r="E1171">
        <v>26</v>
      </c>
      <c r="F1171" t="s">
        <v>58</v>
      </c>
      <c r="G1171" t="s">
        <v>216</v>
      </c>
      <c r="H1171">
        <v>1800000</v>
      </c>
      <c r="I1171">
        <v>3600000</v>
      </c>
      <c r="J1171" t="s">
        <v>55</v>
      </c>
      <c r="K1171">
        <v>33</v>
      </c>
      <c r="L1171">
        <v>2144</v>
      </c>
      <c r="M1171">
        <v>3</v>
      </c>
      <c r="N1171">
        <v>633</v>
      </c>
      <c r="O1171">
        <v>0</v>
      </c>
      <c r="P1171">
        <v>3</v>
      </c>
      <c r="Q1171">
        <v>1</v>
      </c>
      <c r="R1171">
        <v>7</v>
      </c>
      <c r="S1171">
        <v>15</v>
      </c>
      <c r="T1171">
        <v>43</v>
      </c>
      <c r="U1171">
        <v>15</v>
      </c>
      <c r="V1171">
        <v>1</v>
      </c>
      <c r="W1171">
        <v>6</v>
      </c>
      <c r="X1171">
        <v>0</v>
      </c>
      <c r="Y1171">
        <v>1</v>
      </c>
      <c r="Z1171">
        <v>0</v>
      </c>
      <c r="AA1171">
        <v>3</v>
      </c>
      <c r="AB1171">
        <v>3</v>
      </c>
      <c r="AC1171">
        <v>28</v>
      </c>
      <c r="AD1171">
        <v>5</v>
      </c>
      <c r="AE1171">
        <v>84</v>
      </c>
      <c r="AF1171">
        <v>1</v>
      </c>
      <c r="AG1171">
        <v>21</v>
      </c>
      <c r="AH1171">
        <v>29</v>
      </c>
      <c r="AI1171">
        <v>0</v>
      </c>
      <c r="AJ1171">
        <v>41</v>
      </c>
      <c r="AK1171">
        <v>1</v>
      </c>
      <c r="AL1171">
        <v>0</v>
      </c>
      <c r="AM1171">
        <v>7</v>
      </c>
      <c r="AN1171">
        <v>13</v>
      </c>
      <c r="AO1171">
        <v>29</v>
      </c>
      <c r="AQ1171" t="str">
        <f t="shared" si="18"/>
        <v>Midfielder</v>
      </c>
    </row>
    <row r="1172" spans="1:43" x14ac:dyDescent="0.35">
      <c r="A1172" t="s">
        <v>705</v>
      </c>
      <c r="B1172" t="s">
        <v>47</v>
      </c>
      <c r="C1172" t="s">
        <v>2038</v>
      </c>
      <c r="D1172">
        <v>1997</v>
      </c>
      <c r="E1172">
        <v>19</v>
      </c>
      <c r="F1172" t="s">
        <v>184</v>
      </c>
      <c r="G1172" t="s">
        <v>101</v>
      </c>
      <c r="H1172">
        <v>1650000</v>
      </c>
      <c r="I1172">
        <v>5500000</v>
      </c>
      <c r="J1172" t="s">
        <v>55</v>
      </c>
      <c r="K1172">
        <v>17</v>
      </c>
      <c r="L1172">
        <v>848</v>
      </c>
      <c r="M1172">
        <v>0</v>
      </c>
      <c r="N1172">
        <v>299</v>
      </c>
      <c r="O1172">
        <v>1</v>
      </c>
      <c r="P1172">
        <v>2</v>
      </c>
      <c r="Q1172">
        <v>0</v>
      </c>
      <c r="R1172">
        <v>9</v>
      </c>
      <c r="S1172">
        <v>3</v>
      </c>
      <c r="T1172">
        <v>4</v>
      </c>
      <c r="U1172">
        <v>1</v>
      </c>
      <c r="V1172">
        <v>1</v>
      </c>
      <c r="W1172">
        <v>0</v>
      </c>
      <c r="X1172">
        <v>0</v>
      </c>
      <c r="Y1172">
        <v>0</v>
      </c>
      <c r="Z1172">
        <v>0</v>
      </c>
      <c r="AA1172">
        <v>3</v>
      </c>
      <c r="AB1172">
        <v>0</v>
      </c>
      <c r="AC1172">
        <v>1</v>
      </c>
      <c r="AD1172">
        <v>0</v>
      </c>
      <c r="AE1172">
        <v>7</v>
      </c>
      <c r="AF1172">
        <v>1</v>
      </c>
      <c r="AG1172">
        <v>8</v>
      </c>
      <c r="AH1172">
        <v>10</v>
      </c>
      <c r="AI1172">
        <v>0</v>
      </c>
      <c r="AJ1172">
        <v>22</v>
      </c>
      <c r="AK1172">
        <v>0</v>
      </c>
      <c r="AL1172">
        <v>0</v>
      </c>
      <c r="AM1172">
        <v>0</v>
      </c>
      <c r="AN1172">
        <v>3</v>
      </c>
      <c r="AO1172">
        <v>8</v>
      </c>
      <c r="AQ1172" t="str">
        <f t="shared" si="18"/>
        <v>Midfielder</v>
      </c>
    </row>
    <row r="1173" spans="1:43" x14ac:dyDescent="0.35">
      <c r="A1173" t="s">
        <v>705</v>
      </c>
      <c r="B1173" t="s">
        <v>43</v>
      </c>
      <c r="C1173" t="s">
        <v>2039</v>
      </c>
      <c r="D1173">
        <v>1997</v>
      </c>
      <c r="E1173">
        <v>20</v>
      </c>
      <c r="F1173" t="s">
        <v>184</v>
      </c>
      <c r="G1173" t="s">
        <v>101</v>
      </c>
      <c r="H1173">
        <v>5500000</v>
      </c>
      <c r="I1173">
        <v>7700000</v>
      </c>
      <c r="J1173" t="s">
        <v>55</v>
      </c>
      <c r="K1173">
        <v>24</v>
      </c>
      <c r="L1173">
        <v>1234</v>
      </c>
      <c r="M1173">
        <v>2</v>
      </c>
      <c r="N1173">
        <v>421</v>
      </c>
      <c r="O1173">
        <v>0</v>
      </c>
      <c r="P1173">
        <v>2</v>
      </c>
      <c r="Q1173">
        <v>0</v>
      </c>
      <c r="R1173">
        <v>12</v>
      </c>
      <c r="S1173">
        <v>7</v>
      </c>
      <c r="T1173">
        <v>13</v>
      </c>
      <c r="U1173">
        <v>6</v>
      </c>
      <c r="V1173">
        <v>0</v>
      </c>
      <c r="W1173">
        <v>7</v>
      </c>
      <c r="X1173">
        <v>0</v>
      </c>
      <c r="Y1173">
        <v>0</v>
      </c>
      <c r="Z1173">
        <v>0</v>
      </c>
      <c r="AA1173">
        <v>3</v>
      </c>
      <c r="AB1173">
        <v>1</v>
      </c>
      <c r="AC1173">
        <v>7</v>
      </c>
      <c r="AD1173">
        <v>0</v>
      </c>
      <c r="AE1173">
        <v>16</v>
      </c>
      <c r="AF1173">
        <v>0</v>
      </c>
      <c r="AG1173">
        <v>14</v>
      </c>
      <c r="AH1173">
        <v>14</v>
      </c>
      <c r="AI1173">
        <v>0</v>
      </c>
      <c r="AJ1173">
        <v>32</v>
      </c>
      <c r="AK1173">
        <v>0</v>
      </c>
      <c r="AL1173">
        <v>0</v>
      </c>
      <c r="AM1173">
        <v>12</v>
      </c>
      <c r="AN1173">
        <v>11</v>
      </c>
      <c r="AO1173">
        <v>17</v>
      </c>
      <c r="AQ1173" t="str">
        <f t="shared" si="18"/>
        <v>Midfielder</v>
      </c>
    </row>
    <row r="1174" spans="1:43" x14ac:dyDescent="0.35">
      <c r="A1174" t="s">
        <v>706</v>
      </c>
      <c r="B1174" t="s">
        <v>39</v>
      </c>
      <c r="C1174" t="s">
        <v>2040</v>
      </c>
      <c r="D1174">
        <v>1987</v>
      </c>
      <c r="E1174">
        <v>28</v>
      </c>
      <c r="F1174" t="s">
        <v>44</v>
      </c>
      <c r="G1174" t="s">
        <v>154</v>
      </c>
      <c r="H1174">
        <v>27500000</v>
      </c>
      <c r="I1174">
        <v>16500000</v>
      </c>
      <c r="J1174" t="s">
        <v>55</v>
      </c>
      <c r="K1174">
        <v>12</v>
      </c>
      <c r="L1174">
        <v>607</v>
      </c>
      <c r="M1174">
        <v>2</v>
      </c>
      <c r="N1174">
        <v>309</v>
      </c>
      <c r="O1174">
        <v>0</v>
      </c>
      <c r="P1174">
        <v>1</v>
      </c>
      <c r="Q1174">
        <v>0</v>
      </c>
      <c r="R1174">
        <v>5</v>
      </c>
      <c r="S1174">
        <v>4</v>
      </c>
      <c r="T1174">
        <v>10</v>
      </c>
      <c r="U1174">
        <v>5</v>
      </c>
      <c r="V1174">
        <v>0</v>
      </c>
      <c r="W1174">
        <v>2</v>
      </c>
      <c r="X1174">
        <v>0</v>
      </c>
      <c r="Y1174">
        <v>0</v>
      </c>
      <c r="Z1174">
        <v>0</v>
      </c>
      <c r="AA1174">
        <v>0</v>
      </c>
      <c r="AB1174">
        <v>2</v>
      </c>
      <c r="AC1174">
        <v>1</v>
      </c>
      <c r="AD1174">
        <v>0</v>
      </c>
      <c r="AE1174">
        <v>5</v>
      </c>
      <c r="AF1174">
        <v>1</v>
      </c>
      <c r="AG1174">
        <v>14</v>
      </c>
      <c r="AH1174">
        <v>21</v>
      </c>
      <c r="AI1174">
        <v>0</v>
      </c>
      <c r="AJ1174">
        <v>23</v>
      </c>
      <c r="AK1174">
        <v>0</v>
      </c>
      <c r="AL1174">
        <v>0</v>
      </c>
      <c r="AM1174">
        <v>7</v>
      </c>
      <c r="AN1174">
        <v>9</v>
      </c>
      <c r="AO1174">
        <v>18</v>
      </c>
      <c r="AQ1174" t="str">
        <f t="shared" si="18"/>
        <v>Midfielder</v>
      </c>
    </row>
    <row r="1175" spans="1:43" x14ac:dyDescent="0.35">
      <c r="A1175" t="s">
        <v>707</v>
      </c>
      <c r="B1175" t="s">
        <v>47</v>
      </c>
      <c r="C1175" t="s">
        <v>2041</v>
      </c>
      <c r="D1175">
        <v>1991</v>
      </c>
      <c r="E1175">
        <v>25</v>
      </c>
      <c r="F1175" t="s">
        <v>54</v>
      </c>
      <c r="G1175" t="s">
        <v>262</v>
      </c>
      <c r="H1175">
        <v>10800000</v>
      </c>
      <c r="I1175">
        <v>10800000</v>
      </c>
      <c r="J1175" t="s">
        <v>52</v>
      </c>
      <c r="K1175">
        <v>23</v>
      </c>
      <c r="L1175">
        <v>1539</v>
      </c>
      <c r="M1175">
        <v>0</v>
      </c>
      <c r="N1175">
        <v>794</v>
      </c>
      <c r="O1175">
        <v>1</v>
      </c>
      <c r="P1175">
        <v>0</v>
      </c>
      <c r="Q1175">
        <v>0</v>
      </c>
      <c r="R1175">
        <v>7</v>
      </c>
      <c r="S1175">
        <v>0</v>
      </c>
      <c r="T1175">
        <v>12</v>
      </c>
      <c r="U1175">
        <v>2</v>
      </c>
      <c r="V1175">
        <v>0</v>
      </c>
      <c r="W1175">
        <v>70</v>
      </c>
      <c r="X1175">
        <v>0</v>
      </c>
      <c r="Y1175">
        <v>0</v>
      </c>
      <c r="Z1175">
        <v>0</v>
      </c>
      <c r="AA1175">
        <v>1</v>
      </c>
      <c r="AB1175">
        <v>0</v>
      </c>
      <c r="AC1175">
        <v>1</v>
      </c>
      <c r="AD1175">
        <v>0</v>
      </c>
      <c r="AE1175">
        <v>5</v>
      </c>
      <c r="AF1175">
        <v>8</v>
      </c>
      <c r="AG1175">
        <v>31</v>
      </c>
      <c r="AH1175">
        <v>10</v>
      </c>
      <c r="AI1175">
        <v>0</v>
      </c>
      <c r="AJ1175">
        <v>26</v>
      </c>
      <c r="AK1175">
        <v>0</v>
      </c>
      <c r="AL1175">
        <v>0</v>
      </c>
      <c r="AM1175">
        <v>111</v>
      </c>
      <c r="AN1175">
        <v>46</v>
      </c>
      <c r="AO1175">
        <v>27</v>
      </c>
      <c r="AQ1175" t="str">
        <f t="shared" si="18"/>
        <v>Defensive Forward</v>
      </c>
    </row>
    <row r="1176" spans="1:43" x14ac:dyDescent="0.35">
      <c r="A1176" t="s">
        <v>707</v>
      </c>
      <c r="B1176" t="s">
        <v>39</v>
      </c>
      <c r="C1176" t="s">
        <v>2042</v>
      </c>
      <c r="D1176">
        <v>1991</v>
      </c>
      <c r="E1176">
        <v>24</v>
      </c>
      <c r="F1176" t="s">
        <v>54</v>
      </c>
      <c r="G1176" t="s">
        <v>262</v>
      </c>
      <c r="H1176">
        <v>5400000</v>
      </c>
      <c r="I1176">
        <v>10800000</v>
      </c>
      <c r="J1176" t="s">
        <v>52</v>
      </c>
      <c r="K1176">
        <v>28</v>
      </c>
      <c r="L1176">
        <v>2191</v>
      </c>
      <c r="M1176">
        <v>4</v>
      </c>
      <c r="N1176">
        <v>1238</v>
      </c>
      <c r="O1176">
        <v>1</v>
      </c>
      <c r="P1176">
        <v>4</v>
      </c>
      <c r="Q1176">
        <v>1</v>
      </c>
      <c r="R1176">
        <v>4</v>
      </c>
      <c r="S1176">
        <v>0</v>
      </c>
      <c r="T1176">
        <v>24</v>
      </c>
      <c r="U1176">
        <v>9</v>
      </c>
      <c r="V1176">
        <v>0</v>
      </c>
      <c r="W1176">
        <v>99</v>
      </c>
      <c r="X1176">
        <v>2</v>
      </c>
      <c r="Y1176">
        <v>0</v>
      </c>
      <c r="Z1176">
        <v>0</v>
      </c>
      <c r="AA1176">
        <v>2</v>
      </c>
      <c r="AB1176">
        <v>0</v>
      </c>
      <c r="AC1176">
        <v>3</v>
      </c>
      <c r="AD1176">
        <v>0</v>
      </c>
      <c r="AE1176">
        <v>6</v>
      </c>
      <c r="AF1176">
        <v>11</v>
      </c>
      <c r="AG1176">
        <v>66</v>
      </c>
      <c r="AH1176">
        <v>8</v>
      </c>
      <c r="AI1176">
        <v>0</v>
      </c>
      <c r="AJ1176">
        <v>41</v>
      </c>
      <c r="AK1176">
        <v>0</v>
      </c>
      <c r="AL1176">
        <v>0</v>
      </c>
      <c r="AM1176">
        <v>217</v>
      </c>
      <c r="AN1176">
        <v>76</v>
      </c>
      <c r="AO1176">
        <v>45</v>
      </c>
      <c r="AQ1176" t="str">
        <f t="shared" si="18"/>
        <v>Defensive Forward</v>
      </c>
    </row>
    <row r="1177" spans="1:43" x14ac:dyDescent="0.35">
      <c r="A1177" t="s">
        <v>708</v>
      </c>
      <c r="B1177" t="s">
        <v>43</v>
      </c>
      <c r="C1177" t="s">
        <v>2043</v>
      </c>
      <c r="D1177">
        <v>1997</v>
      </c>
      <c r="E1177">
        <v>20</v>
      </c>
      <c r="F1177" t="s">
        <v>40</v>
      </c>
      <c r="G1177" t="s">
        <v>41</v>
      </c>
      <c r="H1177">
        <v>19800000</v>
      </c>
      <c r="I1177">
        <v>18000000</v>
      </c>
      <c r="J1177" t="s">
        <v>55</v>
      </c>
      <c r="K1177">
        <v>12</v>
      </c>
      <c r="L1177">
        <v>703</v>
      </c>
      <c r="M1177">
        <v>0</v>
      </c>
      <c r="N1177">
        <v>379</v>
      </c>
      <c r="O1177">
        <v>0</v>
      </c>
      <c r="P1177">
        <v>1</v>
      </c>
      <c r="Q1177">
        <v>0</v>
      </c>
      <c r="R1177">
        <v>3</v>
      </c>
      <c r="S1177">
        <v>5</v>
      </c>
      <c r="T1177">
        <v>12</v>
      </c>
      <c r="U1177">
        <v>0</v>
      </c>
      <c r="V1177">
        <v>0</v>
      </c>
      <c r="W1177">
        <v>2</v>
      </c>
      <c r="X1177">
        <v>0</v>
      </c>
      <c r="Y1177">
        <v>0</v>
      </c>
      <c r="Z1177">
        <v>0</v>
      </c>
      <c r="AA1177">
        <v>0</v>
      </c>
      <c r="AB1177">
        <v>1</v>
      </c>
      <c r="AC1177">
        <v>12</v>
      </c>
      <c r="AD1177">
        <v>11</v>
      </c>
      <c r="AE1177">
        <v>32</v>
      </c>
      <c r="AF1177">
        <v>1</v>
      </c>
      <c r="AG1177">
        <v>7</v>
      </c>
      <c r="AH1177">
        <v>8</v>
      </c>
      <c r="AI1177">
        <v>0</v>
      </c>
      <c r="AJ1177">
        <v>12</v>
      </c>
      <c r="AK1177">
        <v>0</v>
      </c>
      <c r="AL1177">
        <v>0</v>
      </c>
      <c r="AM1177">
        <v>4</v>
      </c>
      <c r="AN1177">
        <v>2</v>
      </c>
      <c r="AO1177">
        <v>13</v>
      </c>
      <c r="AQ1177" t="str">
        <f t="shared" si="18"/>
        <v>Midfielder</v>
      </c>
    </row>
    <row r="1178" spans="1:43" x14ac:dyDescent="0.35">
      <c r="A1178" t="s">
        <v>709</v>
      </c>
      <c r="B1178" t="s">
        <v>46</v>
      </c>
      <c r="C1178" t="s">
        <v>2044</v>
      </c>
      <c r="D1178">
        <v>1993</v>
      </c>
      <c r="E1178">
        <v>24</v>
      </c>
      <c r="F1178" t="s">
        <v>99</v>
      </c>
      <c r="G1178" t="s">
        <v>41</v>
      </c>
      <c r="H1178">
        <v>18000000</v>
      </c>
      <c r="I1178">
        <v>22500000</v>
      </c>
      <c r="J1178" t="s">
        <v>55</v>
      </c>
      <c r="K1178">
        <v>35</v>
      </c>
      <c r="L1178">
        <v>3125</v>
      </c>
      <c r="M1178">
        <v>2</v>
      </c>
      <c r="N1178">
        <v>1532</v>
      </c>
      <c r="O1178">
        <v>6</v>
      </c>
      <c r="P1178">
        <v>7</v>
      </c>
      <c r="Q1178">
        <v>0</v>
      </c>
      <c r="R1178">
        <v>0</v>
      </c>
      <c r="S1178">
        <v>2</v>
      </c>
      <c r="T1178">
        <v>25</v>
      </c>
      <c r="U1178">
        <v>9</v>
      </c>
      <c r="V1178">
        <v>1</v>
      </c>
      <c r="W1178">
        <v>55</v>
      </c>
      <c r="X1178">
        <v>0</v>
      </c>
      <c r="Y1178">
        <v>0</v>
      </c>
      <c r="Z1178">
        <v>0</v>
      </c>
      <c r="AA1178">
        <v>2</v>
      </c>
      <c r="AB1178">
        <v>3</v>
      </c>
      <c r="AC1178">
        <v>16</v>
      </c>
      <c r="AD1178">
        <v>0</v>
      </c>
      <c r="AE1178">
        <v>104</v>
      </c>
      <c r="AF1178">
        <v>6</v>
      </c>
      <c r="AG1178">
        <v>60</v>
      </c>
      <c r="AH1178">
        <v>41</v>
      </c>
      <c r="AI1178">
        <v>0</v>
      </c>
      <c r="AJ1178">
        <v>118</v>
      </c>
      <c r="AK1178">
        <v>0</v>
      </c>
      <c r="AL1178">
        <v>0</v>
      </c>
      <c r="AM1178">
        <v>106</v>
      </c>
      <c r="AN1178">
        <v>66</v>
      </c>
      <c r="AO1178">
        <v>75</v>
      </c>
      <c r="AQ1178" t="str">
        <f t="shared" si="18"/>
        <v>Midfielder</v>
      </c>
    </row>
    <row r="1179" spans="1:43" x14ac:dyDescent="0.35">
      <c r="A1179" t="s">
        <v>710</v>
      </c>
      <c r="B1179" t="s">
        <v>43</v>
      </c>
      <c r="C1179" t="s">
        <v>2045</v>
      </c>
      <c r="D1179">
        <v>1997</v>
      </c>
      <c r="E1179">
        <v>20</v>
      </c>
      <c r="F1179" t="s">
        <v>66</v>
      </c>
      <c r="G1179" t="s">
        <v>154</v>
      </c>
      <c r="H1179">
        <v>2200000</v>
      </c>
      <c r="I1179">
        <v>22500000</v>
      </c>
      <c r="J1179" t="s">
        <v>42</v>
      </c>
      <c r="K1179">
        <v>38</v>
      </c>
      <c r="L1179">
        <v>2827</v>
      </c>
      <c r="M1179">
        <v>5</v>
      </c>
      <c r="N1179">
        <v>804</v>
      </c>
      <c r="O1179">
        <v>4</v>
      </c>
      <c r="P1179">
        <v>4</v>
      </c>
      <c r="Q1179">
        <v>0</v>
      </c>
      <c r="R1179">
        <v>6</v>
      </c>
      <c r="S1179">
        <v>10</v>
      </c>
      <c r="T1179">
        <v>95</v>
      </c>
      <c r="U1179">
        <v>22</v>
      </c>
      <c r="V1179">
        <v>2</v>
      </c>
      <c r="W1179">
        <v>20</v>
      </c>
      <c r="X1179">
        <v>1</v>
      </c>
      <c r="Y1179">
        <v>0</v>
      </c>
      <c r="Z1179">
        <v>0</v>
      </c>
      <c r="AA1179">
        <v>21</v>
      </c>
      <c r="AB1179">
        <v>2</v>
      </c>
      <c r="AC1179">
        <v>73</v>
      </c>
      <c r="AD1179">
        <v>1</v>
      </c>
      <c r="AE1179">
        <v>51</v>
      </c>
      <c r="AF1179">
        <v>5</v>
      </c>
      <c r="AG1179">
        <v>24</v>
      </c>
      <c r="AH1179">
        <v>37</v>
      </c>
      <c r="AI1179">
        <v>0</v>
      </c>
      <c r="AJ1179">
        <v>64</v>
      </c>
      <c r="AK1179">
        <v>0</v>
      </c>
      <c r="AL1179">
        <v>0</v>
      </c>
      <c r="AM1179">
        <v>29</v>
      </c>
      <c r="AN1179">
        <v>120</v>
      </c>
      <c r="AO1179">
        <v>162</v>
      </c>
      <c r="AQ1179" t="str">
        <f t="shared" si="18"/>
        <v>Forward</v>
      </c>
    </row>
    <row r="1180" spans="1:43" x14ac:dyDescent="0.35">
      <c r="A1180" t="s">
        <v>710</v>
      </c>
      <c r="B1180" t="s">
        <v>46</v>
      </c>
      <c r="C1180" t="s">
        <v>2046</v>
      </c>
      <c r="D1180">
        <v>1997</v>
      </c>
      <c r="E1180">
        <v>21</v>
      </c>
      <c r="F1180" t="s">
        <v>54</v>
      </c>
      <c r="G1180" t="s">
        <v>154</v>
      </c>
      <c r="H1180">
        <v>22500000</v>
      </c>
      <c r="I1180">
        <v>45000000</v>
      </c>
      <c r="J1180" t="s">
        <v>42</v>
      </c>
      <c r="K1180">
        <v>35</v>
      </c>
      <c r="L1180">
        <v>2678</v>
      </c>
      <c r="M1180">
        <v>13</v>
      </c>
      <c r="N1180">
        <v>793</v>
      </c>
      <c r="O1180">
        <v>1</v>
      </c>
      <c r="P1180">
        <v>5</v>
      </c>
      <c r="Q1180">
        <v>1</v>
      </c>
      <c r="R1180">
        <v>3</v>
      </c>
      <c r="S1180">
        <v>16</v>
      </c>
      <c r="T1180">
        <v>83</v>
      </c>
      <c r="U1180">
        <v>29</v>
      </c>
      <c r="V1180">
        <v>2</v>
      </c>
      <c r="W1180">
        <v>29</v>
      </c>
      <c r="X1180">
        <v>2</v>
      </c>
      <c r="Y1180">
        <v>0</v>
      </c>
      <c r="Z1180">
        <v>0</v>
      </c>
      <c r="AA1180">
        <v>17</v>
      </c>
      <c r="AB1180">
        <v>4</v>
      </c>
      <c r="AC1180">
        <v>54</v>
      </c>
      <c r="AD1180">
        <v>0</v>
      </c>
      <c r="AE1180">
        <v>47</v>
      </c>
      <c r="AF1180">
        <v>2</v>
      </c>
      <c r="AG1180">
        <v>16</v>
      </c>
      <c r="AH1180">
        <v>32</v>
      </c>
      <c r="AI1180">
        <v>0</v>
      </c>
      <c r="AJ1180">
        <v>49</v>
      </c>
      <c r="AK1180">
        <v>0</v>
      </c>
      <c r="AL1180">
        <v>0</v>
      </c>
      <c r="AM1180">
        <v>39</v>
      </c>
      <c r="AN1180">
        <v>70</v>
      </c>
      <c r="AO1180">
        <v>154</v>
      </c>
      <c r="AQ1180" t="str">
        <f t="shared" si="18"/>
        <v>Forward</v>
      </c>
    </row>
    <row r="1181" spans="1:43" x14ac:dyDescent="0.35">
      <c r="A1181" t="s">
        <v>711</v>
      </c>
      <c r="B1181" t="s">
        <v>39</v>
      </c>
      <c r="C1181" t="s">
        <v>2047</v>
      </c>
      <c r="D1181">
        <v>1982</v>
      </c>
      <c r="E1181">
        <v>33</v>
      </c>
      <c r="F1181" t="s">
        <v>103</v>
      </c>
      <c r="G1181" t="s">
        <v>51</v>
      </c>
      <c r="H1181">
        <v>3300000</v>
      </c>
      <c r="I1181">
        <v>2250000</v>
      </c>
      <c r="J1181" t="s">
        <v>42</v>
      </c>
      <c r="K1181">
        <v>19</v>
      </c>
      <c r="L1181">
        <v>617</v>
      </c>
      <c r="M1181">
        <v>1</v>
      </c>
      <c r="N1181">
        <v>272</v>
      </c>
      <c r="O1181">
        <v>1</v>
      </c>
      <c r="P1181">
        <v>2</v>
      </c>
      <c r="Q1181">
        <v>0</v>
      </c>
      <c r="R1181">
        <v>14</v>
      </c>
      <c r="S1181">
        <v>3</v>
      </c>
      <c r="T1181">
        <v>14</v>
      </c>
      <c r="U1181">
        <v>4</v>
      </c>
      <c r="V1181">
        <v>0</v>
      </c>
      <c r="W1181">
        <v>5</v>
      </c>
      <c r="X1181">
        <v>0</v>
      </c>
      <c r="Y1181">
        <v>1</v>
      </c>
      <c r="Z1181">
        <v>0</v>
      </c>
      <c r="AA1181">
        <v>2</v>
      </c>
      <c r="AB1181">
        <v>1</v>
      </c>
      <c r="AC1181">
        <v>0</v>
      </c>
      <c r="AD1181">
        <v>0</v>
      </c>
      <c r="AE1181">
        <v>4</v>
      </c>
      <c r="AF1181">
        <v>0</v>
      </c>
      <c r="AG1181">
        <v>0</v>
      </c>
      <c r="AH1181">
        <v>6</v>
      </c>
      <c r="AI1181">
        <v>0</v>
      </c>
      <c r="AJ1181">
        <v>0</v>
      </c>
      <c r="AK1181">
        <v>0</v>
      </c>
      <c r="AL1181">
        <v>0</v>
      </c>
      <c r="AM1181">
        <v>6</v>
      </c>
      <c r="AN1181">
        <v>20</v>
      </c>
      <c r="AO1181">
        <v>37</v>
      </c>
      <c r="AQ1181" t="str">
        <f t="shared" si="18"/>
        <v>Forward</v>
      </c>
    </row>
    <row r="1182" spans="1:43" x14ac:dyDescent="0.35">
      <c r="A1182" t="s">
        <v>712</v>
      </c>
      <c r="B1182" t="s">
        <v>39</v>
      </c>
      <c r="C1182" t="s">
        <v>2048</v>
      </c>
      <c r="D1182">
        <v>1988</v>
      </c>
      <c r="E1182">
        <v>26</v>
      </c>
      <c r="F1182" t="s">
        <v>99</v>
      </c>
      <c r="G1182" t="s">
        <v>95</v>
      </c>
      <c r="H1182">
        <v>2250000</v>
      </c>
      <c r="I1182">
        <v>1800000</v>
      </c>
      <c r="J1182" t="s">
        <v>52</v>
      </c>
      <c r="K1182">
        <v>12</v>
      </c>
      <c r="L1182">
        <v>655</v>
      </c>
      <c r="M1182">
        <v>1</v>
      </c>
      <c r="N1182">
        <v>218</v>
      </c>
      <c r="O1182">
        <v>0</v>
      </c>
      <c r="P1182">
        <v>1</v>
      </c>
      <c r="Q1182">
        <v>0</v>
      </c>
      <c r="R1182">
        <v>5</v>
      </c>
      <c r="S1182">
        <v>3</v>
      </c>
      <c r="T1182">
        <v>2</v>
      </c>
      <c r="U1182">
        <v>1</v>
      </c>
      <c r="V1182">
        <v>0</v>
      </c>
      <c r="W1182">
        <v>12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15</v>
      </c>
      <c r="AF1182">
        <v>11</v>
      </c>
      <c r="AG1182">
        <v>21</v>
      </c>
      <c r="AH1182">
        <v>6</v>
      </c>
      <c r="AI1182">
        <v>0</v>
      </c>
      <c r="AJ1182">
        <v>25</v>
      </c>
      <c r="AK1182">
        <v>0</v>
      </c>
      <c r="AL1182">
        <v>0</v>
      </c>
      <c r="AM1182">
        <v>25</v>
      </c>
      <c r="AN1182">
        <v>13</v>
      </c>
      <c r="AO1182">
        <v>16</v>
      </c>
      <c r="AQ1182" t="str">
        <f t="shared" si="18"/>
        <v>Defensive Forward</v>
      </c>
    </row>
    <row r="1183" spans="1:43" x14ac:dyDescent="0.35">
      <c r="A1183" t="s">
        <v>713</v>
      </c>
      <c r="B1183" t="s">
        <v>39</v>
      </c>
      <c r="C1183" t="s">
        <v>2049</v>
      </c>
      <c r="D1183">
        <v>1991</v>
      </c>
      <c r="E1183">
        <v>24</v>
      </c>
      <c r="F1183" t="s">
        <v>99</v>
      </c>
      <c r="G1183" t="s">
        <v>93</v>
      </c>
      <c r="H1183">
        <v>7700000</v>
      </c>
      <c r="I1183">
        <v>18000000</v>
      </c>
      <c r="J1183" t="s">
        <v>42</v>
      </c>
      <c r="K1183">
        <v>37</v>
      </c>
      <c r="L1183">
        <v>3052</v>
      </c>
      <c r="M1183">
        <v>17</v>
      </c>
      <c r="N1183">
        <v>1034</v>
      </c>
      <c r="O1183">
        <v>11</v>
      </c>
      <c r="P1183">
        <v>1</v>
      </c>
      <c r="Q1183">
        <v>0</v>
      </c>
      <c r="R1183">
        <v>1</v>
      </c>
      <c r="S1183">
        <v>24</v>
      </c>
      <c r="T1183">
        <v>86</v>
      </c>
      <c r="U1183">
        <v>39</v>
      </c>
      <c r="V1183">
        <v>2</v>
      </c>
      <c r="W1183">
        <v>6</v>
      </c>
      <c r="X1183">
        <v>1</v>
      </c>
      <c r="Y1183">
        <v>4</v>
      </c>
      <c r="Z1183">
        <v>0</v>
      </c>
      <c r="AA1183">
        <v>4</v>
      </c>
      <c r="AB1183">
        <v>18</v>
      </c>
      <c r="AC1183">
        <v>5</v>
      </c>
      <c r="AD1183">
        <v>35</v>
      </c>
      <c r="AE1183">
        <v>114</v>
      </c>
      <c r="AF1183">
        <v>4</v>
      </c>
      <c r="AG1183">
        <v>38</v>
      </c>
      <c r="AH1183">
        <v>19</v>
      </c>
      <c r="AI1183">
        <v>0</v>
      </c>
      <c r="AJ1183">
        <v>53</v>
      </c>
      <c r="AK1183">
        <v>0</v>
      </c>
      <c r="AL1183">
        <v>0</v>
      </c>
      <c r="AM1183">
        <v>14</v>
      </c>
      <c r="AN1183">
        <v>35</v>
      </c>
      <c r="AO1183">
        <v>65</v>
      </c>
      <c r="AQ1183" t="str">
        <f t="shared" si="18"/>
        <v>Forward</v>
      </c>
    </row>
    <row r="1184" spans="1:43" x14ac:dyDescent="0.35">
      <c r="A1184" t="s">
        <v>713</v>
      </c>
      <c r="B1184" t="s">
        <v>47</v>
      </c>
      <c r="C1184" t="s">
        <v>2050</v>
      </c>
      <c r="D1184">
        <v>1991</v>
      </c>
      <c r="E1184">
        <v>25</v>
      </c>
      <c r="F1184" t="s">
        <v>99</v>
      </c>
      <c r="G1184" t="s">
        <v>93</v>
      </c>
      <c r="H1184">
        <v>18000000</v>
      </c>
      <c r="I1184">
        <v>27000000</v>
      </c>
      <c r="J1184" t="s">
        <v>42</v>
      </c>
      <c r="K1184">
        <v>36</v>
      </c>
      <c r="L1184">
        <v>2835</v>
      </c>
      <c r="M1184">
        <v>6</v>
      </c>
      <c r="N1184">
        <v>1065</v>
      </c>
      <c r="O1184">
        <v>3</v>
      </c>
      <c r="P1184">
        <v>4</v>
      </c>
      <c r="Q1184">
        <v>0</v>
      </c>
      <c r="R1184">
        <v>3</v>
      </c>
      <c r="S1184">
        <v>15</v>
      </c>
      <c r="T1184">
        <v>76</v>
      </c>
      <c r="U1184">
        <v>29</v>
      </c>
      <c r="V1184">
        <v>2</v>
      </c>
      <c r="W1184">
        <v>7</v>
      </c>
      <c r="X1184">
        <v>0</v>
      </c>
      <c r="Y1184">
        <v>3</v>
      </c>
      <c r="Z1184">
        <v>0</v>
      </c>
      <c r="AA1184">
        <v>8</v>
      </c>
      <c r="AB1184">
        <v>9</v>
      </c>
      <c r="AC1184">
        <v>5</v>
      </c>
      <c r="AD1184">
        <v>54</v>
      </c>
      <c r="AE1184">
        <v>154</v>
      </c>
      <c r="AF1184">
        <v>2</v>
      </c>
      <c r="AG1184">
        <v>29</v>
      </c>
      <c r="AH1184">
        <v>25</v>
      </c>
      <c r="AI1184">
        <v>0</v>
      </c>
      <c r="AJ1184">
        <v>36</v>
      </c>
      <c r="AK1184">
        <v>0</v>
      </c>
      <c r="AL1184">
        <v>0</v>
      </c>
      <c r="AM1184">
        <v>15</v>
      </c>
      <c r="AN1184">
        <v>22</v>
      </c>
      <c r="AO1184">
        <v>59</v>
      </c>
      <c r="AQ1184" t="str">
        <f t="shared" si="18"/>
        <v>Forward</v>
      </c>
    </row>
    <row r="1185" spans="1:43" x14ac:dyDescent="0.35">
      <c r="A1185" t="s">
        <v>713</v>
      </c>
      <c r="B1185" t="s">
        <v>43</v>
      </c>
      <c r="C1185" t="s">
        <v>2051</v>
      </c>
      <c r="D1185">
        <v>1991</v>
      </c>
      <c r="E1185">
        <v>26</v>
      </c>
      <c r="F1185" t="s">
        <v>99</v>
      </c>
      <c r="G1185" t="s">
        <v>93</v>
      </c>
      <c r="H1185">
        <v>27000000</v>
      </c>
      <c r="I1185">
        <v>45000000</v>
      </c>
      <c r="J1185" t="s">
        <v>42</v>
      </c>
      <c r="K1185">
        <v>36</v>
      </c>
      <c r="L1185">
        <v>2960</v>
      </c>
      <c r="M1185">
        <v>12</v>
      </c>
      <c r="N1185">
        <v>1276</v>
      </c>
      <c r="O1185">
        <v>10</v>
      </c>
      <c r="P1185">
        <v>2</v>
      </c>
      <c r="Q1185">
        <v>0</v>
      </c>
      <c r="R1185">
        <v>2</v>
      </c>
      <c r="S1185">
        <v>12</v>
      </c>
      <c r="T1185">
        <v>73</v>
      </c>
      <c r="U1185">
        <v>36</v>
      </c>
      <c r="V1185">
        <v>0</v>
      </c>
      <c r="W1185">
        <v>5</v>
      </c>
      <c r="X1185">
        <v>1</v>
      </c>
      <c r="Y1185">
        <v>0</v>
      </c>
      <c r="Z1185">
        <v>1</v>
      </c>
      <c r="AA1185">
        <v>10</v>
      </c>
      <c r="AB1185">
        <v>18</v>
      </c>
      <c r="AC1185">
        <v>37</v>
      </c>
      <c r="AD1185">
        <v>93</v>
      </c>
      <c r="AE1185">
        <v>158</v>
      </c>
      <c r="AF1185">
        <v>1</v>
      </c>
      <c r="AG1185">
        <v>18</v>
      </c>
      <c r="AH1185">
        <v>23</v>
      </c>
      <c r="AI1185">
        <v>0</v>
      </c>
      <c r="AJ1185">
        <v>39</v>
      </c>
      <c r="AK1185">
        <v>0</v>
      </c>
      <c r="AL1185">
        <v>0</v>
      </c>
      <c r="AM1185">
        <v>9</v>
      </c>
      <c r="AN1185">
        <v>28</v>
      </c>
      <c r="AO1185">
        <v>52</v>
      </c>
      <c r="AQ1185" t="str">
        <f t="shared" si="18"/>
        <v>Forward</v>
      </c>
    </row>
    <row r="1186" spans="1:43" x14ac:dyDescent="0.35">
      <c r="A1186" t="s">
        <v>713</v>
      </c>
      <c r="B1186" t="s">
        <v>46</v>
      </c>
      <c r="C1186" t="s">
        <v>2052</v>
      </c>
      <c r="D1186">
        <v>1991</v>
      </c>
      <c r="E1186">
        <v>27</v>
      </c>
      <c r="F1186" t="s">
        <v>114</v>
      </c>
      <c r="G1186" t="s">
        <v>93</v>
      </c>
      <c r="H1186">
        <v>55000000</v>
      </c>
      <c r="I1186">
        <v>66000000</v>
      </c>
      <c r="J1186" t="s">
        <v>55</v>
      </c>
      <c r="K1186">
        <v>27</v>
      </c>
      <c r="L1186">
        <v>1337</v>
      </c>
      <c r="M1186">
        <v>7</v>
      </c>
      <c r="N1186">
        <v>798</v>
      </c>
      <c r="O1186">
        <v>4</v>
      </c>
      <c r="P1186">
        <v>0</v>
      </c>
      <c r="Q1186">
        <v>0</v>
      </c>
      <c r="R1186">
        <v>13</v>
      </c>
      <c r="S1186">
        <v>9</v>
      </c>
      <c r="T1186">
        <v>54</v>
      </c>
      <c r="U1186">
        <v>25</v>
      </c>
      <c r="V1186">
        <v>2</v>
      </c>
      <c r="W1186">
        <v>0</v>
      </c>
      <c r="X1186">
        <v>0</v>
      </c>
      <c r="Y1186">
        <v>0</v>
      </c>
      <c r="Z1186">
        <v>0</v>
      </c>
      <c r="AA1186">
        <v>9</v>
      </c>
      <c r="AB1186">
        <v>11</v>
      </c>
      <c r="AC1186">
        <v>29</v>
      </c>
      <c r="AD1186">
        <v>44</v>
      </c>
      <c r="AE1186">
        <v>73</v>
      </c>
      <c r="AF1186">
        <v>1</v>
      </c>
      <c r="AG1186">
        <v>9</v>
      </c>
      <c r="AH1186">
        <v>10</v>
      </c>
      <c r="AI1186">
        <v>0</v>
      </c>
      <c r="AJ1186">
        <v>14</v>
      </c>
      <c r="AK1186">
        <v>0</v>
      </c>
      <c r="AL1186">
        <v>0</v>
      </c>
      <c r="AM1186">
        <v>2</v>
      </c>
      <c r="AN1186">
        <v>19</v>
      </c>
      <c r="AO1186">
        <v>24</v>
      </c>
      <c r="AQ1186" t="str">
        <f t="shared" si="18"/>
        <v>Midfielder</v>
      </c>
    </row>
    <row r="1187" spans="1:43" x14ac:dyDescent="0.35">
      <c r="A1187" t="s">
        <v>714</v>
      </c>
      <c r="B1187" t="s">
        <v>46</v>
      </c>
      <c r="C1187" t="s">
        <v>2053</v>
      </c>
      <c r="D1187">
        <v>1995</v>
      </c>
      <c r="E1187">
        <v>22</v>
      </c>
      <c r="F1187" t="s">
        <v>61</v>
      </c>
      <c r="G1187" t="s">
        <v>51</v>
      </c>
      <c r="H1187">
        <v>6300000</v>
      </c>
      <c r="I1187">
        <v>10800000</v>
      </c>
      <c r="J1187" t="s">
        <v>52</v>
      </c>
      <c r="K1187">
        <v>10</v>
      </c>
      <c r="L1187">
        <v>807</v>
      </c>
      <c r="M1187">
        <v>0</v>
      </c>
      <c r="N1187">
        <v>614</v>
      </c>
      <c r="O1187">
        <v>0</v>
      </c>
      <c r="P1187">
        <v>1</v>
      </c>
      <c r="Q1187">
        <v>0</v>
      </c>
      <c r="R1187">
        <v>1</v>
      </c>
      <c r="S1187">
        <v>1</v>
      </c>
      <c r="T1187">
        <v>2</v>
      </c>
      <c r="U1187">
        <v>0</v>
      </c>
      <c r="V1187">
        <v>0</v>
      </c>
      <c r="W1187">
        <v>21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2</v>
      </c>
      <c r="AD1187">
        <v>0</v>
      </c>
      <c r="AE1187">
        <v>1</v>
      </c>
      <c r="AF1187">
        <v>7</v>
      </c>
      <c r="AG1187">
        <v>12</v>
      </c>
      <c r="AH1187">
        <v>6</v>
      </c>
      <c r="AI1187">
        <v>0</v>
      </c>
      <c r="AJ1187">
        <v>11</v>
      </c>
      <c r="AK1187">
        <v>0</v>
      </c>
      <c r="AL1187">
        <v>0</v>
      </c>
      <c r="AM1187">
        <v>37</v>
      </c>
      <c r="AN1187">
        <v>21</v>
      </c>
      <c r="AO1187">
        <v>9</v>
      </c>
      <c r="AQ1187" t="str">
        <f t="shared" si="18"/>
        <v>Defensive Forward</v>
      </c>
    </row>
    <row r="1188" spans="1:43" x14ac:dyDescent="0.35">
      <c r="A1188" t="s">
        <v>714</v>
      </c>
      <c r="B1188" t="s">
        <v>43</v>
      </c>
      <c r="C1188" t="s">
        <v>2054</v>
      </c>
      <c r="D1188">
        <v>1995</v>
      </c>
      <c r="E1188">
        <v>22</v>
      </c>
      <c r="F1188" t="s">
        <v>61</v>
      </c>
      <c r="G1188" t="s">
        <v>51</v>
      </c>
      <c r="H1188">
        <v>6300000</v>
      </c>
      <c r="I1188">
        <v>6300000</v>
      </c>
      <c r="J1188" t="s">
        <v>52</v>
      </c>
      <c r="K1188">
        <v>12</v>
      </c>
      <c r="L1188">
        <v>820</v>
      </c>
      <c r="M1188">
        <v>0</v>
      </c>
      <c r="N1188">
        <v>603</v>
      </c>
      <c r="O1188">
        <v>0</v>
      </c>
      <c r="P1188">
        <v>3</v>
      </c>
      <c r="Q1188">
        <v>0</v>
      </c>
      <c r="R1188">
        <v>3</v>
      </c>
      <c r="S1188">
        <v>1</v>
      </c>
      <c r="T1188">
        <v>0</v>
      </c>
      <c r="U1188">
        <v>0</v>
      </c>
      <c r="V1188">
        <v>0</v>
      </c>
      <c r="W1188">
        <v>18</v>
      </c>
      <c r="X1188">
        <v>0</v>
      </c>
      <c r="Y1188">
        <v>0</v>
      </c>
      <c r="Z1188">
        <v>0</v>
      </c>
      <c r="AA1188">
        <v>0</v>
      </c>
      <c r="AB1188">
        <v>1</v>
      </c>
      <c r="AC1188">
        <v>0</v>
      </c>
      <c r="AD1188">
        <v>0</v>
      </c>
      <c r="AE1188">
        <v>0</v>
      </c>
      <c r="AF1188">
        <v>10</v>
      </c>
      <c r="AG1188">
        <v>21</v>
      </c>
      <c r="AH1188">
        <v>9</v>
      </c>
      <c r="AI1188">
        <v>1</v>
      </c>
      <c r="AJ1188">
        <v>19</v>
      </c>
      <c r="AK1188">
        <v>0</v>
      </c>
      <c r="AL1188">
        <v>0</v>
      </c>
      <c r="AM1188">
        <v>39</v>
      </c>
      <c r="AN1188">
        <v>28</v>
      </c>
      <c r="AO1188">
        <v>20</v>
      </c>
      <c r="AQ1188" t="str">
        <f t="shared" si="18"/>
        <v>Defensive Forward</v>
      </c>
    </row>
    <row r="1189" spans="1:43" x14ac:dyDescent="0.35">
      <c r="A1189" t="s">
        <v>715</v>
      </c>
      <c r="B1189" t="s">
        <v>39</v>
      </c>
      <c r="C1189" t="s">
        <v>2055</v>
      </c>
      <c r="D1189">
        <v>1992</v>
      </c>
      <c r="E1189">
        <v>23</v>
      </c>
      <c r="F1189" t="s">
        <v>123</v>
      </c>
      <c r="G1189" t="s">
        <v>260</v>
      </c>
      <c r="H1189">
        <v>2200000</v>
      </c>
      <c r="I1189">
        <v>5400000</v>
      </c>
      <c r="J1189" t="s">
        <v>42</v>
      </c>
      <c r="K1189">
        <v>36</v>
      </c>
      <c r="L1189">
        <v>2987</v>
      </c>
      <c r="M1189">
        <v>3</v>
      </c>
      <c r="N1189">
        <v>1138</v>
      </c>
      <c r="O1189">
        <v>0</v>
      </c>
      <c r="P1189">
        <v>3</v>
      </c>
      <c r="Q1189">
        <v>0</v>
      </c>
      <c r="R1189">
        <v>2</v>
      </c>
      <c r="S1189">
        <v>6</v>
      </c>
      <c r="T1189">
        <v>53</v>
      </c>
      <c r="U1189">
        <v>19</v>
      </c>
      <c r="V1189">
        <v>2</v>
      </c>
      <c r="W1189">
        <v>42</v>
      </c>
      <c r="X1189">
        <v>0</v>
      </c>
      <c r="Y1189">
        <v>0</v>
      </c>
      <c r="Z1189">
        <v>0</v>
      </c>
      <c r="AA1189">
        <v>4</v>
      </c>
      <c r="AB1189">
        <v>4</v>
      </c>
      <c r="AC1189">
        <v>0</v>
      </c>
      <c r="AD1189">
        <v>88</v>
      </c>
      <c r="AE1189">
        <v>243</v>
      </c>
      <c r="AF1189">
        <v>3</v>
      </c>
      <c r="AG1189">
        <v>57</v>
      </c>
      <c r="AH1189">
        <v>41</v>
      </c>
      <c r="AI1189">
        <v>1</v>
      </c>
      <c r="AJ1189">
        <v>101</v>
      </c>
      <c r="AK1189">
        <v>1</v>
      </c>
      <c r="AL1189">
        <v>0</v>
      </c>
      <c r="AM1189">
        <v>89</v>
      </c>
      <c r="AN1189">
        <v>42</v>
      </c>
      <c r="AO1189">
        <v>26</v>
      </c>
      <c r="AQ1189" t="str">
        <f t="shared" si="18"/>
        <v>Forward</v>
      </c>
    </row>
    <row r="1190" spans="1:43" x14ac:dyDescent="0.35">
      <c r="A1190" t="s">
        <v>715</v>
      </c>
      <c r="B1190" t="s">
        <v>47</v>
      </c>
      <c r="C1190" t="s">
        <v>2056</v>
      </c>
      <c r="D1190">
        <v>1992</v>
      </c>
      <c r="E1190">
        <v>24</v>
      </c>
      <c r="F1190" t="s">
        <v>56</v>
      </c>
      <c r="G1190" t="s">
        <v>260</v>
      </c>
      <c r="H1190">
        <v>5400000</v>
      </c>
      <c r="I1190">
        <v>9000000</v>
      </c>
      <c r="J1190" t="s">
        <v>55</v>
      </c>
      <c r="K1190">
        <v>14</v>
      </c>
      <c r="L1190">
        <v>716</v>
      </c>
      <c r="M1190">
        <v>1</v>
      </c>
      <c r="N1190">
        <v>222</v>
      </c>
      <c r="O1190">
        <v>2</v>
      </c>
      <c r="P1190">
        <v>1</v>
      </c>
      <c r="Q1190">
        <v>0</v>
      </c>
      <c r="R1190">
        <v>7</v>
      </c>
      <c r="S1190">
        <v>4</v>
      </c>
      <c r="T1190">
        <v>19</v>
      </c>
      <c r="U1190">
        <v>3</v>
      </c>
      <c r="V1190">
        <v>1</v>
      </c>
      <c r="W1190">
        <v>4</v>
      </c>
      <c r="X1190">
        <v>0</v>
      </c>
      <c r="Y1190">
        <v>0</v>
      </c>
      <c r="Z1190">
        <v>1</v>
      </c>
      <c r="AA1190">
        <v>0</v>
      </c>
      <c r="AB1190">
        <v>0</v>
      </c>
      <c r="AC1190">
        <v>0</v>
      </c>
      <c r="AD1190">
        <v>27</v>
      </c>
      <c r="AE1190">
        <v>62</v>
      </c>
      <c r="AF1190">
        <v>2</v>
      </c>
      <c r="AG1190">
        <v>11</v>
      </c>
      <c r="AH1190">
        <v>8</v>
      </c>
      <c r="AI1190">
        <v>0</v>
      </c>
      <c r="AJ1190">
        <v>21</v>
      </c>
      <c r="AK1190">
        <v>0</v>
      </c>
      <c r="AL1190">
        <v>0</v>
      </c>
      <c r="AM1190">
        <v>7</v>
      </c>
      <c r="AN1190">
        <v>9</v>
      </c>
      <c r="AO1190">
        <v>7</v>
      </c>
      <c r="AQ1190" t="str">
        <f t="shared" si="18"/>
        <v>Midfielder</v>
      </c>
    </row>
    <row r="1191" spans="1:43" x14ac:dyDescent="0.35">
      <c r="A1191" t="s">
        <v>715</v>
      </c>
      <c r="B1191" t="s">
        <v>43</v>
      </c>
      <c r="C1191" t="s">
        <v>2057</v>
      </c>
      <c r="D1191">
        <v>1992</v>
      </c>
      <c r="E1191">
        <v>25</v>
      </c>
      <c r="F1191" t="s">
        <v>56</v>
      </c>
      <c r="G1191" t="s">
        <v>260</v>
      </c>
      <c r="H1191">
        <v>9000000</v>
      </c>
      <c r="I1191">
        <v>9000000</v>
      </c>
      <c r="J1191" t="s">
        <v>55</v>
      </c>
      <c r="K1191">
        <v>15</v>
      </c>
      <c r="L1191">
        <v>1279</v>
      </c>
      <c r="M1191">
        <v>1</v>
      </c>
      <c r="N1191">
        <v>454</v>
      </c>
      <c r="O1191">
        <v>2</v>
      </c>
      <c r="P1191">
        <v>3</v>
      </c>
      <c r="Q1191">
        <v>0</v>
      </c>
      <c r="R1191">
        <v>0</v>
      </c>
      <c r="S1191">
        <v>2</v>
      </c>
      <c r="T1191">
        <v>24</v>
      </c>
      <c r="U1191">
        <v>6</v>
      </c>
      <c r="V1191">
        <v>1</v>
      </c>
      <c r="W1191">
        <v>11</v>
      </c>
      <c r="X1191">
        <v>0</v>
      </c>
      <c r="Y1191">
        <v>0</v>
      </c>
      <c r="Z1191">
        <v>0</v>
      </c>
      <c r="AA1191">
        <v>3</v>
      </c>
      <c r="AB1191">
        <v>4</v>
      </c>
      <c r="AC1191">
        <v>18</v>
      </c>
      <c r="AD1191">
        <v>67</v>
      </c>
      <c r="AE1191">
        <v>123</v>
      </c>
      <c r="AF1191">
        <v>3</v>
      </c>
      <c r="AG1191">
        <v>7</v>
      </c>
      <c r="AH1191">
        <v>20</v>
      </c>
      <c r="AI1191">
        <v>0</v>
      </c>
      <c r="AJ1191">
        <v>32</v>
      </c>
      <c r="AK1191">
        <v>0</v>
      </c>
      <c r="AL1191">
        <v>0</v>
      </c>
      <c r="AM1191">
        <v>25</v>
      </c>
      <c r="AN1191">
        <v>9</v>
      </c>
      <c r="AO1191">
        <v>12</v>
      </c>
      <c r="AQ1191" t="str">
        <f t="shared" si="18"/>
        <v>Midfielder</v>
      </c>
    </row>
    <row r="1192" spans="1:43" x14ac:dyDescent="0.35">
      <c r="A1192" t="s">
        <v>715</v>
      </c>
      <c r="B1192" t="s">
        <v>46</v>
      </c>
      <c r="C1192" t="s">
        <v>2058</v>
      </c>
      <c r="D1192">
        <v>1992</v>
      </c>
      <c r="E1192">
        <v>26</v>
      </c>
      <c r="F1192" t="s">
        <v>56</v>
      </c>
      <c r="G1192" t="s">
        <v>260</v>
      </c>
      <c r="H1192">
        <v>9000000</v>
      </c>
      <c r="I1192">
        <v>7200000</v>
      </c>
      <c r="J1192" t="s">
        <v>55</v>
      </c>
      <c r="K1192">
        <v>16</v>
      </c>
      <c r="L1192">
        <v>715</v>
      </c>
      <c r="M1192">
        <v>0</v>
      </c>
      <c r="N1192">
        <v>223</v>
      </c>
      <c r="O1192">
        <v>1</v>
      </c>
      <c r="P1192">
        <v>3</v>
      </c>
      <c r="Q1192">
        <v>1</v>
      </c>
      <c r="R1192">
        <v>10</v>
      </c>
      <c r="S1192">
        <v>4</v>
      </c>
      <c r="T1192">
        <v>12</v>
      </c>
      <c r="U1192">
        <v>2</v>
      </c>
      <c r="V1192">
        <v>0</v>
      </c>
      <c r="W1192">
        <v>5</v>
      </c>
      <c r="X1192">
        <v>0</v>
      </c>
      <c r="Y1192">
        <v>0</v>
      </c>
      <c r="Z1192">
        <v>0</v>
      </c>
      <c r="AA1192">
        <v>0</v>
      </c>
      <c r="AB1192">
        <v>1</v>
      </c>
      <c r="AC1192">
        <v>10</v>
      </c>
      <c r="AD1192">
        <v>20</v>
      </c>
      <c r="AE1192">
        <v>53</v>
      </c>
      <c r="AF1192">
        <v>1</v>
      </c>
      <c r="AG1192">
        <v>7</v>
      </c>
      <c r="AH1192">
        <v>12</v>
      </c>
      <c r="AI1192">
        <v>0</v>
      </c>
      <c r="AJ1192">
        <v>15</v>
      </c>
      <c r="AK1192">
        <v>0</v>
      </c>
      <c r="AL1192">
        <v>0</v>
      </c>
      <c r="AM1192">
        <v>15</v>
      </c>
      <c r="AN1192">
        <v>11</v>
      </c>
      <c r="AO1192">
        <v>8</v>
      </c>
      <c r="AQ1192" t="str">
        <f t="shared" si="18"/>
        <v>Midfielder</v>
      </c>
    </row>
    <row r="1193" spans="1:43" x14ac:dyDescent="0.35">
      <c r="A1193" t="s">
        <v>716</v>
      </c>
      <c r="B1193" t="s">
        <v>39</v>
      </c>
      <c r="C1193" t="s">
        <v>2059</v>
      </c>
      <c r="D1193">
        <v>1984</v>
      </c>
      <c r="E1193">
        <v>30</v>
      </c>
      <c r="F1193" t="s">
        <v>99</v>
      </c>
      <c r="G1193" t="s">
        <v>146</v>
      </c>
      <c r="H1193">
        <v>4500000</v>
      </c>
      <c r="I1193">
        <v>5400000</v>
      </c>
      <c r="J1193" t="s">
        <v>52</v>
      </c>
      <c r="K1193">
        <v>35</v>
      </c>
      <c r="L1193">
        <v>3150</v>
      </c>
      <c r="M1193">
        <v>3</v>
      </c>
      <c r="N1193">
        <v>810</v>
      </c>
      <c r="O1193">
        <v>0</v>
      </c>
      <c r="P1193">
        <v>8</v>
      </c>
      <c r="Q1193">
        <v>0</v>
      </c>
      <c r="R1193">
        <v>0</v>
      </c>
      <c r="S1193">
        <v>0</v>
      </c>
      <c r="T1193">
        <v>28</v>
      </c>
      <c r="U1193">
        <v>6</v>
      </c>
      <c r="V1193">
        <v>0</v>
      </c>
      <c r="W1193">
        <v>132</v>
      </c>
      <c r="X1193">
        <v>2</v>
      </c>
      <c r="Y1193">
        <v>0</v>
      </c>
      <c r="Z1193">
        <v>0</v>
      </c>
      <c r="AA1193">
        <v>3</v>
      </c>
      <c r="AB1193">
        <v>0</v>
      </c>
      <c r="AC1193">
        <v>4</v>
      </c>
      <c r="AD1193">
        <v>0</v>
      </c>
      <c r="AE1193">
        <v>0</v>
      </c>
      <c r="AF1193">
        <v>34</v>
      </c>
      <c r="AG1193">
        <v>76</v>
      </c>
      <c r="AH1193">
        <v>35</v>
      </c>
      <c r="AI1193">
        <v>0</v>
      </c>
      <c r="AJ1193">
        <v>41</v>
      </c>
      <c r="AK1193">
        <v>0</v>
      </c>
      <c r="AL1193">
        <v>0</v>
      </c>
      <c r="AM1193">
        <v>258</v>
      </c>
      <c r="AN1193">
        <v>116</v>
      </c>
      <c r="AO1193">
        <v>67</v>
      </c>
      <c r="AQ1193" t="str">
        <f t="shared" si="18"/>
        <v>Defensive Forward</v>
      </c>
    </row>
    <row r="1194" spans="1:43" x14ac:dyDescent="0.35">
      <c r="A1194" t="s">
        <v>716</v>
      </c>
      <c r="B1194" t="s">
        <v>47</v>
      </c>
      <c r="C1194" t="s">
        <v>2060</v>
      </c>
      <c r="D1194">
        <v>1984</v>
      </c>
      <c r="E1194">
        <v>31</v>
      </c>
      <c r="F1194" t="s">
        <v>99</v>
      </c>
      <c r="G1194" t="s">
        <v>146</v>
      </c>
      <c r="H1194">
        <v>5400000</v>
      </c>
      <c r="I1194">
        <v>4500000</v>
      </c>
      <c r="J1194" t="s">
        <v>52</v>
      </c>
      <c r="K1194">
        <v>33</v>
      </c>
      <c r="L1194">
        <v>2929</v>
      </c>
      <c r="M1194">
        <v>2</v>
      </c>
      <c r="N1194">
        <v>701</v>
      </c>
      <c r="O1194">
        <v>2</v>
      </c>
      <c r="P1194">
        <v>9</v>
      </c>
      <c r="Q1194">
        <v>0</v>
      </c>
      <c r="R1194">
        <v>0</v>
      </c>
      <c r="S1194">
        <v>3</v>
      </c>
      <c r="T1194">
        <v>26</v>
      </c>
      <c r="U1194">
        <v>9</v>
      </c>
      <c r="V1194">
        <v>1</v>
      </c>
      <c r="W1194">
        <v>116</v>
      </c>
      <c r="X1194">
        <v>2</v>
      </c>
      <c r="Y1194">
        <v>0</v>
      </c>
      <c r="Z1194">
        <v>0</v>
      </c>
      <c r="AA1194">
        <v>0</v>
      </c>
      <c r="AB1194">
        <v>0</v>
      </c>
      <c r="AC1194">
        <v>1</v>
      </c>
      <c r="AD1194">
        <v>0</v>
      </c>
      <c r="AE1194">
        <v>0</v>
      </c>
      <c r="AF1194">
        <v>37</v>
      </c>
      <c r="AG1194">
        <v>45</v>
      </c>
      <c r="AH1194">
        <v>45</v>
      </c>
      <c r="AI1194">
        <v>1</v>
      </c>
      <c r="AJ1194">
        <v>28</v>
      </c>
      <c r="AK1194">
        <v>0</v>
      </c>
      <c r="AL1194">
        <v>2</v>
      </c>
      <c r="AM1194">
        <v>220</v>
      </c>
      <c r="AN1194">
        <v>94</v>
      </c>
      <c r="AO1194">
        <v>80</v>
      </c>
      <c r="AQ1194" t="str">
        <f t="shared" si="18"/>
        <v>Defensive Forward</v>
      </c>
    </row>
    <row r="1195" spans="1:43" x14ac:dyDescent="0.35">
      <c r="A1195" t="s">
        <v>717</v>
      </c>
      <c r="B1195" t="s">
        <v>47</v>
      </c>
      <c r="C1195" t="s">
        <v>2061</v>
      </c>
      <c r="D1195">
        <v>1987</v>
      </c>
      <c r="E1195">
        <v>28</v>
      </c>
      <c r="F1195" t="s">
        <v>71</v>
      </c>
      <c r="G1195" t="s">
        <v>108</v>
      </c>
      <c r="H1195">
        <v>4500000</v>
      </c>
      <c r="I1195">
        <v>7200000</v>
      </c>
      <c r="J1195" t="s">
        <v>55</v>
      </c>
      <c r="K1195">
        <v>35</v>
      </c>
      <c r="L1195">
        <v>2550</v>
      </c>
      <c r="M1195">
        <v>7</v>
      </c>
      <c r="N1195">
        <v>1008</v>
      </c>
      <c r="O1195">
        <v>5</v>
      </c>
      <c r="P1195">
        <v>2</v>
      </c>
      <c r="Q1195">
        <v>0</v>
      </c>
      <c r="R1195">
        <v>8</v>
      </c>
      <c r="S1195">
        <v>9</v>
      </c>
      <c r="T1195">
        <v>50</v>
      </c>
      <c r="U1195">
        <v>19</v>
      </c>
      <c r="V1195">
        <v>1</v>
      </c>
      <c r="W1195">
        <v>11</v>
      </c>
      <c r="X1195">
        <v>0</v>
      </c>
      <c r="Y1195">
        <v>2</v>
      </c>
      <c r="Z1195">
        <v>2</v>
      </c>
      <c r="AA1195">
        <v>7</v>
      </c>
      <c r="AB1195">
        <v>7</v>
      </c>
      <c r="AC1195">
        <v>1</v>
      </c>
      <c r="AD1195">
        <v>111</v>
      </c>
      <c r="AE1195">
        <v>211</v>
      </c>
      <c r="AF1195">
        <v>2</v>
      </c>
      <c r="AG1195">
        <v>15</v>
      </c>
      <c r="AH1195">
        <v>46</v>
      </c>
      <c r="AI1195">
        <v>0</v>
      </c>
      <c r="AJ1195">
        <v>38</v>
      </c>
      <c r="AK1195">
        <v>0</v>
      </c>
      <c r="AL1195">
        <v>0</v>
      </c>
      <c r="AM1195">
        <v>20</v>
      </c>
      <c r="AN1195">
        <v>22</v>
      </c>
      <c r="AO1195">
        <v>52</v>
      </c>
      <c r="AQ1195" t="str">
        <f t="shared" si="18"/>
        <v>Midfielder</v>
      </c>
    </row>
    <row r="1196" spans="1:43" x14ac:dyDescent="0.35">
      <c r="A1196" t="s">
        <v>717</v>
      </c>
      <c r="B1196" t="s">
        <v>46</v>
      </c>
      <c r="C1196" t="s">
        <v>2062</v>
      </c>
      <c r="D1196">
        <v>1987</v>
      </c>
      <c r="E1196">
        <v>30</v>
      </c>
      <c r="F1196" t="s">
        <v>50</v>
      </c>
      <c r="G1196" t="s">
        <v>108</v>
      </c>
      <c r="H1196">
        <v>6300000</v>
      </c>
      <c r="I1196">
        <v>6300000</v>
      </c>
      <c r="J1196" t="s">
        <v>55</v>
      </c>
      <c r="K1196">
        <v>33</v>
      </c>
      <c r="L1196">
        <v>2221</v>
      </c>
      <c r="M1196">
        <v>2</v>
      </c>
      <c r="N1196">
        <v>969</v>
      </c>
      <c r="O1196">
        <v>5</v>
      </c>
      <c r="P1196">
        <v>10</v>
      </c>
      <c r="Q1196">
        <v>0</v>
      </c>
      <c r="R1196">
        <v>8</v>
      </c>
      <c r="S1196">
        <v>10</v>
      </c>
      <c r="T1196">
        <v>30</v>
      </c>
      <c r="U1196">
        <v>7</v>
      </c>
      <c r="V1196">
        <v>0</v>
      </c>
      <c r="W1196">
        <v>8</v>
      </c>
      <c r="X1196">
        <v>0</v>
      </c>
      <c r="Y1196">
        <v>0</v>
      </c>
      <c r="Z1196">
        <v>0</v>
      </c>
      <c r="AA1196">
        <v>3</v>
      </c>
      <c r="AB1196">
        <v>9</v>
      </c>
      <c r="AC1196">
        <v>23</v>
      </c>
      <c r="AD1196">
        <v>115</v>
      </c>
      <c r="AE1196">
        <v>170</v>
      </c>
      <c r="AF1196">
        <v>4</v>
      </c>
      <c r="AG1196">
        <v>11</v>
      </c>
      <c r="AH1196">
        <v>36</v>
      </c>
      <c r="AI1196">
        <v>0</v>
      </c>
      <c r="AJ1196">
        <v>44</v>
      </c>
      <c r="AK1196">
        <v>0</v>
      </c>
      <c r="AL1196">
        <v>0</v>
      </c>
      <c r="AM1196">
        <v>18</v>
      </c>
      <c r="AN1196">
        <v>25</v>
      </c>
      <c r="AO1196">
        <v>35</v>
      </c>
      <c r="AQ1196" t="str">
        <f t="shared" si="18"/>
        <v>Midfielder</v>
      </c>
    </row>
    <row r="1197" spans="1:43" x14ac:dyDescent="0.35">
      <c r="A1197" t="s">
        <v>718</v>
      </c>
      <c r="B1197" t="s">
        <v>39</v>
      </c>
      <c r="C1197" t="s">
        <v>2063</v>
      </c>
      <c r="D1197">
        <v>1991</v>
      </c>
      <c r="E1197">
        <v>23</v>
      </c>
      <c r="F1197" t="s">
        <v>80</v>
      </c>
      <c r="G1197" t="s">
        <v>154</v>
      </c>
      <c r="H1197">
        <v>27500000</v>
      </c>
      <c r="I1197">
        <v>31500000</v>
      </c>
      <c r="J1197" t="s">
        <v>42</v>
      </c>
      <c r="K1197">
        <v>22</v>
      </c>
      <c r="L1197">
        <v>1981</v>
      </c>
      <c r="M1197">
        <v>10</v>
      </c>
      <c r="N1197">
        <v>998</v>
      </c>
      <c r="O1197">
        <v>7</v>
      </c>
      <c r="P1197">
        <v>1</v>
      </c>
      <c r="Q1197">
        <v>0</v>
      </c>
      <c r="R1197">
        <v>7</v>
      </c>
      <c r="S1197">
        <v>17</v>
      </c>
      <c r="T1197">
        <v>63</v>
      </c>
      <c r="U1197">
        <v>25</v>
      </c>
      <c r="V1197">
        <v>4</v>
      </c>
      <c r="W1197">
        <v>8</v>
      </c>
      <c r="X1197">
        <v>1</v>
      </c>
      <c r="Y1197">
        <v>0</v>
      </c>
      <c r="Z1197">
        <v>0</v>
      </c>
      <c r="AA1197">
        <v>15</v>
      </c>
      <c r="AB1197">
        <v>10</v>
      </c>
      <c r="AC1197">
        <v>6</v>
      </c>
      <c r="AD1197">
        <v>11</v>
      </c>
      <c r="AE1197">
        <v>38</v>
      </c>
      <c r="AF1197">
        <v>2</v>
      </c>
      <c r="AG1197">
        <v>16</v>
      </c>
      <c r="AH1197">
        <v>29</v>
      </c>
      <c r="AI1197">
        <v>0</v>
      </c>
      <c r="AJ1197">
        <v>67</v>
      </c>
      <c r="AK1197">
        <v>1</v>
      </c>
      <c r="AL1197">
        <v>0</v>
      </c>
      <c r="AM1197">
        <v>12</v>
      </c>
      <c r="AN1197">
        <v>9</v>
      </c>
      <c r="AO1197">
        <v>62</v>
      </c>
      <c r="AQ1197" t="str">
        <f t="shared" si="18"/>
        <v>Forward</v>
      </c>
    </row>
    <row r="1198" spans="1:43" x14ac:dyDescent="0.35">
      <c r="A1198" t="s">
        <v>718</v>
      </c>
      <c r="B1198" t="s">
        <v>47</v>
      </c>
      <c r="C1198" t="s">
        <v>2064</v>
      </c>
      <c r="D1198">
        <v>1991</v>
      </c>
      <c r="E1198">
        <v>24</v>
      </c>
      <c r="F1198" t="s">
        <v>80</v>
      </c>
      <c r="G1198" t="s">
        <v>154</v>
      </c>
      <c r="H1198">
        <v>31500000</v>
      </c>
      <c r="I1198">
        <v>34500000</v>
      </c>
      <c r="J1198" t="s">
        <v>42</v>
      </c>
      <c r="K1198">
        <v>35</v>
      </c>
      <c r="L1198">
        <v>3068</v>
      </c>
      <c r="M1198">
        <v>11</v>
      </c>
      <c r="N1198">
        <v>1543</v>
      </c>
      <c r="O1198">
        <v>7</v>
      </c>
      <c r="P1198">
        <v>5</v>
      </c>
      <c r="Q1198">
        <v>0</v>
      </c>
      <c r="R1198">
        <v>1</v>
      </c>
      <c r="S1198">
        <v>7</v>
      </c>
      <c r="T1198">
        <v>100</v>
      </c>
      <c r="U1198">
        <v>45</v>
      </c>
      <c r="V1198">
        <v>0</v>
      </c>
      <c r="W1198">
        <v>12</v>
      </c>
      <c r="X1198">
        <v>3</v>
      </c>
      <c r="Y1198">
        <v>0</v>
      </c>
      <c r="Z1198">
        <v>0</v>
      </c>
      <c r="AA1198">
        <v>19</v>
      </c>
      <c r="AB1198">
        <v>9</v>
      </c>
      <c r="AC1198">
        <v>9</v>
      </c>
      <c r="AD1198">
        <v>5</v>
      </c>
      <c r="AE1198">
        <v>60</v>
      </c>
      <c r="AF1198">
        <v>3</v>
      </c>
      <c r="AG1198">
        <v>26</v>
      </c>
      <c r="AH1198">
        <v>51</v>
      </c>
      <c r="AI1198">
        <v>0</v>
      </c>
      <c r="AJ1198">
        <v>58</v>
      </c>
      <c r="AK1198">
        <v>0</v>
      </c>
      <c r="AL1198">
        <v>0</v>
      </c>
      <c r="AM1198">
        <v>14</v>
      </c>
      <c r="AN1198">
        <v>64</v>
      </c>
      <c r="AO1198">
        <v>142</v>
      </c>
      <c r="AQ1198" t="str">
        <f t="shared" si="18"/>
        <v>Forward</v>
      </c>
    </row>
    <row r="1199" spans="1:43" x14ac:dyDescent="0.35">
      <c r="A1199" t="s">
        <v>718</v>
      </c>
      <c r="B1199" t="s">
        <v>43</v>
      </c>
      <c r="C1199" t="s">
        <v>2065</v>
      </c>
      <c r="D1199">
        <v>1991</v>
      </c>
      <c r="E1199">
        <v>25</v>
      </c>
      <c r="F1199" t="s">
        <v>80</v>
      </c>
      <c r="G1199" t="s">
        <v>154</v>
      </c>
      <c r="H1199">
        <v>34500000</v>
      </c>
      <c r="I1199">
        <v>72000000</v>
      </c>
      <c r="J1199" t="s">
        <v>42</v>
      </c>
      <c r="K1199">
        <v>37</v>
      </c>
      <c r="L1199">
        <v>2776</v>
      </c>
      <c r="M1199">
        <v>15</v>
      </c>
      <c r="N1199">
        <v>1169</v>
      </c>
      <c r="O1199">
        <v>7</v>
      </c>
      <c r="P1199">
        <v>1</v>
      </c>
      <c r="Q1199">
        <v>0</v>
      </c>
      <c r="R1199">
        <v>5</v>
      </c>
      <c r="S1199">
        <v>20</v>
      </c>
      <c r="T1199">
        <v>84</v>
      </c>
      <c r="U1199">
        <v>38</v>
      </c>
      <c r="V1199">
        <v>1</v>
      </c>
      <c r="W1199">
        <v>6</v>
      </c>
      <c r="X1199">
        <v>3</v>
      </c>
      <c r="Y1199">
        <v>1</v>
      </c>
      <c r="Z1199">
        <v>0</v>
      </c>
      <c r="AA1199">
        <v>13</v>
      </c>
      <c r="AB1199">
        <v>17</v>
      </c>
      <c r="AC1199">
        <v>46</v>
      </c>
      <c r="AD1199">
        <v>1</v>
      </c>
      <c r="AE1199">
        <v>43</v>
      </c>
      <c r="AF1199">
        <v>2</v>
      </c>
      <c r="AG1199">
        <v>18</v>
      </c>
      <c r="AH1199">
        <v>57</v>
      </c>
      <c r="AI1199">
        <v>0</v>
      </c>
      <c r="AJ1199">
        <v>65</v>
      </c>
      <c r="AK1199">
        <v>0</v>
      </c>
      <c r="AL1199">
        <v>0</v>
      </c>
      <c r="AM1199">
        <v>9</v>
      </c>
      <c r="AN1199">
        <v>46</v>
      </c>
      <c r="AO1199">
        <v>136</v>
      </c>
      <c r="AQ1199" t="str">
        <f t="shared" si="18"/>
        <v>Forward</v>
      </c>
    </row>
    <row r="1200" spans="1:43" x14ac:dyDescent="0.35">
      <c r="A1200" t="s">
        <v>718</v>
      </c>
      <c r="B1200" t="s">
        <v>46</v>
      </c>
      <c r="C1200" t="s">
        <v>2066</v>
      </c>
      <c r="D1200">
        <v>1991</v>
      </c>
      <c r="E1200">
        <v>26</v>
      </c>
      <c r="F1200" t="s">
        <v>80</v>
      </c>
      <c r="G1200" t="s">
        <v>154</v>
      </c>
      <c r="H1200">
        <v>72000000</v>
      </c>
      <c r="I1200">
        <v>72000000</v>
      </c>
      <c r="J1200" t="s">
        <v>42</v>
      </c>
      <c r="K1200">
        <v>34</v>
      </c>
      <c r="L1200">
        <v>2617</v>
      </c>
      <c r="M1200">
        <v>12</v>
      </c>
      <c r="N1200">
        <v>1279</v>
      </c>
      <c r="O1200">
        <v>6</v>
      </c>
      <c r="P1200">
        <v>0</v>
      </c>
      <c r="Q1200">
        <v>0</v>
      </c>
      <c r="R1200">
        <v>3</v>
      </c>
      <c r="S1200">
        <v>16</v>
      </c>
      <c r="T1200">
        <v>75</v>
      </c>
      <c r="U1200">
        <v>34</v>
      </c>
      <c r="V1200">
        <v>1</v>
      </c>
      <c r="W1200">
        <v>13</v>
      </c>
      <c r="X1200">
        <v>3</v>
      </c>
      <c r="Y1200">
        <v>1</v>
      </c>
      <c r="Z1200">
        <v>0</v>
      </c>
      <c r="AA1200">
        <v>7</v>
      </c>
      <c r="AB1200">
        <v>16</v>
      </c>
      <c r="AC1200">
        <v>41</v>
      </c>
      <c r="AD1200">
        <v>2</v>
      </c>
      <c r="AE1200">
        <v>9</v>
      </c>
      <c r="AF1200">
        <v>1</v>
      </c>
      <c r="AG1200">
        <v>6</v>
      </c>
      <c r="AH1200">
        <v>38</v>
      </c>
      <c r="AI1200">
        <v>0</v>
      </c>
      <c r="AJ1200">
        <v>29</v>
      </c>
      <c r="AK1200">
        <v>0</v>
      </c>
      <c r="AL1200">
        <v>0</v>
      </c>
      <c r="AM1200">
        <v>15</v>
      </c>
      <c r="AN1200">
        <v>30</v>
      </c>
      <c r="AO1200">
        <v>76</v>
      </c>
      <c r="AQ1200" t="str">
        <f t="shared" si="18"/>
        <v>Forward</v>
      </c>
    </row>
    <row r="1201" spans="1:43" x14ac:dyDescent="0.35">
      <c r="A1201" t="s">
        <v>719</v>
      </c>
      <c r="B1201" t="s">
        <v>47</v>
      </c>
      <c r="C1201" t="s">
        <v>2067</v>
      </c>
      <c r="D1201">
        <v>1991</v>
      </c>
      <c r="E1201">
        <v>25</v>
      </c>
      <c r="F1201" t="s">
        <v>66</v>
      </c>
      <c r="G1201" t="s">
        <v>262</v>
      </c>
      <c r="H1201">
        <v>17600000</v>
      </c>
      <c r="I1201">
        <v>16500000</v>
      </c>
      <c r="J1201" t="s">
        <v>55</v>
      </c>
      <c r="K1201">
        <v>13</v>
      </c>
      <c r="L1201">
        <v>1040</v>
      </c>
      <c r="M1201">
        <v>2</v>
      </c>
      <c r="N1201">
        <v>420</v>
      </c>
      <c r="O1201">
        <v>2</v>
      </c>
      <c r="P1201">
        <v>2</v>
      </c>
      <c r="Q1201">
        <v>0</v>
      </c>
      <c r="R1201">
        <v>1</v>
      </c>
      <c r="S1201">
        <v>3</v>
      </c>
      <c r="T1201">
        <v>9</v>
      </c>
      <c r="U1201">
        <v>4</v>
      </c>
      <c r="V1201">
        <v>1</v>
      </c>
      <c r="W1201">
        <v>1</v>
      </c>
      <c r="X1201">
        <v>0</v>
      </c>
      <c r="Y1201">
        <v>0</v>
      </c>
      <c r="Z1201">
        <v>0</v>
      </c>
      <c r="AA1201">
        <v>2</v>
      </c>
      <c r="AB1201">
        <v>0</v>
      </c>
      <c r="AC1201">
        <v>2</v>
      </c>
      <c r="AD1201">
        <v>11</v>
      </c>
      <c r="AE1201">
        <v>32</v>
      </c>
      <c r="AF1201">
        <v>0</v>
      </c>
      <c r="AG1201">
        <v>8</v>
      </c>
      <c r="AH1201">
        <v>8</v>
      </c>
      <c r="AI1201">
        <v>0</v>
      </c>
      <c r="AJ1201">
        <v>8</v>
      </c>
      <c r="AK1201">
        <v>0</v>
      </c>
      <c r="AL1201">
        <v>0</v>
      </c>
      <c r="AM1201">
        <v>3</v>
      </c>
      <c r="AN1201">
        <v>2</v>
      </c>
      <c r="AO1201">
        <v>5</v>
      </c>
      <c r="AQ1201" t="str">
        <f t="shared" si="18"/>
        <v>Midfielder</v>
      </c>
    </row>
    <row r="1202" spans="1:43" x14ac:dyDescent="0.35">
      <c r="A1202" t="s">
        <v>719</v>
      </c>
      <c r="B1202" t="s">
        <v>43</v>
      </c>
      <c r="C1202" t="s">
        <v>2068</v>
      </c>
      <c r="D1202">
        <v>1991</v>
      </c>
      <c r="E1202">
        <v>26</v>
      </c>
      <c r="F1202" t="s">
        <v>66</v>
      </c>
      <c r="G1202" t="s">
        <v>262</v>
      </c>
      <c r="H1202">
        <v>16500000</v>
      </c>
      <c r="I1202">
        <v>11000000</v>
      </c>
      <c r="J1202" t="s">
        <v>55</v>
      </c>
      <c r="K1202">
        <v>32</v>
      </c>
      <c r="L1202">
        <v>1622</v>
      </c>
      <c r="M1202">
        <v>5</v>
      </c>
      <c r="N1202">
        <v>676</v>
      </c>
      <c r="O1202">
        <v>2</v>
      </c>
      <c r="P1202">
        <v>3</v>
      </c>
      <c r="Q1202">
        <v>0</v>
      </c>
      <c r="R1202">
        <v>14</v>
      </c>
      <c r="S1202">
        <v>12</v>
      </c>
      <c r="T1202">
        <v>33</v>
      </c>
      <c r="U1202">
        <v>13</v>
      </c>
      <c r="V1202">
        <v>1</v>
      </c>
      <c r="W1202">
        <v>1</v>
      </c>
      <c r="X1202">
        <v>0</v>
      </c>
      <c r="Y1202">
        <v>0</v>
      </c>
      <c r="Z1202">
        <v>0</v>
      </c>
      <c r="AA1202">
        <v>2</v>
      </c>
      <c r="AB1202">
        <v>1</v>
      </c>
      <c r="AC1202">
        <v>20</v>
      </c>
      <c r="AD1202">
        <v>20</v>
      </c>
      <c r="AE1202">
        <v>49</v>
      </c>
      <c r="AF1202">
        <v>0</v>
      </c>
      <c r="AG1202">
        <v>9</v>
      </c>
      <c r="AH1202">
        <v>18</v>
      </c>
      <c r="AI1202">
        <v>0</v>
      </c>
      <c r="AJ1202">
        <v>10</v>
      </c>
      <c r="AK1202">
        <v>0</v>
      </c>
      <c r="AL1202">
        <v>0</v>
      </c>
      <c r="AM1202">
        <v>3</v>
      </c>
      <c r="AN1202">
        <v>3</v>
      </c>
      <c r="AO1202">
        <v>17</v>
      </c>
      <c r="AQ1202" t="str">
        <f t="shared" si="18"/>
        <v>Midfielder</v>
      </c>
    </row>
    <row r="1203" spans="1:43" x14ac:dyDescent="0.35">
      <c r="A1203" t="s">
        <v>719</v>
      </c>
      <c r="B1203" t="s">
        <v>46</v>
      </c>
      <c r="C1203" t="s">
        <v>2069</v>
      </c>
      <c r="D1203">
        <v>1991</v>
      </c>
      <c r="E1203">
        <v>27</v>
      </c>
      <c r="F1203" t="s">
        <v>66</v>
      </c>
      <c r="G1203" t="s">
        <v>262</v>
      </c>
      <c r="H1203">
        <v>11000000</v>
      </c>
      <c r="I1203">
        <v>14300000</v>
      </c>
      <c r="J1203" t="s">
        <v>55</v>
      </c>
      <c r="K1203">
        <v>33</v>
      </c>
      <c r="L1203">
        <v>2821</v>
      </c>
      <c r="M1203">
        <v>6</v>
      </c>
      <c r="N1203">
        <v>1121</v>
      </c>
      <c r="O1203">
        <v>1</v>
      </c>
      <c r="P1203">
        <v>3</v>
      </c>
      <c r="Q1203">
        <v>0</v>
      </c>
      <c r="R1203">
        <v>0</v>
      </c>
      <c r="S1203">
        <v>10</v>
      </c>
      <c r="T1203">
        <v>57</v>
      </c>
      <c r="U1203">
        <v>21</v>
      </c>
      <c r="V1203">
        <v>4</v>
      </c>
      <c r="W1203">
        <v>10</v>
      </c>
      <c r="X1203">
        <v>0</v>
      </c>
      <c r="Y1203">
        <v>0</v>
      </c>
      <c r="Z1203">
        <v>0</v>
      </c>
      <c r="AA1203">
        <v>3</v>
      </c>
      <c r="AB1203">
        <v>3</v>
      </c>
      <c r="AC1203">
        <v>36</v>
      </c>
      <c r="AD1203">
        <v>17</v>
      </c>
      <c r="AE1203">
        <v>40</v>
      </c>
      <c r="AF1203">
        <v>0</v>
      </c>
      <c r="AG1203">
        <v>23</v>
      </c>
      <c r="AH1203">
        <v>27</v>
      </c>
      <c r="AI1203">
        <v>0</v>
      </c>
      <c r="AJ1203">
        <v>21</v>
      </c>
      <c r="AK1203">
        <v>1</v>
      </c>
      <c r="AL1203">
        <v>0</v>
      </c>
      <c r="AM1203">
        <v>20</v>
      </c>
      <c r="AN1203">
        <v>4</v>
      </c>
      <c r="AO1203">
        <v>19</v>
      </c>
      <c r="AQ1203" t="str">
        <f t="shared" si="18"/>
        <v>Midfielder</v>
      </c>
    </row>
    <row r="1204" spans="1:43" x14ac:dyDescent="0.35">
      <c r="A1204" t="s">
        <v>720</v>
      </c>
      <c r="B1204" t="s">
        <v>39</v>
      </c>
      <c r="C1204" t="s">
        <v>2070</v>
      </c>
      <c r="D1204">
        <v>1995</v>
      </c>
      <c r="E1204">
        <v>19</v>
      </c>
      <c r="F1204" t="s">
        <v>117</v>
      </c>
      <c r="G1204" t="s">
        <v>51</v>
      </c>
      <c r="H1204">
        <v>1000000</v>
      </c>
      <c r="I1204">
        <v>1000000</v>
      </c>
      <c r="J1204" t="s">
        <v>55</v>
      </c>
      <c r="K1204">
        <v>10</v>
      </c>
      <c r="L1204">
        <v>377</v>
      </c>
      <c r="M1204">
        <v>1</v>
      </c>
      <c r="N1204">
        <v>119</v>
      </c>
      <c r="O1204">
        <v>1</v>
      </c>
      <c r="P1204">
        <v>1</v>
      </c>
      <c r="Q1204">
        <v>0</v>
      </c>
      <c r="R1204">
        <v>7</v>
      </c>
      <c r="S1204">
        <v>1</v>
      </c>
      <c r="T1204">
        <v>2</v>
      </c>
      <c r="U1204">
        <v>1</v>
      </c>
      <c r="V1204">
        <v>0</v>
      </c>
      <c r="W1204">
        <v>5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12</v>
      </c>
      <c r="AF1204">
        <v>2</v>
      </c>
      <c r="AG1204">
        <v>6</v>
      </c>
      <c r="AH1204">
        <v>9</v>
      </c>
      <c r="AI1204">
        <v>0</v>
      </c>
      <c r="AJ1204">
        <v>13</v>
      </c>
      <c r="AK1204">
        <v>1</v>
      </c>
      <c r="AL1204">
        <v>0</v>
      </c>
      <c r="AM1204">
        <v>10</v>
      </c>
      <c r="AN1204">
        <v>4</v>
      </c>
      <c r="AO1204">
        <v>6</v>
      </c>
      <c r="AQ1204" t="str">
        <f t="shared" si="18"/>
        <v>Midfielder</v>
      </c>
    </row>
    <row r="1205" spans="1:43" x14ac:dyDescent="0.35">
      <c r="A1205" t="s">
        <v>721</v>
      </c>
      <c r="B1205" t="s">
        <v>46</v>
      </c>
      <c r="C1205" t="s">
        <v>2071</v>
      </c>
      <c r="D1205">
        <v>1990</v>
      </c>
      <c r="E1205">
        <v>28</v>
      </c>
      <c r="F1205" t="s">
        <v>90</v>
      </c>
      <c r="G1205" t="s">
        <v>588</v>
      </c>
      <c r="H1205">
        <v>5400000</v>
      </c>
      <c r="I1205">
        <v>4500000</v>
      </c>
      <c r="J1205" t="s">
        <v>52</v>
      </c>
      <c r="K1205">
        <v>19</v>
      </c>
      <c r="L1205">
        <v>1144</v>
      </c>
      <c r="M1205">
        <v>2</v>
      </c>
      <c r="N1205">
        <v>737</v>
      </c>
      <c r="O1205">
        <v>0</v>
      </c>
      <c r="P1205">
        <v>0</v>
      </c>
      <c r="Q1205">
        <v>0</v>
      </c>
      <c r="R1205">
        <v>7</v>
      </c>
      <c r="S1205">
        <v>2</v>
      </c>
      <c r="T1205">
        <v>11</v>
      </c>
      <c r="U1205">
        <v>5</v>
      </c>
      <c r="V1205">
        <v>0</v>
      </c>
      <c r="W1205">
        <v>30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6</v>
      </c>
      <c r="AD1205">
        <v>0</v>
      </c>
      <c r="AE1205">
        <v>9</v>
      </c>
      <c r="AF1205">
        <v>12</v>
      </c>
      <c r="AG1205">
        <v>26</v>
      </c>
      <c r="AH1205">
        <v>27</v>
      </c>
      <c r="AI1205">
        <v>0</v>
      </c>
      <c r="AJ1205">
        <v>39</v>
      </c>
      <c r="AK1205">
        <v>0</v>
      </c>
      <c r="AL1205">
        <v>0</v>
      </c>
      <c r="AM1205">
        <v>58</v>
      </c>
      <c r="AN1205">
        <v>60</v>
      </c>
      <c r="AO1205">
        <v>28</v>
      </c>
      <c r="AQ1205" t="str">
        <f t="shared" si="18"/>
        <v>Defensive Forward</v>
      </c>
    </row>
    <row r="1206" spans="1:43" x14ac:dyDescent="0.35">
      <c r="A1206" t="s">
        <v>722</v>
      </c>
      <c r="B1206" t="s">
        <v>39</v>
      </c>
      <c r="C1206" t="s">
        <v>2072</v>
      </c>
      <c r="D1206">
        <v>1993</v>
      </c>
      <c r="E1206">
        <v>22</v>
      </c>
      <c r="F1206" t="s">
        <v>54</v>
      </c>
      <c r="G1206" t="s">
        <v>95</v>
      </c>
      <c r="H1206">
        <v>30800000</v>
      </c>
      <c r="I1206">
        <v>36000000</v>
      </c>
      <c r="J1206" t="s">
        <v>42</v>
      </c>
      <c r="K1206">
        <v>37</v>
      </c>
      <c r="L1206">
        <v>3174</v>
      </c>
      <c r="M1206">
        <v>18</v>
      </c>
      <c r="N1206">
        <v>1098</v>
      </c>
      <c r="O1206">
        <v>6</v>
      </c>
      <c r="P1206">
        <v>3</v>
      </c>
      <c r="Q1206">
        <v>0</v>
      </c>
      <c r="R1206">
        <v>1</v>
      </c>
      <c r="S1206">
        <v>8</v>
      </c>
      <c r="T1206">
        <v>118</v>
      </c>
      <c r="U1206">
        <v>48</v>
      </c>
      <c r="V1206">
        <v>7</v>
      </c>
      <c r="W1206">
        <v>4</v>
      </c>
      <c r="X1206">
        <v>4</v>
      </c>
      <c r="Y1206">
        <v>1</v>
      </c>
      <c r="Z1206">
        <v>0</v>
      </c>
      <c r="AA1206">
        <v>16</v>
      </c>
      <c r="AB1206">
        <v>7</v>
      </c>
      <c r="AC1206">
        <v>18</v>
      </c>
      <c r="AD1206">
        <v>0</v>
      </c>
      <c r="AE1206">
        <v>31</v>
      </c>
      <c r="AF1206">
        <v>3</v>
      </c>
      <c r="AG1206">
        <v>0</v>
      </c>
      <c r="AH1206">
        <v>30</v>
      </c>
      <c r="AI1206">
        <v>0</v>
      </c>
      <c r="AJ1206">
        <v>13</v>
      </c>
      <c r="AK1206">
        <v>0</v>
      </c>
      <c r="AL1206">
        <v>0</v>
      </c>
      <c r="AM1206">
        <v>5</v>
      </c>
      <c r="AN1206">
        <v>93</v>
      </c>
      <c r="AO1206">
        <v>144</v>
      </c>
      <c r="AQ1206" t="str">
        <f t="shared" si="18"/>
        <v>Forward</v>
      </c>
    </row>
    <row r="1207" spans="1:43" x14ac:dyDescent="0.35">
      <c r="A1207" t="s">
        <v>722</v>
      </c>
      <c r="B1207" t="s">
        <v>47</v>
      </c>
      <c r="C1207" t="s">
        <v>2073</v>
      </c>
      <c r="D1207">
        <v>1993</v>
      </c>
      <c r="E1207">
        <v>23</v>
      </c>
      <c r="F1207" t="s">
        <v>54</v>
      </c>
      <c r="G1207" t="s">
        <v>95</v>
      </c>
      <c r="H1207">
        <v>36000000</v>
      </c>
      <c r="I1207">
        <v>45000000</v>
      </c>
      <c r="J1207" t="s">
        <v>42</v>
      </c>
      <c r="K1207">
        <v>37</v>
      </c>
      <c r="L1207">
        <v>3267</v>
      </c>
      <c r="M1207">
        <v>25</v>
      </c>
      <c r="N1207">
        <v>965</v>
      </c>
      <c r="O1207">
        <v>6</v>
      </c>
      <c r="P1207">
        <v>3</v>
      </c>
      <c r="Q1207">
        <v>0</v>
      </c>
      <c r="R1207">
        <v>1</v>
      </c>
      <c r="S1207">
        <v>2</v>
      </c>
      <c r="T1207">
        <v>110</v>
      </c>
      <c r="U1207">
        <v>55</v>
      </c>
      <c r="V1207">
        <v>3</v>
      </c>
      <c r="W1207">
        <v>16</v>
      </c>
      <c r="X1207">
        <v>6</v>
      </c>
      <c r="Y1207">
        <v>1</v>
      </c>
      <c r="Z1207">
        <v>1</v>
      </c>
      <c r="AA1207">
        <v>36</v>
      </c>
      <c r="AB1207">
        <v>9</v>
      </c>
      <c r="AC1207">
        <v>8</v>
      </c>
      <c r="AD1207">
        <v>0</v>
      </c>
      <c r="AE1207">
        <v>45</v>
      </c>
      <c r="AF1207">
        <v>4</v>
      </c>
      <c r="AG1207">
        <v>0</v>
      </c>
      <c r="AH1207">
        <v>33</v>
      </c>
      <c r="AI1207">
        <v>0</v>
      </c>
      <c r="AJ1207">
        <v>9</v>
      </c>
      <c r="AK1207">
        <v>0</v>
      </c>
      <c r="AL1207">
        <v>0</v>
      </c>
      <c r="AM1207">
        <v>27</v>
      </c>
      <c r="AN1207">
        <v>136</v>
      </c>
      <c r="AO1207">
        <v>185</v>
      </c>
      <c r="AQ1207" t="str">
        <f t="shared" si="18"/>
        <v>Forward</v>
      </c>
    </row>
    <row r="1208" spans="1:43" x14ac:dyDescent="0.35">
      <c r="A1208" t="s">
        <v>722</v>
      </c>
      <c r="B1208" t="s">
        <v>43</v>
      </c>
      <c r="C1208" t="s">
        <v>2074</v>
      </c>
      <c r="D1208">
        <v>1993</v>
      </c>
      <c r="E1208">
        <v>24</v>
      </c>
      <c r="F1208" t="s">
        <v>129</v>
      </c>
      <c r="G1208" t="s">
        <v>95</v>
      </c>
      <c r="H1208">
        <v>45000000</v>
      </c>
      <c r="I1208">
        <v>81000000</v>
      </c>
      <c r="J1208" t="s">
        <v>42</v>
      </c>
      <c r="K1208">
        <v>34</v>
      </c>
      <c r="L1208">
        <v>2869</v>
      </c>
      <c r="M1208">
        <v>16</v>
      </c>
      <c r="N1208">
        <v>721</v>
      </c>
      <c r="O1208">
        <v>7</v>
      </c>
      <c r="P1208">
        <v>4</v>
      </c>
      <c r="Q1208">
        <v>0</v>
      </c>
      <c r="R1208">
        <v>1</v>
      </c>
      <c r="S1208">
        <v>3</v>
      </c>
      <c r="T1208">
        <v>86</v>
      </c>
      <c r="U1208">
        <v>43</v>
      </c>
      <c r="V1208">
        <v>1</v>
      </c>
      <c r="W1208">
        <v>15</v>
      </c>
      <c r="X1208">
        <v>3</v>
      </c>
      <c r="Y1208">
        <v>0</v>
      </c>
      <c r="Z1208">
        <v>0</v>
      </c>
      <c r="AA1208">
        <v>18</v>
      </c>
      <c r="AB1208">
        <v>11</v>
      </c>
      <c r="AC1208">
        <v>43</v>
      </c>
      <c r="AD1208">
        <v>0</v>
      </c>
      <c r="AE1208">
        <v>36</v>
      </c>
      <c r="AF1208">
        <v>2</v>
      </c>
      <c r="AG1208">
        <v>3</v>
      </c>
      <c r="AH1208">
        <v>31</v>
      </c>
      <c r="AI1208">
        <v>0</v>
      </c>
      <c r="AJ1208">
        <v>7</v>
      </c>
      <c r="AK1208">
        <v>1</v>
      </c>
      <c r="AL1208">
        <v>0</v>
      </c>
      <c r="AM1208">
        <v>21</v>
      </c>
      <c r="AN1208">
        <v>109</v>
      </c>
      <c r="AO1208">
        <v>100</v>
      </c>
      <c r="AQ1208" t="str">
        <f t="shared" si="18"/>
        <v>Forward</v>
      </c>
    </row>
    <row r="1209" spans="1:43" x14ac:dyDescent="0.35">
      <c r="A1209" t="s">
        <v>722</v>
      </c>
      <c r="B1209" t="s">
        <v>46</v>
      </c>
      <c r="C1209" t="s">
        <v>2075</v>
      </c>
      <c r="D1209">
        <v>1993</v>
      </c>
      <c r="E1209">
        <v>25</v>
      </c>
      <c r="F1209" t="s">
        <v>129</v>
      </c>
      <c r="G1209" t="s">
        <v>95</v>
      </c>
      <c r="H1209">
        <v>81000000</v>
      </c>
      <c r="I1209">
        <v>67500000</v>
      </c>
      <c r="J1209" t="s">
        <v>42</v>
      </c>
      <c r="K1209">
        <v>32</v>
      </c>
      <c r="L1209">
        <v>2130</v>
      </c>
      <c r="M1209">
        <v>12</v>
      </c>
      <c r="N1209">
        <v>534</v>
      </c>
      <c r="O1209">
        <v>0</v>
      </c>
      <c r="P1209">
        <v>4</v>
      </c>
      <c r="Q1209">
        <v>0</v>
      </c>
      <c r="R1209">
        <v>10</v>
      </c>
      <c r="S1209">
        <v>4</v>
      </c>
      <c r="T1209">
        <v>55</v>
      </c>
      <c r="U1209">
        <v>32</v>
      </c>
      <c r="V1209">
        <v>2</v>
      </c>
      <c r="W1209">
        <v>13</v>
      </c>
      <c r="X1209">
        <v>2</v>
      </c>
      <c r="Y1209">
        <v>0</v>
      </c>
      <c r="Z1209">
        <v>0</v>
      </c>
      <c r="AA1209">
        <v>23</v>
      </c>
      <c r="AB1209">
        <v>5</v>
      </c>
      <c r="AC1209">
        <v>23</v>
      </c>
      <c r="AD1209">
        <v>0</v>
      </c>
      <c r="AE1209">
        <v>46</v>
      </c>
      <c r="AF1209">
        <v>1</v>
      </c>
      <c r="AG1209">
        <v>2</v>
      </c>
      <c r="AH1209">
        <v>18</v>
      </c>
      <c r="AI1209">
        <v>0</v>
      </c>
      <c r="AJ1209">
        <v>8</v>
      </c>
      <c r="AK1209">
        <v>0</v>
      </c>
      <c r="AL1209">
        <v>0</v>
      </c>
      <c r="AM1209">
        <v>19</v>
      </c>
      <c r="AN1209">
        <v>93</v>
      </c>
      <c r="AO1209">
        <v>85</v>
      </c>
      <c r="AQ1209" t="str">
        <f t="shared" si="18"/>
        <v>Forward</v>
      </c>
    </row>
    <row r="1210" spans="1:43" x14ac:dyDescent="0.35">
      <c r="A1210" t="s">
        <v>723</v>
      </c>
      <c r="B1210" t="s">
        <v>43</v>
      </c>
      <c r="C1210" t="s">
        <v>2076</v>
      </c>
      <c r="D1210">
        <v>1989</v>
      </c>
      <c r="E1210">
        <v>28</v>
      </c>
      <c r="F1210" t="s">
        <v>40</v>
      </c>
      <c r="G1210" t="s">
        <v>45</v>
      </c>
      <c r="H1210">
        <v>10800000</v>
      </c>
      <c r="I1210">
        <v>7200000</v>
      </c>
      <c r="J1210" t="s">
        <v>55</v>
      </c>
      <c r="K1210">
        <v>11</v>
      </c>
      <c r="L1210">
        <v>757</v>
      </c>
      <c r="M1210">
        <v>0</v>
      </c>
      <c r="N1210">
        <v>486</v>
      </c>
      <c r="O1210">
        <v>0</v>
      </c>
      <c r="P1210">
        <v>3</v>
      </c>
      <c r="Q1210">
        <v>0</v>
      </c>
      <c r="R1210">
        <v>2</v>
      </c>
      <c r="S1210">
        <v>5</v>
      </c>
      <c r="T1210">
        <v>1</v>
      </c>
      <c r="U1210">
        <v>1</v>
      </c>
      <c r="V1210">
        <v>0</v>
      </c>
      <c r="W1210">
        <v>3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1</v>
      </c>
      <c r="AF1210">
        <v>0</v>
      </c>
      <c r="AG1210">
        <v>13</v>
      </c>
      <c r="AH1210">
        <v>14</v>
      </c>
      <c r="AI1210">
        <v>0</v>
      </c>
      <c r="AJ1210">
        <v>20</v>
      </c>
      <c r="AK1210">
        <v>0</v>
      </c>
      <c r="AL1210">
        <v>0</v>
      </c>
      <c r="AM1210">
        <v>6</v>
      </c>
      <c r="AN1210">
        <v>2</v>
      </c>
      <c r="AO1210">
        <v>3</v>
      </c>
      <c r="AQ1210" t="str">
        <f t="shared" si="18"/>
        <v>Midfielder</v>
      </c>
    </row>
    <row r="1211" spans="1:43" x14ac:dyDescent="0.35">
      <c r="A1211" t="s">
        <v>724</v>
      </c>
      <c r="B1211" t="s">
        <v>39</v>
      </c>
      <c r="C1211" t="s">
        <v>2077</v>
      </c>
      <c r="D1211">
        <v>1993</v>
      </c>
      <c r="E1211">
        <v>21</v>
      </c>
      <c r="F1211" t="s">
        <v>54</v>
      </c>
      <c r="G1211" t="s">
        <v>51</v>
      </c>
      <c r="H1211">
        <v>15000000</v>
      </c>
      <c r="I1211">
        <v>22000000</v>
      </c>
      <c r="J1211" t="s">
        <v>55</v>
      </c>
      <c r="K1211">
        <v>38</v>
      </c>
      <c r="L1211">
        <v>3085</v>
      </c>
      <c r="M1211">
        <v>8</v>
      </c>
      <c r="N1211">
        <v>1802</v>
      </c>
      <c r="O1211">
        <v>8</v>
      </c>
      <c r="P1211">
        <v>4</v>
      </c>
      <c r="Q1211">
        <v>0</v>
      </c>
      <c r="R1211">
        <v>2</v>
      </c>
      <c r="S1211">
        <v>14</v>
      </c>
      <c r="T1211">
        <v>95</v>
      </c>
      <c r="U1211">
        <v>29</v>
      </c>
      <c r="V1211">
        <v>5</v>
      </c>
      <c r="W1211">
        <v>15</v>
      </c>
      <c r="X1211">
        <v>0</v>
      </c>
      <c r="Y1211">
        <v>2</v>
      </c>
      <c r="Z1211">
        <v>0</v>
      </c>
      <c r="AA1211">
        <v>5</v>
      </c>
      <c r="AB1211">
        <v>19</v>
      </c>
      <c r="AC1211">
        <v>7</v>
      </c>
      <c r="AD1211">
        <v>70</v>
      </c>
      <c r="AE1211">
        <v>110</v>
      </c>
      <c r="AF1211">
        <v>5</v>
      </c>
      <c r="AG1211">
        <v>17</v>
      </c>
      <c r="AH1211">
        <v>29</v>
      </c>
      <c r="AI1211">
        <v>0</v>
      </c>
      <c r="AJ1211">
        <v>34</v>
      </c>
      <c r="AK1211">
        <v>0</v>
      </c>
      <c r="AL1211">
        <v>0</v>
      </c>
      <c r="AM1211">
        <v>18</v>
      </c>
      <c r="AN1211">
        <v>29</v>
      </c>
      <c r="AO1211">
        <v>31</v>
      </c>
      <c r="AQ1211" t="str">
        <f t="shared" si="18"/>
        <v>Midfielder</v>
      </c>
    </row>
    <row r="1212" spans="1:43" x14ac:dyDescent="0.35">
      <c r="A1212" t="s">
        <v>724</v>
      </c>
      <c r="B1212" t="s">
        <v>47</v>
      </c>
      <c r="C1212" t="s">
        <v>2078</v>
      </c>
      <c r="D1212">
        <v>1993</v>
      </c>
      <c r="E1212">
        <v>22</v>
      </c>
      <c r="F1212" t="s">
        <v>54</v>
      </c>
      <c r="G1212" t="s">
        <v>51</v>
      </c>
      <c r="H1212">
        <v>22000000</v>
      </c>
      <c r="I1212">
        <v>25000000</v>
      </c>
      <c r="J1212" t="s">
        <v>55</v>
      </c>
      <c r="K1212">
        <v>36</v>
      </c>
      <c r="L1212">
        <v>2905</v>
      </c>
      <c r="M1212">
        <v>5</v>
      </c>
      <c r="N1212">
        <v>1651</v>
      </c>
      <c r="O1212">
        <v>8</v>
      </c>
      <c r="P1212">
        <v>5</v>
      </c>
      <c r="Q1212">
        <v>0</v>
      </c>
      <c r="R1212">
        <v>4</v>
      </c>
      <c r="S1212">
        <v>13</v>
      </c>
      <c r="T1212">
        <v>89</v>
      </c>
      <c r="U1212">
        <v>30</v>
      </c>
      <c r="V1212">
        <v>1</v>
      </c>
      <c r="W1212">
        <v>29</v>
      </c>
      <c r="X1212">
        <v>1</v>
      </c>
      <c r="Y1212">
        <v>0</v>
      </c>
      <c r="Z1212">
        <v>1</v>
      </c>
      <c r="AA1212">
        <v>8</v>
      </c>
      <c r="AB1212">
        <v>10</v>
      </c>
      <c r="AC1212">
        <v>5</v>
      </c>
      <c r="AD1212">
        <v>63</v>
      </c>
      <c r="AE1212">
        <v>113</v>
      </c>
      <c r="AF1212">
        <v>6</v>
      </c>
      <c r="AG1212">
        <v>10</v>
      </c>
      <c r="AH1212">
        <v>49</v>
      </c>
      <c r="AI1212">
        <v>0</v>
      </c>
      <c r="AJ1212">
        <v>30</v>
      </c>
      <c r="AK1212">
        <v>0</v>
      </c>
      <c r="AL1212">
        <v>0</v>
      </c>
      <c r="AM1212">
        <v>35</v>
      </c>
      <c r="AN1212">
        <v>42</v>
      </c>
      <c r="AO1212">
        <v>40</v>
      </c>
      <c r="AQ1212" t="str">
        <f t="shared" si="18"/>
        <v>Midfielder</v>
      </c>
    </row>
    <row r="1213" spans="1:43" x14ac:dyDescent="0.35">
      <c r="A1213" t="s">
        <v>724</v>
      </c>
      <c r="B1213" t="s">
        <v>46</v>
      </c>
      <c r="C1213" t="s">
        <v>2079</v>
      </c>
      <c r="D1213">
        <v>1993</v>
      </c>
      <c r="E1213">
        <v>24</v>
      </c>
      <c r="F1213" t="s">
        <v>44</v>
      </c>
      <c r="G1213" t="s">
        <v>51</v>
      </c>
      <c r="H1213">
        <v>25000000</v>
      </c>
      <c r="I1213">
        <v>30000000</v>
      </c>
      <c r="J1213" t="s">
        <v>55</v>
      </c>
      <c r="K1213">
        <v>27</v>
      </c>
      <c r="L1213">
        <v>1241</v>
      </c>
      <c r="M1213">
        <v>3</v>
      </c>
      <c r="N1213">
        <v>954</v>
      </c>
      <c r="O1213">
        <v>5</v>
      </c>
      <c r="P1213">
        <v>1</v>
      </c>
      <c r="Q1213">
        <v>0</v>
      </c>
      <c r="R1213">
        <v>14</v>
      </c>
      <c r="S1213">
        <v>10</v>
      </c>
      <c r="T1213">
        <v>41</v>
      </c>
      <c r="U1213">
        <v>9</v>
      </c>
      <c r="V1213">
        <v>1</v>
      </c>
      <c r="W1213">
        <v>8</v>
      </c>
      <c r="X1213">
        <v>0</v>
      </c>
      <c r="Y1213">
        <v>0</v>
      </c>
      <c r="Z1213">
        <v>0</v>
      </c>
      <c r="AA1213">
        <v>0</v>
      </c>
      <c r="AB1213">
        <v>4</v>
      </c>
      <c r="AC1213">
        <v>32</v>
      </c>
      <c r="AD1213">
        <v>0</v>
      </c>
      <c r="AE1213">
        <v>7</v>
      </c>
      <c r="AF1213">
        <v>1</v>
      </c>
      <c r="AG1213">
        <v>8</v>
      </c>
      <c r="AH1213">
        <v>14</v>
      </c>
      <c r="AI1213">
        <v>0</v>
      </c>
      <c r="AJ1213">
        <v>15</v>
      </c>
      <c r="AK1213">
        <v>1</v>
      </c>
      <c r="AL1213">
        <v>0</v>
      </c>
      <c r="AM1213">
        <v>13</v>
      </c>
      <c r="AN1213">
        <v>19</v>
      </c>
      <c r="AO1213">
        <v>8</v>
      </c>
      <c r="AQ1213" t="str">
        <f t="shared" si="18"/>
        <v>Midfielder</v>
      </c>
    </row>
    <row r="1214" spans="1:43" x14ac:dyDescent="0.35">
      <c r="A1214" t="s">
        <v>725</v>
      </c>
      <c r="B1214" t="s">
        <v>43</v>
      </c>
      <c r="C1214" t="s">
        <v>2080</v>
      </c>
      <c r="D1214">
        <v>1996</v>
      </c>
      <c r="E1214">
        <v>21</v>
      </c>
      <c r="F1214" t="s">
        <v>64</v>
      </c>
      <c r="G1214" t="s">
        <v>51</v>
      </c>
      <c r="H1214">
        <v>5500000</v>
      </c>
      <c r="I1214">
        <v>16500000</v>
      </c>
      <c r="J1214" t="s">
        <v>55</v>
      </c>
      <c r="K1214">
        <v>24</v>
      </c>
      <c r="L1214">
        <v>1875</v>
      </c>
      <c r="M1214">
        <v>2</v>
      </c>
      <c r="N1214">
        <v>723</v>
      </c>
      <c r="O1214">
        <v>3</v>
      </c>
      <c r="P1214">
        <v>1</v>
      </c>
      <c r="Q1214">
        <v>0</v>
      </c>
      <c r="R1214">
        <v>3</v>
      </c>
      <c r="S1214">
        <v>4</v>
      </c>
      <c r="T1214">
        <v>32</v>
      </c>
      <c r="U1214">
        <v>7</v>
      </c>
      <c r="V1214">
        <v>1</v>
      </c>
      <c r="W1214">
        <v>16</v>
      </c>
      <c r="X1214">
        <v>0</v>
      </c>
      <c r="Y1214">
        <v>0</v>
      </c>
      <c r="Z1214">
        <v>0</v>
      </c>
      <c r="AA1214">
        <v>3</v>
      </c>
      <c r="AB1214">
        <v>1</v>
      </c>
      <c r="AC1214">
        <v>25</v>
      </c>
      <c r="AD1214">
        <v>0</v>
      </c>
      <c r="AE1214">
        <v>12</v>
      </c>
      <c r="AF1214">
        <v>2</v>
      </c>
      <c r="AG1214">
        <v>22</v>
      </c>
      <c r="AH1214">
        <v>17</v>
      </c>
      <c r="AI1214">
        <v>0</v>
      </c>
      <c r="AJ1214">
        <v>21</v>
      </c>
      <c r="AK1214">
        <v>0</v>
      </c>
      <c r="AL1214">
        <v>0</v>
      </c>
      <c r="AM1214">
        <v>26</v>
      </c>
      <c r="AN1214">
        <v>0</v>
      </c>
      <c r="AO1214">
        <v>55</v>
      </c>
      <c r="AQ1214" t="str">
        <f t="shared" si="18"/>
        <v>Midfielder</v>
      </c>
    </row>
    <row r="1215" spans="1:43" x14ac:dyDescent="0.35">
      <c r="A1215" t="s">
        <v>725</v>
      </c>
      <c r="B1215" t="s">
        <v>39</v>
      </c>
      <c r="C1215" t="s">
        <v>2081</v>
      </c>
      <c r="D1215">
        <v>1996</v>
      </c>
      <c r="E1215">
        <v>19</v>
      </c>
      <c r="F1215" t="s">
        <v>44</v>
      </c>
      <c r="G1215" t="s">
        <v>51</v>
      </c>
      <c r="H1215">
        <v>2200000</v>
      </c>
      <c r="I1215">
        <v>5500000</v>
      </c>
      <c r="J1215" t="s">
        <v>55</v>
      </c>
      <c r="K1215">
        <v>13</v>
      </c>
      <c r="L1215">
        <v>407</v>
      </c>
      <c r="M1215">
        <v>1</v>
      </c>
      <c r="N1215">
        <v>243</v>
      </c>
      <c r="O1215">
        <v>0</v>
      </c>
      <c r="P1215">
        <v>0</v>
      </c>
      <c r="Q1215">
        <v>0</v>
      </c>
      <c r="R1215">
        <v>9</v>
      </c>
      <c r="S1215">
        <v>2</v>
      </c>
      <c r="T1215">
        <v>12</v>
      </c>
      <c r="U1215">
        <v>3</v>
      </c>
      <c r="V1215">
        <v>0</v>
      </c>
      <c r="W1215">
        <v>2</v>
      </c>
      <c r="X1215">
        <v>0</v>
      </c>
      <c r="Y1215">
        <v>0</v>
      </c>
      <c r="Z1215">
        <v>0</v>
      </c>
      <c r="AA1215">
        <v>1</v>
      </c>
      <c r="AB1215">
        <v>1</v>
      </c>
      <c r="AC1215">
        <v>0</v>
      </c>
      <c r="AD1215">
        <v>0</v>
      </c>
      <c r="AE1215">
        <v>1</v>
      </c>
      <c r="AF1215">
        <v>0</v>
      </c>
      <c r="AG1215">
        <v>5</v>
      </c>
      <c r="AH1215">
        <v>4</v>
      </c>
      <c r="AI1215">
        <v>0</v>
      </c>
      <c r="AJ1215">
        <v>11</v>
      </c>
      <c r="AK1215">
        <v>0</v>
      </c>
      <c r="AL1215">
        <v>0</v>
      </c>
      <c r="AM1215">
        <v>4</v>
      </c>
      <c r="AN1215">
        <v>7</v>
      </c>
      <c r="AO1215">
        <v>8</v>
      </c>
      <c r="AQ1215" t="str">
        <f t="shared" si="18"/>
        <v>Midfielder</v>
      </c>
    </row>
    <row r="1216" spans="1:43" x14ac:dyDescent="0.35">
      <c r="A1216" t="s">
        <v>725</v>
      </c>
      <c r="B1216" t="s">
        <v>46</v>
      </c>
      <c r="C1216" t="s">
        <v>2082</v>
      </c>
      <c r="D1216">
        <v>1996</v>
      </c>
      <c r="E1216">
        <v>22</v>
      </c>
      <c r="F1216" t="s">
        <v>44</v>
      </c>
      <c r="G1216" t="s">
        <v>51</v>
      </c>
      <c r="H1216">
        <v>16500000</v>
      </c>
      <c r="I1216">
        <v>33000000</v>
      </c>
      <c r="J1216" t="s">
        <v>55</v>
      </c>
      <c r="K1216">
        <v>24</v>
      </c>
      <c r="L1216">
        <v>983</v>
      </c>
      <c r="M1216">
        <v>6</v>
      </c>
      <c r="N1216">
        <v>610</v>
      </c>
      <c r="O1216">
        <v>2</v>
      </c>
      <c r="P1216">
        <v>0</v>
      </c>
      <c r="Q1216">
        <v>0</v>
      </c>
      <c r="R1216">
        <v>18</v>
      </c>
      <c r="S1216">
        <v>3</v>
      </c>
      <c r="T1216">
        <v>28</v>
      </c>
      <c r="U1216">
        <v>8</v>
      </c>
      <c r="V1216">
        <v>0</v>
      </c>
      <c r="W1216">
        <v>5</v>
      </c>
      <c r="X1216">
        <v>2</v>
      </c>
      <c r="Y1216">
        <v>0</v>
      </c>
      <c r="Z1216">
        <v>0</v>
      </c>
      <c r="AA1216">
        <v>2</v>
      </c>
      <c r="AB1216">
        <v>2</v>
      </c>
      <c r="AC1216">
        <v>20</v>
      </c>
      <c r="AD1216">
        <v>2</v>
      </c>
      <c r="AE1216">
        <v>2</v>
      </c>
      <c r="AF1216">
        <v>4</v>
      </c>
      <c r="AG1216">
        <v>11</v>
      </c>
      <c r="AH1216">
        <v>10</v>
      </c>
      <c r="AI1216">
        <v>0</v>
      </c>
      <c r="AJ1216">
        <v>18</v>
      </c>
      <c r="AK1216">
        <v>0</v>
      </c>
      <c r="AL1216">
        <v>0</v>
      </c>
      <c r="AM1216">
        <v>5</v>
      </c>
      <c r="AN1216">
        <v>21</v>
      </c>
      <c r="AO1216">
        <v>21</v>
      </c>
      <c r="AQ1216" t="str">
        <f t="shared" si="18"/>
        <v>Midfielder</v>
      </c>
    </row>
    <row r="1217" spans="1:43" x14ac:dyDescent="0.35">
      <c r="A1217" t="s">
        <v>726</v>
      </c>
      <c r="B1217" t="s">
        <v>39</v>
      </c>
      <c r="C1217" t="s">
        <v>2083</v>
      </c>
      <c r="D1217">
        <v>1988</v>
      </c>
      <c r="E1217">
        <v>26</v>
      </c>
      <c r="F1217" t="s">
        <v>89</v>
      </c>
      <c r="G1217" t="s">
        <v>727</v>
      </c>
      <c r="H1217">
        <v>6300000</v>
      </c>
      <c r="I1217">
        <v>6300000</v>
      </c>
      <c r="J1217" t="s">
        <v>42</v>
      </c>
      <c r="K1217">
        <v>18</v>
      </c>
      <c r="L1217">
        <v>1657</v>
      </c>
      <c r="M1217">
        <v>5</v>
      </c>
      <c r="N1217">
        <v>597</v>
      </c>
      <c r="O1217">
        <v>0</v>
      </c>
      <c r="P1217">
        <v>2</v>
      </c>
      <c r="Q1217">
        <v>0</v>
      </c>
      <c r="R1217">
        <v>18</v>
      </c>
      <c r="S1217">
        <v>3</v>
      </c>
      <c r="T1217">
        <v>61</v>
      </c>
      <c r="U1217">
        <v>18</v>
      </c>
      <c r="V1217">
        <v>2</v>
      </c>
      <c r="W1217">
        <v>20</v>
      </c>
      <c r="X1217">
        <v>3</v>
      </c>
      <c r="Y1217">
        <v>0</v>
      </c>
      <c r="Z1217">
        <v>0</v>
      </c>
      <c r="AA1217">
        <v>6</v>
      </c>
      <c r="AB1217">
        <v>0</v>
      </c>
      <c r="AC1217">
        <v>6</v>
      </c>
      <c r="AD1217">
        <v>0</v>
      </c>
      <c r="AE1217">
        <v>2</v>
      </c>
      <c r="AF1217">
        <v>3</v>
      </c>
      <c r="AG1217">
        <v>6</v>
      </c>
      <c r="AH1217">
        <v>24</v>
      </c>
      <c r="AI1217">
        <v>0</v>
      </c>
      <c r="AJ1217">
        <v>11</v>
      </c>
      <c r="AK1217">
        <v>0</v>
      </c>
      <c r="AL1217">
        <v>0</v>
      </c>
      <c r="AM1217">
        <v>29</v>
      </c>
      <c r="AN1217">
        <v>208</v>
      </c>
      <c r="AO1217">
        <v>147</v>
      </c>
      <c r="AQ1217" t="str">
        <f t="shared" si="18"/>
        <v>Forward</v>
      </c>
    </row>
    <row r="1218" spans="1:43" x14ac:dyDescent="0.35">
      <c r="A1218" t="s">
        <v>726</v>
      </c>
      <c r="B1218" t="s">
        <v>47</v>
      </c>
      <c r="C1218" t="s">
        <v>2084</v>
      </c>
      <c r="D1218">
        <v>1988</v>
      </c>
      <c r="E1218">
        <v>27</v>
      </c>
      <c r="F1218" t="s">
        <v>48</v>
      </c>
      <c r="G1218" t="s">
        <v>727</v>
      </c>
      <c r="H1218">
        <v>6300000</v>
      </c>
      <c r="I1218">
        <v>6300000</v>
      </c>
      <c r="J1218" t="s">
        <v>42</v>
      </c>
      <c r="K1218">
        <v>16</v>
      </c>
      <c r="L1218">
        <v>525</v>
      </c>
      <c r="M1218">
        <v>1</v>
      </c>
      <c r="N1218">
        <v>218</v>
      </c>
      <c r="O1218">
        <v>0</v>
      </c>
      <c r="P1218">
        <v>3</v>
      </c>
      <c r="Q1218">
        <v>0</v>
      </c>
      <c r="R1218">
        <v>12</v>
      </c>
      <c r="S1218">
        <v>3</v>
      </c>
      <c r="T1218">
        <v>16</v>
      </c>
      <c r="U1218">
        <v>5</v>
      </c>
      <c r="V1218">
        <v>1</v>
      </c>
      <c r="W1218">
        <v>7</v>
      </c>
      <c r="X1218">
        <v>0</v>
      </c>
      <c r="Y1218">
        <v>0</v>
      </c>
      <c r="Z1218">
        <v>0</v>
      </c>
      <c r="AA1218">
        <v>3</v>
      </c>
      <c r="AB1218">
        <v>0</v>
      </c>
      <c r="AC1218">
        <v>1</v>
      </c>
      <c r="AD1218">
        <v>0</v>
      </c>
      <c r="AE1218">
        <v>2</v>
      </c>
      <c r="AF1218">
        <v>1</v>
      </c>
      <c r="AG1218">
        <v>2</v>
      </c>
      <c r="AH1218">
        <v>8</v>
      </c>
      <c r="AI1218">
        <v>0</v>
      </c>
      <c r="AJ1218">
        <v>6</v>
      </c>
      <c r="AK1218">
        <v>0</v>
      </c>
      <c r="AL1218">
        <v>0</v>
      </c>
      <c r="AM1218">
        <v>9</v>
      </c>
      <c r="AN1218">
        <v>81</v>
      </c>
      <c r="AO1218">
        <v>33</v>
      </c>
      <c r="AQ1218" t="str">
        <f t="shared" ref="AQ1218:AQ1281" si="19">IF(J1218 = "FW", REPLACE(J1218,1,2,"Forward"),IF(J1218 = "DF", "Defensive Forward", "Midfielder"))</f>
        <v>Forward</v>
      </c>
    </row>
    <row r="1219" spans="1:43" x14ac:dyDescent="0.35">
      <c r="A1219" t="s">
        <v>728</v>
      </c>
      <c r="B1219" t="s">
        <v>39</v>
      </c>
      <c r="C1219" t="s">
        <v>2085</v>
      </c>
      <c r="D1219">
        <v>1986</v>
      </c>
      <c r="E1219">
        <v>29</v>
      </c>
      <c r="F1219" t="s">
        <v>123</v>
      </c>
      <c r="G1219" t="s">
        <v>108</v>
      </c>
      <c r="H1219">
        <v>2700000</v>
      </c>
      <c r="I1219">
        <v>2700000</v>
      </c>
      <c r="J1219" t="s">
        <v>52</v>
      </c>
      <c r="K1219">
        <v>30</v>
      </c>
      <c r="L1219">
        <v>2698</v>
      </c>
      <c r="M1219">
        <v>3</v>
      </c>
      <c r="N1219">
        <v>1118</v>
      </c>
      <c r="O1219">
        <v>0</v>
      </c>
      <c r="P1219">
        <v>4</v>
      </c>
      <c r="Q1219">
        <v>1</v>
      </c>
      <c r="R1219">
        <v>0</v>
      </c>
      <c r="S1219">
        <v>0</v>
      </c>
      <c r="T1219">
        <v>18</v>
      </c>
      <c r="U1219">
        <v>6</v>
      </c>
      <c r="V1219">
        <v>0</v>
      </c>
      <c r="W1219">
        <v>116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18</v>
      </c>
      <c r="AF1219">
        <v>23</v>
      </c>
      <c r="AG1219">
        <v>37</v>
      </c>
      <c r="AH1219">
        <v>32</v>
      </c>
      <c r="AI1219">
        <v>0</v>
      </c>
      <c r="AJ1219">
        <v>41</v>
      </c>
      <c r="AK1219">
        <v>1</v>
      </c>
      <c r="AL1219">
        <v>0</v>
      </c>
      <c r="AM1219">
        <v>201</v>
      </c>
      <c r="AN1219">
        <v>46</v>
      </c>
      <c r="AO1219">
        <v>32</v>
      </c>
      <c r="AQ1219" t="str">
        <f t="shared" si="19"/>
        <v>Defensive Forward</v>
      </c>
    </row>
    <row r="1220" spans="1:43" x14ac:dyDescent="0.35">
      <c r="A1220" t="s">
        <v>729</v>
      </c>
      <c r="B1220" t="s">
        <v>46</v>
      </c>
      <c r="C1220" t="s">
        <v>2086</v>
      </c>
      <c r="D1220">
        <v>1986</v>
      </c>
      <c r="E1220">
        <v>31</v>
      </c>
      <c r="F1220" t="s">
        <v>74</v>
      </c>
      <c r="G1220" t="s">
        <v>216</v>
      </c>
      <c r="H1220">
        <v>5400000</v>
      </c>
      <c r="I1220">
        <v>4500000</v>
      </c>
      <c r="J1220" t="s">
        <v>55</v>
      </c>
      <c r="K1220">
        <v>16</v>
      </c>
      <c r="L1220">
        <v>1260</v>
      </c>
      <c r="M1220">
        <v>5</v>
      </c>
      <c r="N1220">
        <v>469</v>
      </c>
      <c r="O1220">
        <v>3</v>
      </c>
      <c r="P1220">
        <v>3</v>
      </c>
      <c r="Q1220">
        <v>0</v>
      </c>
      <c r="R1220">
        <v>1</v>
      </c>
      <c r="S1220">
        <v>10</v>
      </c>
      <c r="T1220">
        <v>27</v>
      </c>
      <c r="U1220">
        <v>9</v>
      </c>
      <c r="V1220">
        <v>2</v>
      </c>
      <c r="W1220">
        <v>7</v>
      </c>
      <c r="X1220">
        <v>0</v>
      </c>
      <c r="Y1220">
        <v>0</v>
      </c>
      <c r="Z1220">
        <v>0</v>
      </c>
      <c r="AA1220">
        <v>9</v>
      </c>
      <c r="AB1220">
        <v>3</v>
      </c>
      <c r="AC1220">
        <v>18</v>
      </c>
      <c r="AD1220">
        <v>15</v>
      </c>
      <c r="AE1220">
        <v>38</v>
      </c>
      <c r="AF1220">
        <v>0</v>
      </c>
      <c r="AG1220">
        <v>6</v>
      </c>
      <c r="AH1220">
        <v>14</v>
      </c>
      <c r="AI1220">
        <v>0</v>
      </c>
      <c r="AJ1220">
        <v>8</v>
      </c>
      <c r="AK1220">
        <v>0</v>
      </c>
      <c r="AL1220">
        <v>0</v>
      </c>
      <c r="AM1220">
        <v>10</v>
      </c>
      <c r="AN1220">
        <v>15</v>
      </c>
      <c r="AO1220">
        <v>19</v>
      </c>
      <c r="AQ1220" t="str">
        <f t="shared" si="19"/>
        <v>Midfielder</v>
      </c>
    </row>
    <row r="1221" spans="1:43" x14ac:dyDescent="0.35">
      <c r="A1221" t="s">
        <v>730</v>
      </c>
      <c r="B1221" t="s">
        <v>39</v>
      </c>
      <c r="C1221" t="s">
        <v>2087</v>
      </c>
      <c r="D1221">
        <v>1990</v>
      </c>
      <c r="E1221">
        <v>25</v>
      </c>
      <c r="F1221" t="s">
        <v>123</v>
      </c>
      <c r="G1221" t="s">
        <v>51</v>
      </c>
      <c r="H1221">
        <v>1350000</v>
      </c>
      <c r="I1221">
        <v>1800000</v>
      </c>
      <c r="J1221" t="s">
        <v>52</v>
      </c>
      <c r="K1221">
        <v>22</v>
      </c>
      <c r="L1221">
        <v>1838</v>
      </c>
      <c r="M1221">
        <v>0</v>
      </c>
      <c r="N1221">
        <v>562</v>
      </c>
      <c r="O1221">
        <v>0</v>
      </c>
      <c r="P1221">
        <v>7</v>
      </c>
      <c r="Q1221">
        <v>0</v>
      </c>
      <c r="R1221">
        <v>2</v>
      </c>
      <c r="S1221">
        <v>2</v>
      </c>
      <c r="T1221">
        <v>8</v>
      </c>
      <c r="U1221">
        <v>3</v>
      </c>
      <c r="V1221">
        <v>0</v>
      </c>
      <c r="W1221">
        <v>99</v>
      </c>
      <c r="X1221">
        <v>0</v>
      </c>
      <c r="Y1221">
        <v>0</v>
      </c>
      <c r="Z1221">
        <v>0</v>
      </c>
      <c r="AA1221">
        <v>1</v>
      </c>
      <c r="AB1221">
        <v>0</v>
      </c>
      <c r="AC1221">
        <v>0</v>
      </c>
      <c r="AD1221">
        <v>0</v>
      </c>
      <c r="AE1221">
        <v>0</v>
      </c>
      <c r="AF1221">
        <v>14</v>
      </c>
      <c r="AG1221">
        <v>36</v>
      </c>
      <c r="AH1221">
        <v>14</v>
      </c>
      <c r="AI1221">
        <v>0</v>
      </c>
      <c r="AJ1221">
        <v>20</v>
      </c>
      <c r="AK1221">
        <v>0</v>
      </c>
      <c r="AL1221">
        <v>1</v>
      </c>
      <c r="AM1221">
        <v>172</v>
      </c>
      <c r="AN1221">
        <v>58</v>
      </c>
      <c r="AO1221">
        <v>33</v>
      </c>
      <c r="AQ1221" t="str">
        <f t="shared" si="19"/>
        <v>Defensive Forward</v>
      </c>
    </row>
    <row r="1222" spans="1:43" x14ac:dyDescent="0.35">
      <c r="A1222" t="s">
        <v>730</v>
      </c>
      <c r="B1222" t="s">
        <v>46</v>
      </c>
      <c r="C1222" t="s">
        <v>2088</v>
      </c>
      <c r="D1222">
        <v>1990</v>
      </c>
      <c r="E1222">
        <v>28</v>
      </c>
      <c r="F1222" t="s">
        <v>90</v>
      </c>
      <c r="G1222" t="s">
        <v>51</v>
      </c>
      <c r="H1222">
        <v>1800000</v>
      </c>
      <c r="I1222">
        <v>1800000</v>
      </c>
      <c r="J1222" t="s">
        <v>52</v>
      </c>
      <c r="K1222">
        <v>34</v>
      </c>
      <c r="L1222">
        <v>3060</v>
      </c>
      <c r="M1222">
        <v>1</v>
      </c>
      <c r="N1222">
        <v>1346</v>
      </c>
      <c r="O1222">
        <v>0</v>
      </c>
      <c r="P1222">
        <v>12</v>
      </c>
      <c r="Q1222">
        <v>0</v>
      </c>
      <c r="R1222">
        <v>0</v>
      </c>
      <c r="S1222">
        <v>0</v>
      </c>
      <c r="T1222">
        <v>15</v>
      </c>
      <c r="U1222">
        <v>4</v>
      </c>
      <c r="V1222">
        <v>0</v>
      </c>
      <c r="W1222">
        <v>75</v>
      </c>
      <c r="X1222">
        <v>1</v>
      </c>
      <c r="Y1222">
        <v>0</v>
      </c>
      <c r="Z1222">
        <v>0</v>
      </c>
      <c r="AA1222">
        <v>1</v>
      </c>
      <c r="AB1222">
        <v>1</v>
      </c>
      <c r="AC1222">
        <v>11</v>
      </c>
      <c r="AD1222">
        <v>0</v>
      </c>
      <c r="AE1222">
        <v>1</v>
      </c>
      <c r="AF1222">
        <v>21</v>
      </c>
      <c r="AG1222">
        <v>43</v>
      </c>
      <c r="AH1222">
        <v>37</v>
      </c>
      <c r="AI1222">
        <v>0</v>
      </c>
      <c r="AJ1222">
        <v>58</v>
      </c>
      <c r="AK1222">
        <v>1</v>
      </c>
      <c r="AL1222">
        <v>0</v>
      </c>
      <c r="AM1222">
        <v>124</v>
      </c>
      <c r="AN1222">
        <v>123</v>
      </c>
      <c r="AO1222">
        <v>94</v>
      </c>
      <c r="AQ1222" t="str">
        <f t="shared" si="19"/>
        <v>Defensive Forward</v>
      </c>
    </row>
    <row r="1223" spans="1:43" x14ac:dyDescent="0.35">
      <c r="A1223" t="s">
        <v>731</v>
      </c>
      <c r="B1223" t="s">
        <v>39</v>
      </c>
      <c r="C1223" t="s">
        <v>2089</v>
      </c>
      <c r="D1223">
        <v>1989</v>
      </c>
      <c r="E1223">
        <v>25</v>
      </c>
      <c r="F1223" t="s">
        <v>220</v>
      </c>
      <c r="G1223" t="s">
        <v>51</v>
      </c>
      <c r="H1223">
        <v>9000000</v>
      </c>
      <c r="I1223">
        <v>12600000</v>
      </c>
      <c r="J1223" t="s">
        <v>52</v>
      </c>
      <c r="K1223">
        <v>32</v>
      </c>
      <c r="L1223">
        <v>2880</v>
      </c>
      <c r="M1223">
        <v>1</v>
      </c>
      <c r="N1223">
        <v>1121</v>
      </c>
      <c r="O1223">
        <v>3</v>
      </c>
      <c r="P1223">
        <v>6</v>
      </c>
      <c r="Q1223">
        <v>0</v>
      </c>
      <c r="R1223">
        <v>0</v>
      </c>
      <c r="S1223">
        <v>0</v>
      </c>
      <c r="T1223">
        <v>12</v>
      </c>
      <c r="U1223">
        <v>2</v>
      </c>
      <c r="V1223">
        <v>0</v>
      </c>
      <c r="W1223">
        <v>47</v>
      </c>
      <c r="X1223">
        <v>0</v>
      </c>
      <c r="Y1223">
        <v>1</v>
      </c>
      <c r="Z1223">
        <v>0</v>
      </c>
      <c r="AA1223">
        <v>0</v>
      </c>
      <c r="AB1223">
        <v>1</v>
      </c>
      <c r="AC1223">
        <v>1</v>
      </c>
      <c r="AD1223">
        <v>52</v>
      </c>
      <c r="AE1223">
        <v>146</v>
      </c>
      <c r="AF1223">
        <v>7</v>
      </c>
      <c r="AG1223">
        <v>72</v>
      </c>
      <c r="AH1223">
        <v>30</v>
      </c>
      <c r="AI1223">
        <v>0</v>
      </c>
      <c r="AJ1223">
        <v>43</v>
      </c>
      <c r="AK1223">
        <v>0</v>
      </c>
      <c r="AL1223">
        <v>0</v>
      </c>
      <c r="AM1223">
        <v>88</v>
      </c>
      <c r="AN1223">
        <v>37</v>
      </c>
      <c r="AO1223">
        <v>32</v>
      </c>
      <c r="AQ1223" t="str">
        <f t="shared" si="19"/>
        <v>Defensive Forward</v>
      </c>
    </row>
    <row r="1224" spans="1:43" x14ac:dyDescent="0.35">
      <c r="A1224" t="s">
        <v>731</v>
      </c>
      <c r="B1224" t="s">
        <v>47</v>
      </c>
      <c r="C1224" t="s">
        <v>2090</v>
      </c>
      <c r="D1224">
        <v>1989</v>
      </c>
      <c r="E1224">
        <v>26</v>
      </c>
      <c r="F1224" t="s">
        <v>220</v>
      </c>
      <c r="G1224" t="s">
        <v>51</v>
      </c>
      <c r="H1224">
        <v>12600000</v>
      </c>
      <c r="I1224">
        <v>18000000</v>
      </c>
      <c r="J1224" t="s">
        <v>52</v>
      </c>
      <c r="K1224">
        <v>28</v>
      </c>
      <c r="L1224">
        <v>2508</v>
      </c>
      <c r="M1224">
        <v>2</v>
      </c>
      <c r="N1224">
        <v>1307</v>
      </c>
      <c r="O1224">
        <v>4</v>
      </c>
      <c r="P1224">
        <v>3</v>
      </c>
      <c r="Q1224">
        <v>0</v>
      </c>
      <c r="R1224">
        <v>0</v>
      </c>
      <c r="S1224">
        <v>1</v>
      </c>
      <c r="T1224">
        <v>19</v>
      </c>
      <c r="U1224">
        <v>6</v>
      </c>
      <c r="V1224">
        <v>0</v>
      </c>
      <c r="W1224">
        <v>30</v>
      </c>
      <c r="X1224">
        <v>1</v>
      </c>
      <c r="Y1224">
        <v>0</v>
      </c>
      <c r="Z1224">
        <v>0</v>
      </c>
      <c r="AA1224">
        <v>2</v>
      </c>
      <c r="AB1224">
        <v>2</v>
      </c>
      <c r="AC1224">
        <v>0</v>
      </c>
      <c r="AD1224">
        <v>12</v>
      </c>
      <c r="AE1224">
        <v>99</v>
      </c>
      <c r="AF1224">
        <v>10</v>
      </c>
      <c r="AG1224">
        <v>45</v>
      </c>
      <c r="AH1224">
        <v>24</v>
      </c>
      <c r="AI1224">
        <v>0</v>
      </c>
      <c r="AJ1224">
        <v>37</v>
      </c>
      <c r="AK1224">
        <v>0</v>
      </c>
      <c r="AL1224">
        <v>0</v>
      </c>
      <c r="AM1224">
        <v>46</v>
      </c>
      <c r="AN1224">
        <v>42</v>
      </c>
      <c r="AO1224">
        <v>44</v>
      </c>
      <c r="AQ1224" t="str">
        <f t="shared" si="19"/>
        <v>Defensive Forward</v>
      </c>
    </row>
    <row r="1225" spans="1:43" x14ac:dyDescent="0.35">
      <c r="A1225" t="s">
        <v>731</v>
      </c>
      <c r="B1225" t="s">
        <v>46</v>
      </c>
      <c r="C1225" t="s">
        <v>2091</v>
      </c>
      <c r="D1225">
        <v>1989</v>
      </c>
      <c r="E1225">
        <v>28</v>
      </c>
      <c r="F1225" t="s">
        <v>220</v>
      </c>
      <c r="G1225" t="s">
        <v>51</v>
      </c>
      <c r="H1225">
        <v>18000000</v>
      </c>
      <c r="I1225">
        <v>13500000</v>
      </c>
      <c r="J1225" t="s">
        <v>52</v>
      </c>
      <c r="K1225">
        <v>24</v>
      </c>
      <c r="L1225">
        <v>2160</v>
      </c>
      <c r="M1225">
        <v>1</v>
      </c>
      <c r="N1225">
        <v>774</v>
      </c>
      <c r="O1225">
        <v>0</v>
      </c>
      <c r="P1225">
        <v>8</v>
      </c>
      <c r="Q1225">
        <v>0</v>
      </c>
      <c r="R1225">
        <v>0</v>
      </c>
      <c r="S1225">
        <v>0</v>
      </c>
      <c r="T1225">
        <v>16</v>
      </c>
      <c r="U1225">
        <v>2</v>
      </c>
      <c r="V1225">
        <v>1</v>
      </c>
      <c r="W1225">
        <v>17</v>
      </c>
      <c r="X1225">
        <v>0</v>
      </c>
      <c r="Y1225">
        <v>0</v>
      </c>
      <c r="Z1225">
        <v>0</v>
      </c>
      <c r="AA1225">
        <v>0</v>
      </c>
      <c r="AB1225">
        <v>1</v>
      </c>
      <c r="AC1225">
        <v>14</v>
      </c>
      <c r="AD1225">
        <v>30</v>
      </c>
      <c r="AE1225">
        <v>93</v>
      </c>
      <c r="AF1225">
        <v>5</v>
      </c>
      <c r="AG1225">
        <v>27</v>
      </c>
      <c r="AH1225">
        <v>26</v>
      </c>
      <c r="AI1225">
        <v>0</v>
      </c>
      <c r="AJ1225">
        <v>46</v>
      </c>
      <c r="AK1225">
        <v>0</v>
      </c>
      <c r="AL1225">
        <v>0</v>
      </c>
      <c r="AM1225">
        <v>44</v>
      </c>
      <c r="AN1225">
        <v>38</v>
      </c>
      <c r="AO1225">
        <v>44</v>
      </c>
      <c r="AQ1225" t="str">
        <f t="shared" si="19"/>
        <v>Defensive Forward</v>
      </c>
    </row>
    <row r="1226" spans="1:43" x14ac:dyDescent="0.35">
      <c r="A1226" t="s">
        <v>731</v>
      </c>
      <c r="B1226" t="s">
        <v>43</v>
      </c>
      <c r="C1226" t="s">
        <v>2092</v>
      </c>
      <c r="D1226">
        <v>1989</v>
      </c>
      <c r="E1226">
        <v>28</v>
      </c>
      <c r="F1226" t="s">
        <v>220</v>
      </c>
      <c r="G1226" t="s">
        <v>51</v>
      </c>
      <c r="H1226">
        <v>18000000</v>
      </c>
      <c r="I1226">
        <v>18000000</v>
      </c>
      <c r="J1226" t="s">
        <v>52</v>
      </c>
      <c r="K1226">
        <v>35</v>
      </c>
      <c r="L1226">
        <v>3136</v>
      </c>
      <c r="M1226">
        <v>0</v>
      </c>
      <c r="N1226">
        <v>1480</v>
      </c>
      <c r="O1226">
        <v>4</v>
      </c>
      <c r="P1226">
        <v>2</v>
      </c>
      <c r="Q1226">
        <v>0</v>
      </c>
      <c r="R1226">
        <v>0</v>
      </c>
      <c r="S1226">
        <v>2</v>
      </c>
      <c r="T1226">
        <v>20</v>
      </c>
      <c r="U1226">
        <v>3</v>
      </c>
      <c r="V1226">
        <v>2</v>
      </c>
      <c r="W1226">
        <v>28</v>
      </c>
      <c r="X1226">
        <v>0</v>
      </c>
      <c r="Y1226">
        <v>0</v>
      </c>
      <c r="Z1226">
        <v>0</v>
      </c>
      <c r="AA1226">
        <v>1</v>
      </c>
      <c r="AB1226">
        <v>1</v>
      </c>
      <c r="AC1226">
        <v>17</v>
      </c>
      <c r="AD1226">
        <v>33</v>
      </c>
      <c r="AE1226">
        <v>136</v>
      </c>
      <c r="AF1226">
        <v>9</v>
      </c>
      <c r="AG1226">
        <v>44</v>
      </c>
      <c r="AH1226">
        <v>32</v>
      </c>
      <c r="AI1226">
        <v>0</v>
      </c>
      <c r="AJ1226">
        <v>48</v>
      </c>
      <c r="AK1226">
        <v>0</v>
      </c>
      <c r="AL1226">
        <v>0</v>
      </c>
      <c r="AM1226">
        <v>60</v>
      </c>
      <c r="AN1226">
        <v>44</v>
      </c>
      <c r="AO1226">
        <v>52</v>
      </c>
      <c r="AQ1226" t="str">
        <f t="shared" si="19"/>
        <v>Defensive Forward</v>
      </c>
    </row>
    <row r="1227" spans="1:43" x14ac:dyDescent="0.35">
      <c r="A1227" t="s">
        <v>732</v>
      </c>
      <c r="B1227" t="s">
        <v>47</v>
      </c>
      <c r="C1227" t="s">
        <v>2093</v>
      </c>
      <c r="D1227">
        <v>1994</v>
      </c>
      <c r="E1227">
        <v>22</v>
      </c>
      <c r="F1227" t="s">
        <v>84</v>
      </c>
      <c r="G1227" t="s">
        <v>108</v>
      </c>
      <c r="H1227">
        <v>450000</v>
      </c>
      <c r="I1227">
        <v>4500000</v>
      </c>
      <c r="J1227" t="s">
        <v>55</v>
      </c>
      <c r="K1227">
        <v>28</v>
      </c>
      <c r="L1227">
        <v>1767</v>
      </c>
      <c r="M1227">
        <v>3</v>
      </c>
      <c r="N1227">
        <v>670</v>
      </c>
      <c r="O1227">
        <v>5</v>
      </c>
      <c r="P1227">
        <v>3</v>
      </c>
      <c r="Q1227">
        <v>0</v>
      </c>
      <c r="R1227">
        <v>9</v>
      </c>
      <c r="S1227">
        <v>13</v>
      </c>
      <c r="T1227">
        <v>24</v>
      </c>
      <c r="U1227">
        <v>12</v>
      </c>
      <c r="V1227">
        <v>0</v>
      </c>
      <c r="W1227">
        <v>7</v>
      </c>
      <c r="X1227">
        <v>0</v>
      </c>
      <c r="Y1227">
        <v>0</v>
      </c>
      <c r="Z1227">
        <v>0</v>
      </c>
      <c r="AA1227">
        <v>2</v>
      </c>
      <c r="AB1227">
        <v>5</v>
      </c>
      <c r="AC1227">
        <v>0</v>
      </c>
      <c r="AD1227">
        <v>59</v>
      </c>
      <c r="AE1227">
        <v>122</v>
      </c>
      <c r="AF1227">
        <v>1</v>
      </c>
      <c r="AG1227">
        <v>10</v>
      </c>
      <c r="AH1227">
        <v>18</v>
      </c>
      <c r="AI1227">
        <v>0</v>
      </c>
      <c r="AJ1227">
        <v>15</v>
      </c>
      <c r="AK1227">
        <v>0</v>
      </c>
      <c r="AL1227">
        <v>0</v>
      </c>
      <c r="AM1227">
        <v>15</v>
      </c>
      <c r="AN1227">
        <v>5</v>
      </c>
      <c r="AO1227">
        <v>17</v>
      </c>
      <c r="AQ1227" t="str">
        <f t="shared" si="19"/>
        <v>Midfielder</v>
      </c>
    </row>
    <row r="1228" spans="1:43" x14ac:dyDescent="0.35">
      <c r="A1228" t="s">
        <v>732</v>
      </c>
      <c r="B1228" t="s">
        <v>43</v>
      </c>
      <c r="C1228" t="s">
        <v>2094</v>
      </c>
      <c r="D1228">
        <v>1994</v>
      </c>
      <c r="E1228">
        <v>23</v>
      </c>
      <c r="F1228" t="s">
        <v>84</v>
      </c>
      <c r="G1228" t="s">
        <v>108</v>
      </c>
      <c r="H1228">
        <v>4500000</v>
      </c>
      <c r="I1228">
        <v>5400000</v>
      </c>
      <c r="J1228" t="s">
        <v>55</v>
      </c>
      <c r="K1228">
        <v>26</v>
      </c>
      <c r="L1228">
        <v>2009</v>
      </c>
      <c r="M1228">
        <v>5</v>
      </c>
      <c r="N1228">
        <v>816</v>
      </c>
      <c r="O1228">
        <v>3</v>
      </c>
      <c r="P1228">
        <v>0</v>
      </c>
      <c r="Q1228">
        <v>0</v>
      </c>
      <c r="R1228">
        <v>3</v>
      </c>
      <c r="S1228">
        <v>8</v>
      </c>
      <c r="T1228">
        <v>30</v>
      </c>
      <c r="U1228">
        <v>12</v>
      </c>
      <c r="V1228">
        <v>0</v>
      </c>
      <c r="W1228">
        <v>12</v>
      </c>
      <c r="X1228">
        <v>0</v>
      </c>
      <c r="Y1228">
        <v>0</v>
      </c>
      <c r="Z1228">
        <v>0</v>
      </c>
      <c r="AA1228">
        <v>0</v>
      </c>
      <c r="AB1228">
        <v>3</v>
      </c>
      <c r="AC1228">
        <v>18</v>
      </c>
      <c r="AD1228">
        <v>59</v>
      </c>
      <c r="AE1228">
        <v>138</v>
      </c>
      <c r="AF1228">
        <v>4</v>
      </c>
      <c r="AG1228">
        <v>17</v>
      </c>
      <c r="AH1228">
        <v>6</v>
      </c>
      <c r="AI1228">
        <v>0</v>
      </c>
      <c r="AJ1228">
        <v>11</v>
      </c>
      <c r="AK1228">
        <v>0</v>
      </c>
      <c r="AL1228">
        <v>0</v>
      </c>
      <c r="AM1228">
        <v>29</v>
      </c>
      <c r="AN1228">
        <v>9</v>
      </c>
      <c r="AO1228">
        <v>26</v>
      </c>
      <c r="AQ1228" t="str">
        <f t="shared" si="19"/>
        <v>Midfielder</v>
      </c>
    </row>
    <row r="1229" spans="1:43" x14ac:dyDescent="0.35">
      <c r="A1229" t="s">
        <v>732</v>
      </c>
      <c r="B1229" t="s">
        <v>46</v>
      </c>
      <c r="C1229" t="s">
        <v>2095</v>
      </c>
      <c r="D1229">
        <v>1994</v>
      </c>
      <c r="E1229">
        <v>24</v>
      </c>
      <c r="F1229" t="s">
        <v>84</v>
      </c>
      <c r="G1229" t="s">
        <v>108</v>
      </c>
      <c r="H1229">
        <v>5400000</v>
      </c>
      <c r="I1229">
        <v>27000000</v>
      </c>
      <c r="J1229" t="s">
        <v>55</v>
      </c>
      <c r="K1229">
        <v>38</v>
      </c>
      <c r="L1229">
        <v>3171</v>
      </c>
      <c r="M1229">
        <v>7</v>
      </c>
      <c r="N1229">
        <v>1195</v>
      </c>
      <c r="O1229">
        <v>14</v>
      </c>
      <c r="P1229">
        <v>2</v>
      </c>
      <c r="Q1229">
        <v>0</v>
      </c>
      <c r="R1229">
        <v>3</v>
      </c>
      <c r="S1229">
        <v>10</v>
      </c>
      <c r="T1229">
        <v>51</v>
      </c>
      <c r="U1229">
        <v>25</v>
      </c>
      <c r="V1229">
        <v>1</v>
      </c>
      <c r="W1229">
        <v>4</v>
      </c>
      <c r="X1229">
        <v>0</v>
      </c>
      <c r="Y1229">
        <v>0</v>
      </c>
      <c r="Z1229">
        <v>0</v>
      </c>
      <c r="AA1229">
        <v>10</v>
      </c>
      <c r="AB1229">
        <v>6</v>
      </c>
      <c r="AC1229">
        <v>26</v>
      </c>
      <c r="AD1229">
        <v>116</v>
      </c>
      <c r="AE1229">
        <v>271</v>
      </c>
      <c r="AF1229">
        <v>6</v>
      </c>
      <c r="AG1229">
        <v>22</v>
      </c>
      <c r="AH1229">
        <v>6</v>
      </c>
      <c r="AI1229">
        <v>0</v>
      </c>
      <c r="AJ1229">
        <v>19</v>
      </c>
      <c r="AK1229">
        <v>0</v>
      </c>
      <c r="AL1229">
        <v>0</v>
      </c>
      <c r="AM1229">
        <v>19</v>
      </c>
      <c r="AN1229">
        <v>11</v>
      </c>
      <c r="AO1229">
        <v>28</v>
      </c>
      <c r="AQ1229" t="str">
        <f t="shared" si="19"/>
        <v>Midfielder</v>
      </c>
    </row>
    <row r="1230" spans="1:43" x14ac:dyDescent="0.35">
      <c r="A1230" t="s">
        <v>733</v>
      </c>
      <c r="B1230" t="s">
        <v>46</v>
      </c>
      <c r="C1230" t="s">
        <v>2096</v>
      </c>
      <c r="D1230">
        <v>1992</v>
      </c>
      <c r="E1230">
        <v>25</v>
      </c>
      <c r="F1230" t="s">
        <v>50</v>
      </c>
      <c r="G1230" t="s">
        <v>51</v>
      </c>
      <c r="H1230">
        <v>3600000</v>
      </c>
      <c r="I1230">
        <v>4500000</v>
      </c>
      <c r="J1230" t="s">
        <v>52</v>
      </c>
      <c r="K1230">
        <v>15</v>
      </c>
      <c r="L1230">
        <v>1085</v>
      </c>
      <c r="M1230">
        <v>1</v>
      </c>
      <c r="N1230">
        <v>436</v>
      </c>
      <c r="O1230">
        <v>0</v>
      </c>
      <c r="P1230">
        <v>5</v>
      </c>
      <c r="Q1230">
        <v>0</v>
      </c>
      <c r="R1230">
        <v>3</v>
      </c>
      <c r="S1230">
        <v>2</v>
      </c>
      <c r="T1230">
        <v>5</v>
      </c>
      <c r="U1230">
        <v>2</v>
      </c>
      <c r="V1230">
        <v>0</v>
      </c>
      <c r="W1230">
        <v>22</v>
      </c>
      <c r="X1230">
        <v>0</v>
      </c>
      <c r="Y1230">
        <v>0</v>
      </c>
      <c r="Z1230">
        <v>0</v>
      </c>
      <c r="AA1230">
        <v>1</v>
      </c>
      <c r="AB1230">
        <v>0</v>
      </c>
      <c r="AC1230">
        <v>3</v>
      </c>
      <c r="AD1230">
        <v>0</v>
      </c>
      <c r="AE1230">
        <v>20</v>
      </c>
      <c r="AF1230">
        <v>5</v>
      </c>
      <c r="AG1230">
        <v>13</v>
      </c>
      <c r="AH1230">
        <v>9</v>
      </c>
      <c r="AI1230">
        <v>1</v>
      </c>
      <c r="AJ1230">
        <v>38</v>
      </c>
      <c r="AK1230">
        <v>1</v>
      </c>
      <c r="AL1230">
        <v>0</v>
      </c>
      <c r="AM1230">
        <v>39</v>
      </c>
      <c r="AN1230">
        <v>20</v>
      </c>
      <c r="AO1230">
        <v>12</v>
      </c>
      <c r="AQ1230" t="str">
        <f t="shared" si="19"/>
        <v>Defensive Forward</v>
      </c>
    </row>
    <row r="1231" spans="1:43" x14ac:dyDescent="0.35">
      <c r="A1231" t="s">
        <v>734</v>
      </c>
      <c r="B1231" t="s">
        <v>39</v>
      </c>
      <c r="C1231" t="s">
        <v>2097</v>
      </c>
      <c r="D1231">
        <v>1991</v>
      </c>
      <c r="E1231">
        <v>24</v>
      </c>
      <c r="F1231" t="s">
        <v>191</v>
      </c>
      <c r="G1231" t="s">
        <v>51</v>
      </c>
      <c r="H1231">
        <v>8250000</v>
      </c>
      <c r="I1231">
        <v>8250000</v>
      </c>
      <c r="J1231" t="s">
        <v>55</v>
      </c>
      <c r="K1231">
        <v>22</v>
      </c>
      <c r="L1231">
        <v>798</v>
      </c>
      <c r="M1231">
        <v>1</v>
      </c>
      <c r="N1231">
        <v>526</v>
      </c>
      <c r="O1231">
        <v>0</v>
      </c>
      <c r="P1231">
        <v>3</v>
      </c>
      <c r="Q1231">
        <v>0</v>
      </c>
      <c r="R1231">
        <v>14</v>
      </c>
      <c r="S1231">
        <v>7</v>
      </c>
      <c r="T1231">
        <v>20</v>
      </c>
      <c r="U1231">
        <v>9</v>
      </c>
      <c r="V1231">
        <v>1</v>
      </c>
      <c r="W1231">
        <v>4</v>
      </c>
      <c r="X1231">
        <v>0</v>
      </c>
      <c r="Y1231">
        <v>0</v>
      </c>
      <c r="Z1231">
        <v>0</v>
      </c>
      <c r="AA1231">
        <v>0</v>
      </c>
      <c r="AB1231">
        <v>1</v>
      </c>
      <c r="AC1231">
        <v>5</v>
      </c>
      <c r="AD1231">
        <v>4</v>
      </c>
      <c r="AE1231">
        <v>13</v>
      </c>
      <c r="AF1231">
        <v>3</v>
      </c>
      <c r="AG1231">
        <v>9</v>
      </c>
      <c r="AH1231">
        <v>9</v>
      </c>
      <c r="AI1231">
        <v>0</v>
      </c>
      <c r="AJ1231">
        <v>25</v>
      </c>
      <c r="AK1231">
        <v>1</v>
      </c>
      <c r="AL1231">
        <v>0</v>
      </c>
      <c r="AM1231">
        <v>9</v>
      </c>
      <c r="AN1231">
        <v>11</v>
      </c>
      <c r="AO1231">
        <v>7</v>
      </c>
      <c r="AQ1231" t="str">
        <f t="shared" si="19"/>
        <v>Midfielder</v>
      </c>
    </row>
    <row r="1232" spans="1:43" x14ac:dyDescent="0.35">
      <c r="A1232" t="s">
        <v>734</v>
      </c>
      <c r="B1232" t="s">
        <v>47</v>
      </c>
      <c r="C1232" t="s">
        <v>2098</v>
      </c>
      <c r="D1232">
        <v>1991</v>
      </c>
      <c r="E1232">
        <v>25</v>
      </c>
      <c r="F1232" t="s">
        <v>71</v>
      </c>
      <c r="G1232" t="s">
        <v>51</v>
      </c>
      <c r="H1232">
        <v>8250000</v>
      </c>
      <c r="I1232">
        <v>9350000</v>
      </c>
      <c r="J1232" t="s">
        <v>55</v>
      </c>
      <c r="K1232">
        <v>16</v>
      </c>
      <c r="L1232">
        <v>928</v>
      </c>
      <c r="M1232">
        <v>0</v>
      </c>
      <c r="N1232">
        <v>378</v>
      </c>
      <c r="O1232">
        <v>0</v>
      </c>
      <c r="P1232">
        <v>4</v>
      </c>
      <c r="Q1232">
        <v>0</v>
      </c>
      <c r="R1232">
        <v>5</v>
      </c>
      <c r="S1232">
        <v>7</v>
      </c>
      <c r="T1232">
        <v>17</v>
      </c>
      <c r="U1232">
        <v>4</v>
      </c>
      <c r="V1232">
        <v>0</v>
      </c>
      <c r="W1232">
        <v>1</v>
      </c>
      <c r="X1232">
        <v>0</v>
      </c>
      <c r="Y1232">
        <v>0</v>
      </c>
      <c r="Z1232">
        <v>0</v>
      </c>
      <c r="AA1232">
        <v>0</v>
      </c>
      <c r="AB1232">
        <v>1</v>
      </c>
      <c r="AC1232">
        <v>0</v>
      </c>
      <c r="AD1232">
        <v>3</v>
      </c>
      <c r="AE1232">
        <v>25</v>
      </c>
      <c r="AF1232">
        <v>4</v>
      </c>
      <c r="AG1232">
        <v>14</v>
      </c>
      <c r="AH1232">
        <v>9</v>
      </c>
      <c r="AI1232">
        <v>0</v>
      </c>
      <c r="AJ1232">
        <v>13</v>
      </c>
      <c r="AK1232">
        <v>0</v>
      </c>
      <c r="AL1232">
        <v>0</v>
      </c>
      <c r="AM1232">
        <v>10</v>
      </c>
      <c r="AN1232">
        <v>4</v>
      </c>
      <c r="AO1232">
        <v>13</v>
      </c>
      <c r="AQ1232" t="str">
        <f t="shared" si="19"/>
        <v>Midfielder</v>
      </c>
    </row>
    <row r="1233" spans="1:43" x14ac:dyDescent="0.35">
      <c r="A1233" t="s">
        <v>735</v>
      </c>
      <c r="B1233" t="s">
        <v>46</v>
      </c>
      <c r="C1233" t="s">
        <v>2099</v>
      </c>
      <c r="D1233">
        <v>2000</v>
      </c>
      <c r="E1233">
        <v>18</v>
      </c>
      <c r="F1233" t="s">
        <v>74</v>
      </c>
      <c r="G1233" t="s">
        <v>51</v>
      </c>
      <c r="H1233">
        <v>31500000</v>
      </c>
      <c r="I1233">
        <v>31500000</v>
      </c>
      <c r="J1233" t="s">
        <v>52</v>
      </c>
      <c r="K1233">
        <v>35</v>
      </c>
      <c r="L1233">
        <v>2294</v>
      </c>
      <c r="M1233">
        <v>2</v>
      </c>
      <c r="N1233">
        <v>687</v>
      </c>
      <c r="O1233">
        <v>6</v>
      </c>
      <c r="P1233">
        <v>0</v>
      </c>
      <c r="Q1233">
        <v>0</v>
      </c>
      <c r="R1233">
        <v>9</v>
      </c>
      <c r="S1233">
        <v>7</v>
      </c>
      <c r="T1233">
        <v>28</v>
      </c>
      <c r="U1233">
        <v>11</v>
      </c>
      <c r="V1233">
        <v>0</v>
      </c>
      <c r="W1233">
        <v>11</v>
      </c>
      <c r="X1233">
        <v>0</v>
      </c>
      <c r="Y1233">
        <v>0</v>
      </c>
      <c r="Z1233">
        <v>0</v>
      </c>
      <c r="AA1233">
        <v>15</v>
      </c>
      <c r="AB1233">
        <v>5</v>
      </c>
      <c r="AC1233">
        <v>17</v>
      </c>
      <c r="AD1233">
        <v>27</v>
      </c>
      <c r="AE1233">
        <v>66</v>
      </c>
      <c r="AF1233">
        <v>2</v>
      </c>
      <c r="AG1233">
        <v>19</v>
      </c>
      <c r="AH1233">
        <v>20</v>
      </c>
      <c r="AI1233">
        <v>0</v>
      </c>
      <c r="AJ1233">
        <v>23</v>
      </c>
      <c r="AK1233">
        <v>0</v>
      </c>
      <c r="AL1233">
        <v>0</v>
      </c>
      <c r="AM1233">
        <v>38</v>
      </c>
      <c r="AN1233">
        <v>18</v>
      </c>
      <c r="AO1233">
        <v>40</v>
      </c>
      <c r="AQ1233" t="str">
        <f t="shared" si="19"/>
        <v>Defensive Forward</v>
      </c>
    </row>
    <row r="1234" spans="1:43" x14ac:dyDescent="0.35">
      <c r="A1234" t="s">
        <v>736</v>
      </c>
      <c r="B1234" t="s">
        <v>39</v>
      </c>
      <c r="C1234" t="s">
        <v>2100</v>
      </c>
      <c r="D1234">
        <v>1987</v>
      </c>
      <c r="E1234">
        <v>27</v>
      </c>
      <c r="F1234" t="s">
        <v>184</v>
      </c>
      <c r="G1234" t="s">
        <v>51</v>
      </c>
      <c r="H1234">
        <v>8100000</v>
      </c>
      <c r="I1234">
        <v>9900000</v>
      </c>
      <c r="J1234" t="s">
        <v>52</v>
      </c>
      <c r="K1234">
        <v>20</v>
      </c>
      <c r="L1234">
        <v>1697</v>
      </c>
      <c r="M1234">
        <v>0</v>
      </c>
      <c r="N1234">
        <v>592</v>
      </c>
      <c r="O1234">
        <v>0</v>
      </c>
      <c r="P1234">
        <v>2</v>
      </c>
      <c r="Q1234">
        <v>0</v>
      </c>
      <c r="R1234">
        <v>0</v>
      </c>
      <c r="S1234">
        <v>1</v>
      </c>
      <c r="T1234">
        <v>8</v>
      </c>
      <c r="U1234">
        <v>0</v>
      </c>
      <c r="V1234">
        <v>0</v>
      </c>
      <c r="W1234">
        <v>46</v>
      </c>
      <c r="X1234">
        <v>0</v>
      </c>
      <c r="Y1234">
        <v>0</v>
      </c>
      <c r="Z1234">
        <v>0</v>
      </c>
      <c r="AA1234">
        <v>3</v>
      </c>
      <c r="AB1234">
        <v>0</v>
      </c>
      <c r="AC1234">
        <v>0</v>
      </c>
      <c r="AD1234">
        <v>0</v>
      </c>
      <c r="AE1234">
        <v>0</v>
      </c>
      <c r="AF1234">
        <v>19</v>
      </c>
      <c r="AG1234">
        <v>39</v>
      </c>
      <c r="AH1234">
        <v>18</v>
      </c>
      <c r="AI1234">
        <v>0</v>
      </c>
      <c r="AJ1234">
        <v>43</v>
      </c>
      <c r="AK1234">
        <v>0</v>
      </c>
      <c r="AL1234">
        <v>0</v>
      </c>
      <c r="AM1234">
        <v>94</v>
      </c>
      <c r="AN1234">
        <v>50</v>
      </c>
      <c r="AO1234">
        <v>25</v>
      </c>
      <c r="AQ1234" t="str">
        <f t="shared" si="19"/>
        <v>Defensive Forward</v>
      </c>
    </row>
    <row r="1235" spans="1:43" x14ac:dyDescent="0.35">
      <c r="A1235" t="s">
        <v>736</v>
      </c>
      <c r="B1235" t="s">
        <v>43</v>
      </c>
      <c r="C1235" t="s">
        <v>2101</v>
      </c>
      <c r="D1235">
        <v>1987</v>
      </c>
      <c r="E1235">
        <v>30</v>
      </c>
      <c r="F1235" t="s">
        <v>184</v>
      </c>
      <c r="G1235" t="s">
        <v>51</v>
      </c>
      <c r="H1235">
        <v>9900000</v>
      </c>
      <c r="I1235">
        <v>9000000</v>
      </c>
      <c r="J1235" t="s">
        <v>52</v>
      </c>
      <c r="K1235">
        <v>27</v>
      </c>
      <c r="L1235">
        <v>2372</v>
      </c>
      <c r="M1235">
        <v>1</v>
      </c>
      <c r="N1235">
        <v>665</v>
      </c>
      <c r="O1235">
        <v>1</v>
      </c>
      <c r="P1235">
        <v>2</v>
      </c>
      <c r="Q1235">
        <v>0</v>
      </c>
      <c r="R1235">
        <v>0</v>
      </c>
      <c r="S1235">
        <v>1</v>
      </c>
      <c r="T1235">
        <v>24</v>
      </c>
      <c r="U1235">
        <v>8</v>
      </c>
      <c r="V1235">
        <v>1</v>
      </c>
      <c r="W1235">
        <v>135</v>
      </c>
      <c r="X1235">
        <v>1</v>
      </c>
      <c r="Y1235">
        <v>0</v>
      </c>
      <c r="Z1235">
        <v>0</v>
      </c>
      <c r="AA1235">
        <v>4</v>
      </c>
      <c r="AB1235">
        <v>0</v>
      </c>
      <c r="AC1235">
        <v>16</v>
      </c>
      <c r="AD1235">
        <v>0</v>
      </c>
      <c r="AE1235">
        <v>0</v>
      </c>
      <c r="AF1235">
        <v>23</v>
      </c>
      <c r="AG1235">
        <v>40</v>
      </c>
      <c r="AH1235">
        <v>26</v>
      </c>
      <c r="AI1235">
        <v>3</v>
      </c>
      <c r="AJ1235">
        <v>36</v>
      </c>
      <c r="AK1235">
        <v>1</v>
      </c>
      <c r="AL1235">
        <v>1</v>
      </c>
      <c r="AM1235">
        <v>215</v>
      </c>
      <c r="AN1235">
        <v>154</v>
      </c>
      <c r="AO1235">
        <v>79</v>
      </c>
      <c r="AQ1235" t="str">
        <f t="shared" si="19"/>
        <v>Defensive Forward</v>
      </c>
    </row>
    <row r="1236" spans="1:43" x14ac:dyDescent="0.35">
      <c r="A1236" t="s">
        <v>736</v>
      </c>
      <c r="B1236" t="s">
        <v>47</v>
      </c>
      <c r="C1236" t="s">
        <v>2102</v>
      </c>
      <c r="D1236">
        <v>1987</v>
      </c>
      <c r="E1236">
        <v>28</v>
      </c>
      <c r="F1236" t="s">
        <v>184</v>
      </c>
      <c r="G1236" t="s">
        <v>51</v>
      </c>
      <c r="H1236">
        <v>9900000</v>
      </c>
      <c r="I1236">
        <v>9900000</v>
      </c>
      <c r="J1236" t="s">
        <v>52</v>
      </c>
      <c r="K1236">
        <v>35</v>
      </c>
      <c r="L1236">
        <v>3150</v>
      </c>
      <c r="M1236">
        <v>1</v>
      </c>
      <c r="N1236">
        <v>996</v>
      </c>
      <c r="O1236">
        <v>1</v>
      </c>
      <c r="P1236">
        <v>6</v>
      </c>
      <c r="Q1236">
        <v>0</v>
      </c>
      <c r="R1236">
        <v>0</v>
      </c>
      <c r="S1236">
        <v>0</v>
      </c>
      <c r="T1236">
        <v>20</v>
      </c>
      <c r="U1236">
        <v>7</v>
      </c>
      <c r="V1236">
        <v>1</v>
      </c>
      <c r="W1236">
        <v>135</v>
      </c>
      <c r="X1236">
        <v>0</v>
      </c>
      <c r="Y1236">
        <v>0</v>
      </c>
      <c r="Z1236">
        <v>0</v>
      </c>
      <c r="AA1236">
        <v>2</v>
      </c>
      <c r="AB1236">
        <v>0</v>
      </c>
      <c r="AC1236">
        <v>0</v>
      </c>
      <c r="AD1236">
        <v>0</v>
      </c>
      <c r="AE1236">
        <v>1</v>
      </c>
      <c r="AF1236">
        <v>32</v>
      </c>
      <c r="AG1236">
        <v>58</v>
      </c>
      <c r="AH1236">
        <v>34</v>
      </c>
      <c r="AI1236">
        <v>0</v>
      </c>
      <c r="AJ1236">
        <v>46</v>
      </c>
      <c r="AK1236">
        <v>2</v>
      </c>
      <c r="AL1236">
        <v>2</v>
      </c>
      <c r="AM1236">
        <v>227</v>
      </c>
      <c r="AN1236">
        <v>129</v>
      </c>
      <c r="AO1236">
        <v>73</v>
      </c>
      <c r="AQ1236" t="str">
        <f t="shared" si="19"/>
        <v>Defensive Forward</v>
      </c>
    </row>
    <row r="1237" spans="1:43" x14ac:dyDescent="0.35">
      <c r="A1237" t="s">
        <v>737</v>
      </c>
      <c r="B1237" t="s">
        <v>39</v>
      </c>
      <c r="C1237" t="s">
        <v>2103</v>
      </c>
      <c r="D1237">
        <v>1987</v>
      </c>
      <c r="E1237">
        <v>27</v>
      </c>
      <c r="F1237" t="s">
        <v>103</v>
      </c>
      <c r="G1237" t="s">
        <v>126</v>
      </c>
      <c r="H1237">
        <v>1800000</v>
      </c>
      <c r="I1237">
        <v>675000</v>
      </c>
      <c r="J1237" t="s">
        <v>52</v>
      </c>
      <c r="K1237">
        <v>32</v>
      </c>
      <c r="L1237">
        <v>2789</v>
      </c>
      <c r="M1237">
        <v>1</v>
      </c>
      <c r="N1237">
        <v>882</v>
      </c>
      <c r="O1237">
        <v>0</v>
      </c>
      <c r="P1237">
        <v>4</v>
      </c>
      <c r="Q1237">
        <v>0</v>
      </c>
      <c r="R1237">
        <v>2</v>
      </c>
      <c r="S1237">
        <v>1</v>
      </c>
      <c r="T1237">
        <v>20</v>
      </c>
      <c r="U1237">
        <v>3</v>
      </c>
      <c r="V1237">
        <v>0</v>
      </c>
      <c r="W1237">
        <v>166</v>
      </c>
      <c r="X1237">
        <v>0</v>
      </c>
      <c r="Y1237">
        <v>0</v>
      </c>
      <c r="Z1237">
        <v>0</v>
      </c>
      <c r="AA1237">
        <v>3</v>
      </c>
      <c r="AB1237">
        <v>0</v>
      </c>
      <c r="AC1237">
        <v>1</v>
      </c>
      <c r="AD1237">
        <v>0</v>
      </c>
      <c r="AE1237">
        <v>2</v>
      </c>
      <c r="AF1237">
        <v>19</v>
      </c>
      <c r="AG1237">
        <v>53</v>
      </c>
      <c r="AH1237">
        <v>25</v>
      </c>
      <c r="AI1237">
        <v>1</v>
      </c>
      <c r="AJ1237">
        <v>27</v>
      </c>
      <c r="AK1237">
        <v>2</v>
      </c>
      <c r="AL1237">
        <v>0</v>
      </c>
      <c r="AM1237">
        <v>256</v>
      </c>
      <c r="AN1237">
        <v>95</v>
      </c>
      <c r="AO1237">
        <v>41</v>
      </c>
      <c r="AQ1237" t="str">
        <f t="shared" si="19"/>
        <v>Defensive Forward</v>
      </c>
    </row>
    <row r="1238" spans="1:43" x14ac:dyDescent="0.35">
      <c r="A1238" t="s">
        <v>738</v>
      </c>
      <c r="B1238" t="s">
        <v>39</v>
      </c>
      <c r="C1238" t="s">
        <v>2104</v>
      </c>
      <c r="D1238">
        <v>1992</v>
      </c>
      <c r="E1238">
        <v>23</v>
      </c>
      <c r="F1238" t="s">
        <v>220</v>
      </c>
      <c r="G1238" t="s">
        <v>132</v>
      </c>
      <c r="H1238">
        <v>19800000</v>
      </c>
      <c r="I1238">
        <v>27000000</v>
      </c>
      <c r="J1238" t="s">
        <v>42</v>
      </c>
      <c r="K1238">
        <v>28</v>
      </c>
      <c r="L1238">
        <v>2386</v>
      </c>
      <c r="M1238">
        <v>1</v>
      </c>
      <c r="N1238">
        <v>1044</v>
      </c>
      <c r="O1238">
        <v>3</v>
      </c>
      <c r="P1238">
        <v>4</v>
      </c>
      <c r="Q1238">
        <v>0</v>
      </c>
      <c r="R1238">
        <v>1</v>
      </c>
      <c r="S1238">
        <v>4</v>
      </c>
      <c r="T1238">
        <v>27</v>
      </c>
      <c r="U1238">
        <v>6</v>
      </c>
      <c r="V1238">
        <v>1</v>
      </c>
      <c r="W1238">
        <v>35</v>
      </c>
      <c r="X1238">
        <v>1</v>
      </c>
      <c r="Y1238">
        <v>0</v>
      </c>
      <c r="Z1238">
        <v>0</v>
      </c>
      <c r="AA1238">
        <v>8</v>
      </c>
      <c r="AB1238">
        <v>0</v>
      </c>
      <c r="AC1238">
        <v>3</v>
      </c>
      <c r="AD1238">
        <v>0</v>
      </c>
      <c r="AE1238">
        <v>93</v>
      </c>
      <c r="AF1238">
        <v>11</v>
      </c>
      <c r="AG1238">
        <v>36</v>
      </c>
      <c r="AH1238">
        <v>20</v>
      </c>
      <c r="AI1238">
        <v>0</v>
      </c>
      <c r="AJ1238">
        <v>58</v>
      </c>
      <c r="AK1238">
        <v>0</v>
      </c>
      <c r="AL1238">
        <v>1</v>
      </c>
      <c r="AM1238">
        <v>71</v>
      </c>
      <c r="AN1238">
        <v>13</v>
      </c>
      <c r="AO1238">
        <v>22</v>
      </c>
      <c r="AQ1238" t="str">
        <f t="shared" si="19"/>
        <v>Forward</v>
      </c>
    </row>
    <row r="1239" spans="1:43" x14ac:dyDescent="0.35">
      <c r="A1239" t="s">
        <v>738</v>
      </c>
      <c r="B1239" t="s">
        <v>43</v>
      </c>
      <c r="C1239" t="s">
        <v>2105</v>
      </c>
      <c r="D1239">
        <v>1992</v>
      </c>
      <c r="E1239">
        <v>25</v>
      </c>
      <c r="F1239" t="s">
        <v>80</v>
      </c>
      <c r="G1239" t="s">
        <v>132</v>
      </c>
      <c r="H1239">
        <v>36000000</v>
      </c>
      <c r="I1239">
        <v>63000000</v>
      </c>
      <c r="J1239" t="s">
        <v>42</v>
      </c>
      <c r="K1239">
        <v>29</v>
      </c>
      <c r="L1239">
        <v>2206</v>
      </c>
      <c r="M1239">
        <v>10</v>
      </c>
      <c r="N1239">
        <v>962</v>
      </c>
      <c r="O1239">
        <v>7</v>
      </c>
      <c r="P1239">
        <v>3</v>
      </c>
      <c r="Q1239">
        <v>1</v>
      </c>
      <c r="R1239">
        <v>1</v>
      </c>
      <c r="S1239">
        <v>18</v>
      </c>
      <c r="T1239">
        <v>70</v>
      </c>
      <c r="U1239">
        <v>26</v>
      </c>
      <c r="V1239">
        <v>3</v>
      </c>
      <c r="W1239">
        <v>6</v>
      </c>
      <c r="X1239">
        <v>0</v>
      </c>
      <c r="Y1239">
        <v>0</v>
      </c>
      <c r="Z1239">
        <v>0</v>
      </c>
      <c r="AA1239">
        <v>12</v>
      </c>
      <c r="AB1239">
        <v>10</v>
      </c>
      <c r="AC1239">
        <v>44</v>
      </c>
      <c r="AD1239">
        <v>1</v>
      </c>
      <c r="AE1239">
        <v>32</v>
      </c>
      <c r="AF1239">
        <v>0</v>
      </c>
      <c r="AG1239">
        <v>9</v>
      </c>
      <c r="AH1239">
        <v>24</v>
      </c>
      <c r="AI1239">
        <v>0</v>
      </c>
      <c r="AJ1239">
        <v>28</v>
      </c>
      <c r="AK1239">
        <v>0</v>
      </c>
      <c r="AL1239">
        <v>0</v>
      </c>
      <c r="AM1239">
        <v>7</v>
      </c>
      <c r="AN1239">
        <v>27</v>
      </c>
      <c r="AO1239">
        <v>61</v>
      </c>
      <c r="AQ1239" t="str">
        <f t="shared" si="19"/>
        <v>Forward</v>
      </c>
    </row>
    <row r="1240" spans="1:43" x14ac:dyDescent="0.35">
      <c r="A1240" t="s">
        <v>738</v>
      </c>
      <c r="B1240" t="s">
        <v>46</v>
      </c>
      <c r="C1240" t="s">
        <v>2106</v>
      </c>
      <c r="D1240">
        <v>1992</v>
      </c>
      <c r="E1240">
        <v>26</v>
      </c>
      <c r="F1240" t="s">
        <v>80</v>
      </c>
      <c r="G1240" t="s">
        <v>132</v>
      </c>
      <c r="H1240">
        <v>63000000</v>
      </c>
      <c r="I1240">
        <v>108000000</v>
      </c>
      <c r="J1240" t="s">
        <v>42</v>
      </c>
      <c r="K1240">
        <v>36</v>
      </c>
      <c r="L1240">
        <v>3085</v>
      </c>
      <c r="M1240">
        <v>22</v>
      </c>
      <c r="N1240">
        <v>1184</v>
      </c>
      <c r="O1240">
        <v>1</v>
      </c>
      <c r="P1240">
        <v>0</v>
      </c>
      <c r="Q1240">
        <v>0</v>
      </c>
      <c r="R1240">
        <v>1</v>
      </c>
      <c r="S1240">
        <v>10</v>
      </c>
      <c r="T1240">
        <v>87</v>
      </c>
      <c r="U1240">
        <v>42</v>
      </c>
      <c r="V1240">
        <v>5</v>
      </c>
      <c r="W1240">
        <v>2</v>
      </c>
      <c r="X1240">
        <v>6</v>
      </c>
      <c r="Y1240">
        <v>0</v>
      </c>
      <c r="Z1240">
        <v>0</v>
      </c>
      <c r="AA1240">
        <v>25</v>
      </c>
      <c r="AB1240">
        <v>14</v>
      </c>
      <c r="AC1240">
        <v>45</v>
      </c>
      <c r="AD1240">
        <v>2</v>
      </c>
      <c r="AE1240">
        <v>39</v>
      </c>
      <c r="AF1240">
        <v>4</v>
      </c>
      <c r="AG1240">
        <v>15</v>
      </c>
      <c r="AH1240">
        <v>34</v>
      </c>
      <c r="AI1240">
        <v>0</v>
      </c>
      <c r="AJ1240">
        <v>34</v>
      </c>
      <c r="AK1240">
        <v>0</v>
      </c>
      <c r="AL1240">
        <v>0</v>
      </c>
      <c r="AM1240">
        <v>8</v>
      </c>
      <c r="AN1240">
        <v>37</v>
      </c>
      <c r="AO1240">
        <v>76</v>
      </c>
      <c r="AQ1240" t="str">
        <f t="shared" si="19"/>
        <v>Forward</v>
      </c>
    </row>
    <row r="1241" spans="1:43" x14ac:dyDescent="0.35">
      <c r="A1241" t="s">
        <v>738</v>
      </c>
      <c r="B1241" t="s">
        <v>47</v>
      </c>
      <c r="C1241" t="s">
        <v>2107</v>
      </c>
      <c r="D1241">
        <v>1992</v>
      </c>
      <c r="E1241">
        <v>24</v>
      </c>
      <c r="F1241" t="s">
        <v>80</v>
      </c>
      <c r="G1241" t="s">
        <v>132</v>
      </c>
      <c r="H1241">
        <v>27000000</v>
      </c>
      <c r="I1241">
        <v>36000000</v>
      </c>
      <c r="J1241" t="s">
        <v>42</v>
      </c>
      <c r="K1241">
        <v>27</v>
      </c>
      <c r="L1241">
        <v>2240</v>
      </c>
      <c r="M1241">
        <v>13</v>
      </c>
      <c r="N1241">
        <v>1020</v>
      </c>
      <c r="O1241">
        <v>5</v>
      </c>
      <c r="P1241">
        <v>4</v>
      </c>
      <c r="Q1241">
        <v>0</v>
      </c>
      <c r="R1241">
        <v>1</v>
      </c>
      <c r="S1241">
        <v>13</v>
      </c>
      <c r="T1241">
        <v>57</v>
      </c>
      <c r="U1241">
        <v>24</v>
      </c>
      <c r="V1241">
        <v>2</v>
      </c>
      <c r="W1241">
        <v>5</v>
      </c>
      <c r="X1241">
        <v>1</v>
      </c>
      <c r="Y1241">
        <v>0</v>
      </c>
      <c r="Z1241">
        <v>0</v>
      </c>
      <c r="AA1241">
        <v>13</v>
      </c>
      <c r="AB1241">
        <v>3</v>
      </c>
      <c r="AC1241">
        <v>3</v>
      </c>
      <c r="AD1241">
        <v>1</v>
      </c>
      <c r="AE1241">
        <v>41</v>
      </c>
      <c r="AF1241">
        <v>0</v>
      </c>
      <c r="AG1241">
        <v>8</v>
      </c>
      <c r="AH1241">
        <v>32</v>
      </c>
      <c r="AI1241">
        <v>0</v>
      </c>
      <c r="AJ1241">
        <v>23</v>
      </c>
      <c r="AK1241">
        <v>0</v>
      </c>
      <c r="AL1241">
        <v>0</v>
      </c>
      <c r="AM1241">
        <v>10</v>
      </c>
      <c r="AN1241">
        <v>42</v>
      </c>
      <c r="AO1241">
        <v>75</v>
      </c>
      <c r="AQ1241" t="str">
        <f t="shared" si="19"/>
        <v>Forward</v>
      </c>
    </row>
    <row r="1242" spans="1:43" x14ac:dyDescent="0.35">
      <c r="A1242" t="s">
        <v>739</v>
      </c>
      <c r="B1242" t="s">
        <v>47</v>
      </c>
      <c r="C1242" t="s">
        <v>2108</v>
      </c>
      <c r="D1242">
        <v>1993</v>
      </c>
      <c r="E1242">
        <v>22</v>
      </c>
      <c r="F1242" t="s">
        <v>184</v>
      </c>
      <c r="G1242" t="s">
        <v>740</v>
      </c>
      <c r="H1242">
        <v>13500000</v>
      </c>
      <c r="I1242">
        <v>13500000</v>
      </c>
      <c r="J1242" t="s">
        <v>42</v>
      </c>
      <c r="K1242">
        <v>17</v>
      </c>
      <c r="L1242">
        <v>966</v>
      </c>
      <c r="M1242">
        <v>0</v>
      </c>
      <c r="N1242">
        <v>168</v>
      </c>
      <c r="O1242">
        <v>0</v>
      </c>
      <c r="P1242">
        <v>1</v>
      </c>
      <c r="Q1242">
        <v>0</v>
      </c>
      <c r="R1242">
        <v>6</v>
      </c>
      <c r="S1242">
        <v>9</v>
      </c>
      <c r="T1242">
        <v>19</v>
      </c>
      <c r="U1242">
        <v>9</v>
      </c>
      <c r="V1242">
        <v>0</v>
      </c>
      <c r="W1242">
        <v>1</v>
      </c>
      <c r="X1242">
        <v>0</v>
      </c>
      <c r="Y1242">
        <v>0</v>
      </c>
      <c r="Z1242">
        <v>0</v>
      </c>
      <c r="AA1242">
        <v>8</v>
      </c>
      <c r="AB1242">
        <v>1</v>
      </c>
      <c r="AC1242">
        <v>4</v>
      </c>
      <c r="AD1242">
        <v>0</v>
      </c>
      <c r="AE1242">
        <v>1</v>
      </c>
      <c r="AF1242">
        <v>1</v>
      </c>
      <c r="AG1242">
        <v>1</v>
      </c>
      <c r="AH1242">
        <v>20</v>
      </c>
      <c r="AI1242">
        <v>0</v>
      </c>
      <c r="AJ1242">
        <v>9</v>
      </c>
      <c r="AK1242">
        <v>0</v>
      </c>
      <c r="AL1242">
        <v>0</v>
      </c>
      <c r="AM1242">
        <v>2</v>
      </c>
      <c r="AN1242">
        <v>4</v>
      </c>
      <c r="AO1242">
        <v>29</v>
      </c>
      <c r="AQ1242" t="str">
        <f t="shared" si="19"/>
        <v>Forward</v>
      </c>
    </row>
    <row r="1243" spans="1:43" x14ac:dyDescent="0.35">
      <c r="A1243" t="s">
        <v>739</v>
      </c>
      <c r="B1243" t="s">
        <v>43</v>
      </c>
      <c r="C1243" t="s">
        <v>2109</v>
      </c>
      <c r="D1243">
        <v>1993</v>
      </c>
      <c r="E1243">
        <v>24</v>
      </c>
      <c r="F1243" t="s">
        <v>184</v>
      </c>
      <c r="G1243" t="s">
        <v>740</v>
      </c>
      <c r="H1243">
        <v>13500000</v>
      </c>
      <c r="I1243">
        <v>7200000</v>
      </c>
      <c r="J1243" t="s">
        <v>42</v>
      </c>
      <c r="K1243">
        <v>15</v>
      </c>
      <c r="L1243">
        <v>485</v>
      </c>
      <c r="M1243">
        <v>0</v>
      </c>
      <c r="N1243">
        <v>95</v>
      </c>
      <c r="O1243">
        <v>1</v>
      </c>
      <c r="P1243">
        <v>0</v>
      </c>
      <c r="Q1243">
        <v>0</v>
      </c>
      <c r="R1243">
        <v>12</v>
      </c>
      <c r="S1243">
        <v>2</v>
      </c>
      <c r="T1243">
        <v>10</v>
      </c>
      <c r="U1243">
        <v>4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4</v>
      </c>
      <c r="AB1243">
        <v>1</v>
      </c>
      <c r="AC1243">
        <v>6</v>
      </c>
      <c r="AD1243">
        <v>0</v>
      </c>
      <c r="AE1243">
        <v>4</v>
      </c>
      <c r="AF1243">
        <v>1</v>
      </c>
      <c r="AG1243">
        <v>1</v>
      </c>
      <c r="AH1243">
        <v>6</v>
      </c>
      <c r="AI1243">
        <v>0</v>
      </c>
      <c r="AJ1243">
        <v>2</v>
      </c>
      <c r="AK1243">
        <v>0</v>
      </c>
      <c r="AL1243">
        <v>0</v>
      </c>
      <c r="AM1243">
        <v>2</v>
      </c>
      <c r="AN1243">
        <v>6</v>
      </c>
      <c r="AO1243">
        <v>19</v>
      </c>
      <c r="AQ1243" t="str">
        <f t="shared" si="19"/>
        <v>Forward</v>
      </c>
    </row>
    <row r="1244" spans="1:43" x14ac:dyDescent="0.35">
      <c r="A1244" t="s">
        <v>741</v>
      </c>
      <c r="B1244" t="s">
        <v>47</v>
      </c>
      <c r="C1244" t="s">
        <v>2110</v>
      </c>
      <c r="D1244">
        <v>1989</v>
      </c>
      <c r="E1244">
        <v>26</v>
      </c>
      <c r="F1244" t="s">
        <v>103</v>
      </c>
      <c r="G1244" t="s">
        <v>742</v>
      </c>
      <c r="H1244">
        <v>18700000</v>
      </c>
      <c r="I1244">
        <v>13500000</v>
      </c>
      <c r="J1244" t="s">
        <v>42</v>
      </c>
      <c r="K1244">
        <v>38</v>
      </c>
      <c r="L1244">
        <v>2895</v>
      </c>
      <c r="M1244">
        <v>8</v>
      </c>
      <c r="N1244">
        <v>722</v>
      </c>
      <c r="O1244">
        <v>2</v>
      </c>
      <c r="P1244">
        <v>2</v>
      </c>
      <c r="Q1244">
        <v>0</v>
      </c>
      <c r="R1244">
        <v>6</v>
      </c>
      <c r="S1244">
        <v>11</v>
      </c>
      <c r="T1244">
        <v>94</v>
      </c>
      <c r="U1244">
        <v>26</v>
      </c>
      <c r="V1244">
        <v>2</v>
      </c>
      <c r="W1244">
        <v>32</v>
      </c>
      <c r="X1244">
        <v>5</v>
      </c>
      <c r="Y1244">
        <v>0</v>
      </c>
      <c r="Z1244">
        <v>0</v>
      </c>
      <c r="AA1244">
        <v>29</v>
      </c>
      <c r="AB1244">
        <v>6</v>
      </c>
      <c r="AC1244">
        <v>8</v>
      </c>
      <c r="AD1244">
        <v>0</v>
      </c>
      <c r="AE1244">
        <v>9</v>
      </c>
      <c r="AF1244">
        <v>2</v>
      </c>
      <c r="AG1244">
        <v>7</v>
      </c>
      <c r="AH1244">
        <v>41</v>
      </c>
      <c r="AI1244">
        <v>0</v>
      </c>
      <c r="AJ1244">
        <v>18</v>
      </c>
      <c r="AK1244">
        <v>1</v>
      </c>
      <c r="AL1244">
        <v>0</v>
      </c>
      <c r="AM1244">
        <v>41</v>
      </c>
      <c r="AN1244">
        <v>107</v>
      </c>
      <c r="AO1244">
        <v>216</v>
      </c>
      <c r="AQ1244" t="str">
        <f t="shared" si="19"/>
        <v>Forward</v>
      </c>
    </row>
    <row r="1245" spans="1:43" x14ac:dyDescent="0.35">
      <c r="A1245" t="s">
        <v>741</v>
      </c>
      <c r="B1245" t="s">
        <v>43</v>
      </c>
      <c r="C1245" t="s">
        <v>2111</v>
      </c>
      <c r="D1245">
        <v>1989</v>
      </c>
      <c r="E1245">
        <v>28</v>
      </c>
      <c r="F1245" t="s">
        <v>103</v>
      </c>
      <c r="G1245" t="s">
        <v>742</v>
      </c>
      <c r="H1245">
        <v>13500000</v>
      </c>
      <c r="I1245">
        <v>11700000</v>
      </c>
      <c r="J1245" t="s">
        <v>42</v>
      </c>
      <c r="K1245">
        <v>36</v>
      </c>
      <c r="L1245">
        <v>2771</v>
      </c>
      <c r="M1245">
        <v>7</v>
      </c>
      <c r="N1245">
        <v>833</v>
      </c>
      <c r="O1245">
        <v>3</v>
      </c>
      <c r="P1245">
        <v>4</v>
      </c>
      <c r="Q1245">
        <v>0</v>
      </c>
      <c r="R1245">
        <v>4</v>
      </c>
      <c r="S1245">
        <v>9</v>
      </c>
      <c r="T1245">
        <v>79</v>
      </c>
      <c r="U1245">
        <v>29</v>
      </c>
      <c r="V1245">
        <v>2</v>
      </c>
      <c r="W1245">
        <v>17</v>
      </c>
      <c r="X1245">
        <v>1</v>
      </c>
      <c r="Y1245">
        <v>0</v>
      </c>
      <c r="Z1245">
        <v>0</v>
      </c>
      <c r="AA1245">
        <v>28</v>
      </c>
      <c r="AB1245">
        <v>4</v>
      </c>
      <c r="AC1245">
        <v>50</v>
      </c>
      <c r="AD1245">
        <v>0</v>
      </c>
      <c r="AE1245">
        <v>35</v>
      </c>
      <c r="AF1245">
        <v>0</v>
      </c>
      <c r="AG1245">
        <v>15</v>
      </c>
      <c r="AH1245">
        <v>42</v>
      </c>
      <c r="AI1245">
        <v>0</v>
      </c>
      <c r="AJ1245">
        <v>14</v>
      </c>
      <c r="AK1245">
        <v>0</v>
      </c>
      <c r="AL1245">
        <v>0</v>
      </c>
      <c r="AM1245">
        <v>20</v>
      </c>
      <c r="AN1245">
        <v>165</v>
      </c>
      <c r="AO1245">
        <v>208</v>
      </c>
      <c r="AQ1245" t="str">
        <f t="shared" si="19"/>
        <v>Forward</v>
      </c>
    </row>
    <row r="1246" spans="1:43" x14ac:dyDescent="0.35">
      <c r="A1246" t="s">
        <v>741</v>
      </c>
      <c r="B1246" t="s">
        <v>46</v>
      </c>
      <c r="C1246" t="s">
        <v>2112</v>
      </c>
      <c r="D1246">
        <v>1989</v>
      </c>
      <c r="E1246">
        <v>28</v>
      </c>
      <c r="F1246" t="s">
        <v>117</v>
      </c>
      <c r="G1246" t="s">
        <v>742</v>
      </c>
      <c r="H1246">
        <v>11700000</v>
      </c>
      <c r="I1246">
        <v>13500000</v>
      </c>
      <c r="J1246" t="s">
        <v>42</v>
      </c>
      <c r="K1246">
        <v>32</v>
      </c>
      <c r="L1246">
        <v>2608</v>
      </c>
      <c r="M1246">
        <v>11</v>
      </c>
      <c r="N1246">
        <v>735</v>
      </c>
      <c r="O1246">
        <v>7</v>
      </c>
      <c r="P1246">
        <v>0</v>
      </c>
      <c r="Q1246">
        <v>0</v>
      </c>
      <c r="R1246">
        <v>2</v>
      </c>
      <c r="S1246">
        <v>8</v>
      </c>
      <c r="T1246">
        <v>89</v>
      </c>
      <c r="U1246">
        <v>29</v>
      </c>
      <c r="V1246">
        <v>6</v>
      </c>
      <c r="W1246">
        <v>26</v>
      </c>
      <c r="X1246">
        <v>2</v>
      </c>
      <c r="Y1246">
        <v>0</v>
      </c>
      <c r="Z1246">
        <v>1</v>
      </c>
      <c r="AA1246">
        <v>20</v>
      </c>
      <c r="AB1246">
        <v>4</v>
      </c>
      <c r="AC1246">
        <v>60</v>
      </c>
      <c r="AD1246">
        <v>0</v>
      </c>
      <c r="AE1246">
        <v>14</v>
      </c>
      <c r="AF1246">
        <v>3</v>
      </c>
      <c r="AG1246">
        <v>5</v>
      </c>
      <c r="AH1246">
        <v>22</v>
      </c>
      <c r="AI1246">
        <v>0</v>
      </c>
      <c r="AJ1246">
        <v>8</v>
      </c>
      <c r="AK1246">
        <v>0</v>
      </c>
      <c r="AL1246">
        <v>0</v>
      </c>
      <c r="AM1246">
        <v>38</v>
      </c>
      <c r="AN1246">
        <v>146</v>
      </c>
      <c r="AO1246">
        <v>234</v>
      </c>
      <c r="AQ1246" t="str">
        <f t="shared" si="19"/>
        <v>Forward</v>
      </c>
    </row>
    <row r="1247" spans="1:43" x14ac:dyDescent="0.35">
      <c r="A1247" t="s">
        <v>741</v>
      </c>
      <c r="B1247" t="s">
        <v>39</v>
      </c>
      <c r="C1247" t="s">
        <v>2113</v>
      </c>
      <c r="D1247">
        <v>1989</v>
      </c>
      <c r="E1247">
        <v>25</v>
      </c>
      <c r="F1247" t="s">
        <v>103</v>
      </c>
      <c r="G1247" t="s">
        <v>742</v>
      </c>
      <c r="H1247">
        <v>15300000</v>
      </c>
      <c r="I1247">
        <v>15300000</v>
      </c>
      <c r="J1247" t="s">
        <v>42</v>
      </c>
      <c r="K1247">
        <v>37</v>
      </c>
      <c r="L1247">
        <v>2604</v>
      </c>
      <c r="M1247">
        <v>11</v>
      </c>
      <c r="N1247">
        <v>964</v>
      </c>
      <c r="O1247">
        <v>6</v>
      </c>
      <c r="P1247">
        <v>4</v>
      </c>
      <c r="Q1247">
        <v>2</v>
      </c>
      <c r="R1247">
        <v>7</v>
      </c>
      <c r="S1247">
        <v>15</v>
      </c>
      <c r="T1247">
        <v>86</v>
      </c>
      <c r="U1247">
        <v>34</v>
      </c>
      <c r="V1247">
        <v>1</v>
      </c>
      <c r="W1247">
        <v>6</v>
      </c>
      <c r="X1247">
        <v>1</v>
      </c>
      <c r="Y1247">
        <v>0</v>
      </c>
      <c r="Z1247">
        <v>0</v>
      </c>
      <c r="AA1247">
        <v>27</v>
      </c>
      <c r="AB1247">
        <v>5</v>
      </c>
      <c r="AC1247">
        <v>12</v>
      </c>
      <c r="AD1247">
        <v>1</v>
      </c>
      <c r="AE1247">
        <v>68</v>
      </c>
      <c r="AF1247">
        <v>0</v>
      </c>
      <c r="AG1247">
        <v>35</v>
      </c>
      <c r="AH1247">
        <v>44</v>
      </c>
      <c r="AI1247">
        <v>0</v>
      </c>
      <c r="AJ1247">
        <v>54</v>
      </c>
      <c r="AK1247">
        <v>0</v>
      </c>
      <c r="AL1247">
        <v>0</v>
      </c>
      <c r="AM1247">
        <v>14</v>
      </c>
      <c r="AN1247">
        <v>29</v>
      </c>
      <c r="AO1247">
        <v>47</v>
      </c>
      <c r="AQ1247" t="str">
        <f t="shared" si="19"/>
        <v>Forward</v>
      </c>
    </row>
    <row r="1248" spans="1:43" x14ac:dyDescent="0.35">
      <c r="A1248" t="s">
        <v>743</v>
      </c>
      <c r="B1248" t="s">
        <v>47</v>
      </c>
      <c r="C1248" t="s">
        <v>2114</v>
      </c>
      <c r="D1248">
        <v>1993</v>
      </c>
      <c r="E1248">
        <v>22</v>
      </c>
      <c r="F1248" t="s">
        <v>50</v>
      </c>
      <c r="G1248" t="s">
        <v>51</v>
      </c>
      <c r="H1248">
        <v>3850000</v>
      </c>
      <c r="I1248">
        <v>4950000</v>
      </c>
      <c r="J1248" t="s">
        <v>55</v>
      </c>
      <c r="K1248">
        <v>18</v>
      </c>
      <c r="L1248">
        <v>1247</v>
      </c>
      <c r="M1248">
        <v>0</v>
      </c>
      <c r="N1248">
        <v>435</v>
      </c>
      <c r="O1248">
        <v>1</v>
      </c>
      <c r="P1248">
        <v>5</v>
      </c>
      <c r="Q1248">
        <v>1</v>
      </c>
      <c r="R1248">
        <v>5</v>
      </c>
      <c r="S1248">
        <v>2</v>
      </c>
      <c r="T1248">
        <v>8</v>
      </c>
      <c r="U1248">
        <v>0</v>
      </c>
      <c r="V1248">
        <v>0</v>
      </c>
      <c r="W1248">
        <v>34</v>
      </c>
      <c r="X1248">
        <v>0</v>
      </c>
      <c r="Y1248">
        <v>0</v>
      </c>
      <c r="Z1248">
        <v>0</v>
      </c>
      <c r="AA1248">
        <v>2</v>
      </c>
      <c r="AB1248">
        <v>1</v>
      </c>
      <c r="AC1248">
        <v>0</v>
      </c>
      <c r="AD1248">
        <v>0</v>
      </c>
      <c r="AE1248">
        <v>27</v>
      </c>
      <c r="AF1248">
        <v>4</v>
      </c>
      <c r="AG1248">
        <v>42</v>
      </c>
      <c r="AH1248">
        <v>21</v>
      </c>
      <c r="AI1248">
        <v>0</v>
      </c>
      <c r="AJ1248">
        <v>24</v>
      </c>
      <c r="AK1248">
        <v>0</v>
      </c>
      <c r="AL1248">
        <v>0</v>
      </c>
      <c r="AM1248">
        <v>59</v>
      </c>
      <c r="AN1248">
        <v>23</v>
      </c>
      <c r="AO1248">
        <v>22</v>
      </c>
      <c r="AQ1248" t="str">
        <f t="shared" si="19"/>
        <v>Midfielder</v>
      </c>
    </row>
    <row r="1249" spans="1:43" x14ac:dyDescent="0.35">
      <c r="A1249" t="s">
        <v>743</v>
      </c>
      <c r="B1249" t="s">
        <v>39</v>
      </c>
      <c r="C1249" t="s">
        <v>2115</v>
      </c>
      <c r="D1249">
        <v>1993</v>
      </c>
      <c r="E1249">
        <v>21</v>
      </c>
      <c r="F1249" t="s">
        <v>50</v>
      </c>
      <c r="G1249" t="s">
        <v>740</v>
      </c>
      <c r="H1249">
        <v>4500000</v>
      </c>
      <c r="I1249">
        <v>4500000</v>
      </c>
      <c r="J1249" t="s">
        <v>55</v>
      </c>
      <c r="K1249">
        <v>19</v>
      </c>
      <c r="L1249">
        <v>1741</v>
      </c>
      <c r="M1249">
        <v>4</v>
      </c>
      <c r="N1249">
        <v>457</v>
      </c>
      <c r="O1249">
        <v>0</v>
      </c>
      <c r="P1249">
        <v>0</v>
      </c>
      <c r="Q1249">
        <v>0</v>
      </c>
      <c r="R1249">
        <v>14</v>
      </c>
      <c r="S1249">
        <v>10</v>
      </c>
      <c r="T1249">
        <v>35</v>
      </c>
      <c r="U1249">
        <v>11</v>
      </c>
      <c r="V1249">
        <v>1</v>
      </c>
      <c r="W1249">
        <v>1</v>
      </c>
      <c r="X1249">
        <v>0</v>
      </c>
      <c r="Y1249">
        <v>0</v>
      </c>
      <c r="Z1249">
        <v>0</v>
      </c>
      <c r="AA1249">
        <v>10</v>
      </c>
      <c r="AB1249">
        <v>1</v>
      </c>
      <c r="AC1249">
        <v>7</v>
      </c>
      <c r="AD1249">
        <v>10</v>
      </c>
      <c r="AE1249">
        <v>22</v>
      </c>
      <c r="AF1249">
        <v>1</v>
      </c>
      <c r="AG1249">
        <v>7</v>
      </c>
      <c r="AH1249">
        <v>18</v>
      </c>
      <c r="AI1249">
        <v>0</v>
      </c>
      <c r="AJ1249">
        <v>18</v>
      </c>
      <c r="AK1249">
        <v>0</v>
      </c>
      <c r="AL1249">
        <v>0</v>
      </c>
      <c r="AM1249">
        <v>1</v>
      </c>
      <c r="AN1249">
        <v>10</v>
      </c>
      <c r="AO1249">
        <v>25</v>
      </c>
      <c r="AQ1249" t="str">
        <f t="shared" si="19"/>
        <v>Midfielder</v>
      </c>
    </row>
    <row r="1250" spans="1:43" x14ac:dyDescent="0.35">
      <c r="A1250" t="s">
        <v>744</v>
      </c>
      <c r="B1250" t="s">
        <v>43</v>
      </c>
      <c r="C1250" t="s">
        <v>2116</v>
      </c>
      <c r="D1250">
        <v>1990</v>
      </c>
      <c r="E1250">
        <v>27</v>
      </c>
      <c r="F1250" t="s">
        <v>40</v>
      </c>
      <c r="G1250" t="s">
        <v>51</v>
      </c>
      <c r="H1250">
        <v>2750000</v>
      </c>
      <c r="I1250">
        <v>8800000</v>
      </c>
      <c r="J1250" t="s">
        <v>55</v>
      </c>
      <c r="K1250">
        <v>29</v>
      </c>
      <c r="L1250">
        <v>2042</v>
      </c>
      <c r="M1250">
        <v>3</v>
      </c>
      <c r="N1250">
        <v>786</v>
      </c>
      <c r="O1250">
        <v>1</v>
      </c>
      <c r="P1250">
        <v>2</v>
      </c>
      <c r="Q1250">
        <v>0</v>
      </c>
      <c r="R1250">
        <v>6</v>
      </c>
      <c r="S1250">
        <v>7</v>
      </c>
      <c r="T1250">
        <v>19</v>
      </c>
      <c r="U1250">
        <v>7</v>
      </c>
      <c r="V1250">
        <v>0</v>
      </c>
      <c r="W1250">
        <v>17</v>
      </c>
      <c r="X1250">
        <v>0</v>
      </c>
      <c r="Y1250">
        <v>0</v>
      </c>
      <c r="Z1250">
        <v>0</v>
      </c>
      <c r="AA1250">
        <v>3</v>
      </c>
      <c r="AB1250">
        <v>2</v>
      </c>
      <c r="AC1250">
        <v>12</v>
      </c>
      <c r="AD1250">
        <v>24</v>
      </c>
      <c r="AE1250">
        <v>55</v>
      </c>
      <c r="AF1250">
        <v>7</v>
      </c>
      <c r="AG1250">
        <v>29</v>
      </c>
      <c r="AH1250">
        <v>10</v>
      </c>
      <c r="AI1250">
        <v>0</v>
      </c>
      <c r="AJ1250">
        <v>34</v>
      </c>
      <c r="AK1250">
        <v>0</v>
      </c>
      <c r="AL1250">
        <v>0</v>
      </c>
      <c r="AM1250">
        <v>30</v>
      </c>
      <c r="AN1250">
        <v>37</v>
      </c>
      <c r="AO1250">
        <v>36</v>
      </c>
      <c r="AQ1250" t="str">
        <f t="shared" si="19"/>
        <v>Midfielder</v>
      </c>
    </row>
    <row r="1251" spans="1:43" x14ac:dyDescent="0.35">
      <c r="A1251" t="s">
        <v>744</v>
      </c>
      <c r="B1251" t="s">
        <v>47</v>
      </c>
      <c r="C1251" t="s">
        <v>2117</v>
      </c>
      <c r="D1251">
        <v>1990</v>
      </c>
      <c r="E1251">
        <v>25</v>
      </c>
      <c r="F1251" t="s">
        <v>71</v>
      </c>
      <c r="G1251" t="s">
        <v>51</v>
      </c>
      <c r="H1251">
        <v>1650000</v>
      </c>
      <c r="I1251">
        <v>2750000</v>
      </c>
      <c r="J1251" t="s">
        <v>55</v>
      </c>
      <c r="K1251">
        <v>37</v>
      </c>
      <c r="L1251">
        <v>3188</v>
      </c>
      <c r="M1251">
        <v>3</v>
      </c>
      <c r="N1251">
        <v>1537</v>
      </c>
      <c r="O1251">
        <v>1</v>
      </c>
      <c r="P1251">
        <v>9</v>
      </c>
      <c r="Q1251">
        <v>1</v>
      </c>
      <c r="R1251">
        <v>1</v>
      </c>
      <c r="S1251">
        <v>6</v>
      </c>
      <c r="T1251">
        <v>42</v>
      </c>
      <c r="U1251">
        <v>7</v>
      </c>
      <c r="V1251">
        <v>0</v>
      </c>
      <c r="W1251">
        <v>24</v>
      </c>
      <c r="X1251">
        <v>0</v>
      </c>
      <c r="Y1251">
        <v>0</v>
      </c>
      <c r="Z1251">
        <v>0</v>
      </c>
      <c r="AA1251">
        <v>1</v>
      </c>
      <c r="AB1251">
        <v>2</v>
      </c>
      <c r="AC1251">
        <v>1</v>
      </c>
      <c r="AD1251">
        <v>18</v>
      </c>
      <c r="AE1251">
        <v>62</v>
      </c>
      <c r="AF1251">
        <v>9</v>
      </c>
      <c r="AG1251">
        <v>54</v>
      </c>
      <c r="AH1251">
        <v>22</v>
      </c>
      <c r="AI1251">
        <v>0</v>
      </c>
      <c r="AJ1251">
        <v>89</v>
      </c>
      <c r="AK1251">
        <v>0</v>
      </c>
      <c r="AL1251">
        <v>0</v>
      </c>
      <c r="AM1251">
        <v>66</v>
      </c>
      <c r="AN1251">
        <v>39</v>
      </c>
      <c r="AO1251">
        <v>38</v>
      </c>
      <c r="AQ1251" t="str">
        <f t="shared" si="19"/>
        <v>Midfielder</v>
      </c>
    </row>
    <row r="1252" spans="1:43" x14ac:dyDescent="0.35">
      <c r="A1252" t="s">
        <v>745</v>
      </c>
      <c r="B1252" t="s">
        <v>43</v>
      </c>
      <c r="C1252" t="s">
        <v>2118</v>
      </c>
      <c r="D1252">
        <v>1998</v>
      </c>
      <c r="E1252">
        <v>19</v>
      </c>
      <c r="F1252" t="s">
        <v>103</v>
      </c>
      <c r="G1252" t="s">
        <v>51</v>
      </c>
      <c r="H1252">
        <v>250000</v>
      </c>
      <c r="I1252">
        <v>1500000</v>
      </c>
      <c r="J1252" t="s">
        <v>55</v>
      </c>
      <c r="K1252">
        <v>10</v>
      </c>
      <c r="L1252">
        <v>539</v>
      </c>
      <c r="M1252">
        <v>1</v>
      </c>
      <c r="N1252">
        <v>166</v>
      </c>
      <c r="O1252">
        <v>0</v>
      </c>
      <c r="P1252">
        <v>3</v>
      </c>
      <c r="Q1252">
        <v>0</v>
      </c>
      <c r="R1252">
        <v>3</v>
      </c>
      <c r="S1252">
        <v>6</v>
      </c>
      <c r="T1252">
        <v>1</v>
      </c>
      <c r="U1252">
        <v>1</v>
      </c>
      <c r="V1252">
        <v>0</v>
      </c>
      <c r="W1252">
        <v>6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2</v>
      </c>
      <c r="AE1252">
        <v>8</v>
      </c>
      <c r="AF1252">
        <v>1</v>
      </c>
      <c r="AG1252">
        <v>11</v>
      </c>
      <c r="AH1252">
        <v>11</v>
      </c>
      <c r="AI1252">
        <v>0</v>
      </c>
      <c r="AJ1252">
        <v>14</v>
      </c>
      <c r="AK1252">
        <v>0</v>
      </c>
      <c r="AL1252">
        <v>0</v>
      </c>
      <c r="AM1252">
        <v>7</v>
      </c>
      <c r="AN1252">
        <v>8</v>
      </c>
      <c r="AO1252">
        <v>9</v>
      </c>
      <c r="AQ1252" t="str">
        <f t="shared" si="19"/>
        <v>Midfielder</v>
      </c>
    </row>
    <row r="1253" spans="1:43" x14ac:dyDescent="0.35">
      <c r="A1253" t="s">
        <v>746</v>
      </c>
      <c r="B1253" t="s">
        <v>47</v>
      </c>
      <c r="C1253" t="s">
        <v>2119</v>
      </c>
      <c r="D1253">
        <v>1995</v>
      </c>
      <c r="E1253">
        <v>21</v>
      </c>
      <c r="F1253" t="s">
        <v>220</v>
      </c>
      <c r="G1253" t="s">
        <v>51</v>
      </c>
      <c r="H1253">
        <v>250000</v>
      </c>
      <c r="I1253">
        <v>750000</v>
      </c>
      <c r="J1253" t="s">
        <v>55</v>
      </c>
      <c r="K1253">
        <v>13</v>
      </c>
      <c r="L1253">
        <v>608</v>
      </c>
      <c r="M1253">
        <v>0</v>
      </c>
      <c r="N1253">
        <v>301</v>
      </c>
      <c r="O1253">
        <v>0</v>
      </c>
      <c r="P1253">
        <v>0</v>
      </c>
      <c r="Q1253">
        <v>0</v>
      </c>
      <c r="R1253">
        <v>8</v>
      </c>
      <c r="S1253">
        <v>0</v>
      </c>
      <c r="T1253">
        <v>1</v>
      </c>
      <c r="U1253">
        <v>0</v>
      </c>
      <c r="V1253">
        <v>0</v>
      </c>
      <c r="W1253">
        <v>13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37</v>
      </c>
      <c r="AF1253">
        <v>4</v>
      </c>
      <c r="AG1253">
        <v>15</v>
      </c>
      <c r="AH1253">
        <v>3</v>
      </c>
      <c r="AI1253">
        <v>0</v>
      </c>
      <c r="AJ1253">
        <v>16</v>
      </c>
      <c r="AK1253">
        <v>0</v>
      </c>
      <c r="AL1253">
        <v>0</v>
      </c>
      <c r="AM1253">
        <v>25</v>
      </c>
      <c r="AN1253">
        <v>21</v>
      </c>
      <c r="AO1253">
        <v>11</v>
      </c>
      <c r="AQ1253" t="str">
        <f t="shared" si="19"/>
        <v>Midfielder</v>
      </c>
    </row>
    <row r="1254" spans="1:43" x14ac:dyDescent="0.35">
      <c r="A1254" t="s">
        <v>747</v>
      </c>
      <c r="B1254" t="s">
        <v>47</v>
      </c>
      <c r="C1254" t="s">
        <v>2120</v>
      </c>
      <c r="D1254">
        <v>1989</v>
      </c>
      <c r="E1254">
        <v>26</v>
      </c>
      <c r="F1254" t="s">
        <v>56</v>
      </c>
      <c r="G1254" t="s">
        <v>62</v>
      </c>
      <c r="H1254">
        <v>3850000</v>
      </c>
      <c r="I1254">
        <v>4400000</v>
      </c>
      <c r="J1254" t="s">
        <v>42</v>
      </c>
      <c r="K1254">
        <v>37</v>
      </c>
      <c r="L1254">
        <v>2055</v>
      </c>
      <c r="M1254">
        <v>10</v>
      </c>
      <c r="N1254">
        <v>602</v>
      </c>
      <c r="O1254">
        <v>3</v>
      </c>
      <c r="P1254">
        <v>0</v>
      </c>
      <c r="Q1254">
        <v>0</v>
      </c>
      <c r="R1254">
        <v>16</v>
      </c>
      <c r="S1254">
        <v>7</v>
      </c>
      <c r="T1254">
        <v>57</v>
      </c>
      <c r="U1254">
        <v>23</v>
      </c>
      <c r="V1254">
        <v>0</v>
      </c>
      <c r="W1254">
        <v>27</v>
      </c>
      <c r="X1254">
        <v>2</v>
      </c>
      <c r="Y1254">
        <v>2</v>
      </c>
      <c r="Z1254">
        <v>0</v>
      </c>
      <c r="AA1254">
        <v>23</v>
      </c>
      <c r="AB1254">
        <v>3</v>
      </c>
      <c r="AC1254">
        <v>3</v>
      </c>
      <c r="AD1254">
        <v>0</v>
      </c>
      <c r="AE1254">
        <v>7</v>
      </c>
      <c r="AF1254">
        <v>8</v>
      </c>
      <c r="AG1254">
        <v>5</v>
      </c>
      <c r="AH1254">
        <v>24</v>
      </c>
      <c r="AI1254">
        <v>0</v>
      </c>
      <c r="AJ1254">
        <v>7</v>
      </c>
      <c r="AK1254">
        <v>0</v>
      </c>
      <c r="AL1254">
        <v>0</v>
      </c>
      <c r="AM1254">
        <v>31</v>
      </c>
      <c r="AN1254">
        <v>212</v>
      </c>
      <c r="AO1254">
        <v>209</v>
      </c>
      <c r="AQ1254" t="str">
        <f t="shared" si="19"/>
        <v>Forward</v>
      </c>
    </row>
    <row r="1255" spans="1:43" x14ac:dyDescent="0.35">
      <c r="A1255" t="s">
        <v>747</v>
      </c>
      <c r="B1255" t="s">
        <v>43</v>
      </c>
      <c r="C1255" t="s">
        <v>2121</v>
      </c>
      <c r="D1255">
        <v>1989</v>
      </c>
      <c r="E1255">
        <v>28</v>
      </c>
      <c r="F1255" t="s">
        <v>56</v>
      </c>
      <c r="G1255" t="s">
        <v>62</v>
      </c>
      <c r="H1255">
        <v>4000000</v>
      </c>
      <c r="I1255">
        <v>5400000</v>
      </c>
      <c r="J1255" t="s">
        <v>42</v>
      </c>
      <c r="K1255">
        <v>30</v>
      </c>
      <c r="L1255">
        <v>980</v>
      </c>
      <c r="M1255">
        <v>4</v>
      </c>
      <c r="N1255">
        <v>265</v>
      </c>
      <c r="O1255">
        <v>1</v>
      </c>
      <c r="P1255">
        <v>3</v>
      </c>
      <c r="Q1255">
        <v>0</v>
      </c>
      <c r="R1255">
        <v>23</v>
      </c>
      <c r="S1255">
        <v>3</v>
      </c>
      <c r="T1255">
        <v>33</v>
      </c>
      <c r="U1255">
        <v>8</v>
      </c>
      <c r="V1255">
        <v>1</v>
      </c>
      <c r="W1255">
        <v>13</v>
      </c>
      <c r="X1255">
        <v>2</v>
      </c>
      <c r="Y1255">
        <v>0</v>
      </c>
      <c r="Z1255">
        <v>0</v>
      </c>
      <c r="AA1255">
        <v>12</v>
      </c>
      <c r="AB1255">
        <v>0</v>
      </c>
      <c r="AC1255">
        <v>25</v>
      </c>
      <c r="AD1255">
        <v>0</v>
      </c>
      <c r="AE1255">
        <v>1</v>
      </c>
      <c r="AF1255">
        <v>2</v>
      </c>
      <c r="AG1255">
        <v>3</v>
      </c>
      <c r="AH1255">
        <v>20</v>
      </c>
      <c r="AI1255">
        <v>0</v>
      </c>
      <c r="AJ1255">
        <v>3</v>
      </c>
      <c r="AK1255">
        <v>0</v>
      </c>
      <c r="AL1255">
        <v>0</v>
      </c>
      <c r="AM1255">
        <v>14</v>
      </c>
      <c r="AN1255">
        <v>124</v>
      </c>
      <c r="AO1255">
        <v>98</v>
      </c>
      <c r="AQ1255" t="str">
        <f t="shared" si="19"/>
        <v>Forward</v>
      </c>
    </row>
    <row r="1256" spans="1:43" x14ac:dyDescent="0.35">
      <c r="A1256" t="s">
        <v>747</v>
      </c>
      <c r="B1256" t="s">
        <v>46</v>
      </c>
      <c r="C1256" t="s">
        <v>2122</v>
      </c>
      <c r="D1256">
        <v>1989</v>
      </c>
      <c r="E1256">
        <v>28</v>
      </c>
      <c r="F1256" t="s">
        <v>56</v>
      </c>
      <c r="G1256" t="s">
        <v>62</v>
      </c>
      <c r="H1256">
        <v>5400000</v>
      </c>
      <c r="I1256">
        <v>4500000</v>
      </c>
      <c r="J1256" t="s">
        <v>42</v>
      </c>
      <c r="K1256">
        <v>20</v>
      </c>
      <c r="L1256">
        <v>914</v>
      </c>
      <c r="M1256">
        <v>3</v>
      </c>
      <c r="N1256">
        <v>268</v>
      </c>
      <c r="O1256">
        <v>0</v>
      </c>
      <c r="P1256">
        <v>0</v>
      </c>
      <c r="Q1256">
        <v>0</v>
      </c>
      <c r="R1256">
        <v>10</v>
      </c>
      <c r="S1256">
        <v>8</v>
      </c>
      <c r="T1256">
        <v>22</v>
      </c>
      <c r="U1256">
        <v>7</v>
      </c>
      <c r="V1256">
        <v>0</v>
      </c>
      <c r="W1256">
        <v>15</v>
      </c>
      <c r="X1256">
        <v>3</v>
      </c>
      <c r="Y1256">
        <v>0</v>
      </c>
      <c r="Z1256">
        <v>0</v>
      </c>
      <c r="AA1256">
        <v>7</v>
      </c>
      <c r="AB1256">
        <v>0</v>
      </c>
      <c r="AC1256">
        <v>15</v>
      </c>
      <c r="AD1256">
        <v>0</v>
      </c>
      <c r="AE1256">
        <v>0</v>
      </c>
      <c r="AF1256">
        <v>1</v>
      </c>
      <c r="AG1256">
        <v>0</v>
      </c>
      <c r="AH1256">
        <v>14</v>
      </c>
      <c r="AI1256">
        <v>0</v>
      </c>
      <c r="AJ1256">
        <v>4</v>
      </c>
      <c r="AK1256">
        <v>0</v>
      </c>
      <c r="AL1256">
        <v>0</v>
      </c>
      <c r="AM1256">
        <v>17</v>
      </c>
      <c r="AN1256">
        <v>125</v>
      </c>
      <c r="AO1256">
        <v>108</v>
      </c>
      <c r="AQ1256" t="str">
        <f t="shared" si="19"/>
        <v>Forward</v>
      </c>
    </row>
    <row r="1257" spans="1:43" x14ac:dyDescent="0.35">
      <c r="A1257" t="s">
        <v>748</v>
      </c>
      <c r="B1257" t="s">
        <v>39</v>
      </c>
      <c r="C1257" t="s">
        <v>2123</v>
      </c>
      <c r="D1257">
        <v>1987</v>
      </c>
      <c r="E1257">
        <v>28</v>
      </c>
      <c r="F1257" t="s">
        <v>114</v>
      </c>
      <c r="G1257" t="s">
        <v>742</v>
      </c>
      <c r="H1257">
        <v>23100000</v>
      </c>
      <c r="I1257">
        <v>13500000</v>
      </c>
      <c r="J1257" t="s">
        <v>42</v>
      </c>
      <c r="K1257">
        <v>34</v>
      </c>
      <c r="L1257">
        <v>2564</v>
      </c>
      <c r="M1257">
        <v>9</v>
      </c>
      <c r="N1257">
        <v>630</v>
      </c>
      <c r="O1257">
        <v>2</v>
      </c>
      <c r="P1257">
        <v>1</v>
      </c>
      <c r="Q1257">
        <v>0</v>
      </c>
      <c r="R1257">
        <v>4</v>
      </c>
      <c r="S1257">
        <v>15</v>
      </c>
      <c r="T1257">
        <v>71</v>
      </c>
      <c r="U1257">
        <v>21</v>
      </c>
      <c r="V1257">
        <v>0</v>
      </c>
      <c r="W1257">
        <v>35</v>
      </c>
      <c r="X1257">
        <v>4</v>
      </c>
      <c r="Y1257">
        <v>0</v>
      </c>
      <c r="Z1257">
        <v>0</v>
      </c>
      <c r="AA1257">
        <v>26</v>
      </c>
      <c r="AB1257">
        <v>1</v>
      </c>
      <c r="AC1257">
        <v>7</v>
      </c>
      <c r="AD1257">
        <v>0</v>
      </c>
      <c r="AE1257">
        <v>32</v>
      </c>
      <c r="AF1257">
        <v>0</v>
      </c>
      <c r="AG1257">
        <v>14</v>
      </c>
      <c r="AH1257">
        <v>35</v>
      </c>
      <c r="AI1257">
        <v>0</v>
      </c>
      <c r="AJ1257">
        <v>9</v>
      </c>
      <c r="AK1257">
        <v>0</v>
      </c>
      <c r="AL1257">
        <v>0</v>
      </c>
      <c r="AM1257">
        <v>45</v>
      </c>
      <c r="AN1257">
        <v>91</v>
      </c>
      <c r="AO1257">
        <v>163</v>
      </c>
      <c r="AQ1257" t="str">
        <f t="shared" si="19"/>
        <v>Forward</v>
      </c>
    </row>
    <row r="1258" spans="1:43" x14ac:dyDescent="0.35">
      <c r="A1258" t="s">
        <v>749</v>
      </c>
      <c r="B1258" t="s">
        <v>39</v>
      </c>
      <c r="C1258" t="s">
        <v>2124</v>
      </c>
      <c r="D1258">
        <v>1984</v>
      </c>
      <c r="E1258">
        <v>30</v>
      </c>
      <c r="F1258" t="s">
        <v>61</v>
      </c>
      <c r="G1258" t="s">
        <v>45</v>
      </c>
      <c r="H1258">
        <v>23400000</v>
      </c>
      <c r="I1258">
        <v>18000000</v>
      </c>
      <c r="J1258" t="s">
        <v>55</v>
      </c>
      <c r="K1258">
        <v>12</v>
      </c>
      <c r="L1258">
        <v>535</v>
      </c>
      <c r="M1258">
        <v>2</v>
      </c>
      <c r="N1258">
        <v>416</v>
      </c>
      <c r="O1258">
        <v>2</v>
      </c>
      <c r="P1258">
        <v>3</v>
      </c>
      <c r="Q1258">
        <v>0</v>
      </c>
      <c r="R1258">
        <v>8</v>
      </c>
      <c r="S1258">
        <v>2</v>
      </c>
      <c r="T1258">
        <v>14</v>
      </c>
      <c r="U1258">
        <v>7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5</v>
      </c>
      <c r="AC1258">
        <v>3</v>
      </c>
      <c r="AD1258">
        <v>7</v>
      </c>
      <c r="AE1258">
        <v>17</v>
      </c>
      <c r="AF1258">
        <v>0</v>
      </c>
      <c r="AG1258">
        <v>2</v>
      </c>
      <c r="AH1258">
        <v>4</v>
      </c>
      <c r="AI1258">
        <v>0</v>
      </c>
      <c r="AJ1258">
        <v>11</v>
      </c>
      <c r="AK1258">
        <v>0</v>
      </c>
      <c r="AL1258">
        <v>0</v>
      </c>
      <c r="AM1258">
        <v>0</v>
      </c>
      <c r="AN1258">
        <v>0</v>
      </c>
      <c r="AO1258">
        <v>7</v>
      </c>
      <c r="AQ1258" t="str">
        <f t="shared" si="19"/>
        <v>Midfielder</v>
      </c>
    </row>
    <row r="1259" spans="1:43" x14ac:dyDescent="0.35">
      <c r="A1259" t="s">
        <v>750</v>
      </c>
      <c r="B1259" t="s">
        <v>47</v>
      </c>
      <c r="C1259" t="s">
        <v>2125</v>
      </c>
      <c r="D1259">
        <v>1988</v>
      </c>
      <c r="E1259">
        <v>27</v>
      </c>
      <c r="F1259" t="s">
        <v>56</v>
      </c>
      <c r="G1259" t="s">
        <v>297</v>
      </c>
      <c r="H1259">
        <v>3300000</v>
      </c>
      <c r="I1259">
        <v>3300000</v>
      </c>
      <c r="J1259" t="s">
        <v>55</v>
      </c>
      <c r="K1259">
        <v>31</v>
      </c>
      <c r="L1259">
        <v>2104</v>
      </c>
      <c r="M1259">
        <v>1</v>
      </c>
      <c r="N1259">
        <v>621</v>
      </c>
      <c r="O1259">
        <v>0</v>
      </c>
      <c r="P1259">
        <v>3</v>
      </c>
      <c r="Q1259">
        <v>0</v>
      </c>
      <c r="R1259">
        <v>8</v>
      </c>
      <c r="S1259">
        <v>13</v>
      </c>
      <c r="T1259">
        <v>44</v>
      </c>
      <c r="U1259">
        <v>7</v>
      </c>
      <c r="V1259">
        <v>0</v>
      </c>
      <c r="W1259">
        <v>11</v>
      </c>
      <c r="X1259">
        <v>0</v>
      </c>
      <c r="Y1259">
        <v>0</v>
      </c>
      <c r="Z1259">
        <v>0</v>
      </c>
      <c r="AA1259">
        <v>3</v>
      </c>
      <c r="AB1259">
        <v>4</v>
      </c>
      <c r="AC1259">
        <v>2</v>
      </c>
      <c r="AD1259">
        <v>45</v>
      </c>
      <c r="AE1259">
        <v>70</v>
      </c>
      <c r="AF1259">
        <v>7</v>
      </c>
      <c r="AG1259">
        <v>33</v>
      </c>
      <c r="AH1259">
        <v>37</v>
      </c>
      <c r="AI1259">
        <v>0</v>
      </c>
      <c r="AJ1259">
        <v>36</v>
      </c>
      <c r="AK1259">
        <v>0</v>
      </c>
      <c r="AL1259">
        <v>0</v>
      </c>
      <c r="AM1259">
        <v>27</v>
      </c>
      <c r="AN1259">
        <v>23</v>
      </c>
      <c r="AO1259">
        <v>41</v>
      </c>
      <c r="AQ1259" t="str">
        <f t="shared" si="19"/>
        <v>Midfielder</v>
      </c>
    </row>
    <row r="1260" spans="1:43" x14ac:dyDescent="0.35">
      <c r="A1260" t="s">
        <v>750</v>
      </c>
      <c r="B1260" t="s">
        <v>43</v>
      </c>
      <c r="C1260" t="s">
        <v>2126</v>
      </c>
      <c r="D1260">
        <v>1988</v>
      </c>
      <c r="E1260">
        <v>29</v>
      </c>
      <c r="F1260" t="s">
        <v>56</v>
      </c>
      <c r="G1260" t="s">
        <v>297</v>
      </c>
      <c r="H1260">
        <v>3300000</v>
      </c>
      <c r="I1260">
        <v>3300000</v>
      </c>
      <c r="J1260" t="s">
        <v>55</v>
      </c>
      <c r="K1260">
        <v>18</v>
      </c>
      <c r="L1260">
        <v>1335</v>
      </c>
      <c r="M1260">
        <v>2</v>
      </c>
      <c r="N1260">
        <v>353</v>
      </c>
      <c r="O1260">
        <v>1</v>
      </c>
      <c r="P1260">
        <v>3</v>
      </c>
      <c r="Q1260">
        <v>0</v>
      </c>
      <c r="R1260">
        <v>3</v>
      </c>
      <c r="S1260">
        <v>6</v>
      </c>
      <c r="T1260">
        <v>18</v>
      </c>
      <c r="U1260">
        <v>7</v>
      </c>
      <c r="V1260">
        <v>1</v>
      </c>
      <c r="W1260">
        <v>9</v>
      </c>
      <c r="X1260">
        <v>0</v>
      </c>
      <c r="Y1260">
        <v>0</v>
      </c>
      <c r="Z1260">
        <v>0</v>
      </c>
      <c r="AA1260">
        <v>1</v>
      </c>
      <c r="AB1260">
        <v>1</v>
      </c>
      <c r="AC1260">
        <v>11</v>
      </c>
      <c r="AD1260">
        <v>1</v>
      </c>
      <c r="AE1260">
        <v>8</v>
      </c>
      <c r="AF1260">
        <v>1</v>
      </c>
      <c r="AG1260">
        <v>12</v>
      </c>
      <c r="AH1260">
        <v>21</v>
      </c>
      <c r="AI1260">
        <v>0</v>
      </c>
      <c r="AJ1260">
        <v>36</v>
      </c>
      <c r="AK1260">
        <v>0</v>
      </c>
      <c r="AL1260">
        <v>0</v>
      </c>
      <c r="AM1260">
        <v>20</v>
      </c>
      <c r="AN1260">
        <v>12</v>
      </c>
      <c r="AO1260">
        <v>31</v>
      </c>
      <c r="AQ1260" t="str">
        <f t="shared" si="19"/>
        <v>Midfielder</v>
      </c>
    </row>
    <row r="1261" spans="1:43" x14ac:dyDescent="0.35">
      <c r="A1261" t="s">
        <v>751</v>
      </c>
      <c r="B1261" t="s">
        <v>39</v>
      </c>
      <c r="C1261" t="s">
        <v>2127</v>
      </c>
      <c r="D1261">
        <v>1987</v>
      </c>
      <c r="E1261">
        <v>28</v>
      </c>
      <c r="F1261" t="s">
        <v>64</v>
      </c>
      <c r="G1261" t="s">
        <v>51</v>
      </c>
      <c r="H1261">
        <v>2700000</v>
      </c>
      <c r="I1261">
        <v>4500000</v>
      </c>
      <c r="J1261" t="s">
        <v>52</v>
      </c>
      <c r="K1261">
        <v>12</v>
      </c>
      <c r="L1261">
        <v>379</v>
      </c>
      <c r="M1261">
        <v>0</v>
      </c>
      <c r="N1261">
        <v>138</v>
      </c>
      <c r="O1261">
        <v>0</v>
      </c>
      <c r="P1261">
        <v>0</v>
      </c>
      <c r="Q1261">
        <v>0</v>
      </c>
      <c r="R1261">
        <v>7</v>
      </c>
      <c r="S1261">
        <v>3</v>
      </c>
      <c r="T1261">
        <v>3</v>
      </c>
      <c r="U1261">
        <v>0</v>
      </c>
      <c r="V1261">
        <v>0</v>
      </c>
      <c r="W1261">
        <v>4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3</v>
      </c>
      <c r="AF1261">
        <v>3</v>
      </c>
      <c r="AG1261">
        <v>13</v>
      </c>
      <c r="AH1261">
        <v>5</v>
      </c>
      <c r="AI1261">
        <v>0</v>
      </c>
      <c r="AJ1261">
        <v>10</v>
      </c>
      <c r="AK1261">
        <v>0</v>
      </c>
      <c r="AL1261">
        <v>0</v>
      </c>
      <c r="AM1261">
        <v>12</v>
      </c>
      <c r="AN1261">
        <v>15</v>
      </c>
      <c r="AO1261">
        <v>7</v>
      </c>
      <c r="AQ1261" t="str">
        <f t="shared" si="19"/>
        <v>Defensive Forward</v>
      </c>
    </row>
    <row r="1262" spans="1:43" x14ac:dyDescent="0.35">
      <c r="A1262" t="s">
        <v>751</v>
      </c>
      <c r="B1262" t="s">
        <v>46</v>
      </c>
      <c r="C1262" t="s">
        <v>2128</v>
      </c>
      <c r="D1262">
        <v>1987</v>
      </c>
      <c r="E1262">
        <v>31</v>
      </c>
      <c r="F1262" t="s">
        <v>64</v>
      </c>
      <c r="G1262" t="s">
        <v>51</v>
      </c>
      <c r="H1262">
        <v>4500000</v>
      </c>
      <c r="I1262">
        <v>3600000</v>
      </c>
      <c r="J1262" t="s">
        <v>52</v>
      </c>
      <c r="K1262">
        <v>10</v>
      </c>
      <c r="L1262">
        <v>661</v>
      </c>
      <c r="M1262">
        <v>0</v>
      </c>
      <c r="N1262">
        <v>264</v>
      </c>
      <c r="O1262">
        <v>1</v>
      </c>
      <c r="P1262">
        <v>1</v>
      </c>
      <c r="Q1262">
        <v>0</v>
      </c>
      <c r="R1262">
        <v>3</v>
      </c>
      <c r="S1262">
        <v>0</v>
      </c>
      <c r="T1262">
        <v>6</v>
      </c>
      <c r="U1262">
        <v>1</v>
      </c>
      <c r="V1262">
        <v>0</v>
      </c>
      <c r="W1262">
        <v>25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5</v>
      </c>
      <c r="AD1262">
        <v>0</v>
      </c>
      <c r="AE1262">
        <v>0</v>
      </c>
      <c r="AF1262">
        <v>12</v>
      </c>
      <c r="AG1262">
        <v>5</v>
      </c>
      <c r="AH1262">
        <v>4</v>
      </c>
      <c r="AI1262">
        <v>0</v>
      </c>
      <c r="AJ1262">
        <v>6</v>
      </c>
      <c r="AK1262">
        <v>0</v>
      </c>
      <c r="AL1262">
        <v>0</v>
      </c>
      <c r="AM1262">
        <v>44</v>
      </c>
      <c r="AN1262">
        <v>26</v>
      </c>
      <c r="AO1262">
        <v>16</v>
      </c>
      <c r="AQ1262" t="str">
        <f t="shared" si="19"/>
        <v>Defensive Forward</v>
      </c>
    </row>
    <row r="1263" spans="1:43" x14ac:dyDescent="0.35">
      <c r="A1263" t="s">
        <v>751</v>
      </c>
      <c r="B1263" t="s">
        <v>43</v>
      </c>
      <c r="C1263" t="s">
        <v>2129</v>
      </c>
      <c r="D1263">
        <v>1987</v>
      </c>
      <c r="E1263">
        <v>30</v>
      </c>
      <c r="F1263" t="s">
        <v>64</v>
      </c>
      <c r="G1263" t="s">
        <v>51</v>
      </c>
      <c r="H1263">
        <v>4500000</v>
      </c>
      <c r="I1263">
        <v>4500000</v>
      </c>
      <c r="J1263" t="s">
        <v>52</v>
      </c>
      <c r="K1263">
        <v>17</v>
      </c>
      <c r="L1263">
        <v>1435</v>
      </c>
      <c r="M1263">
        <v>1</v>
      </c>
      <c r="N1263">
        <v>566</v>
      </c>
      <c r="O1263">
        <v>0</v>
      </c>
      <c r="P1263">
        <v>4</v>
      </c>
      <c r="Q1263">
        <v>0</v>
      </c>
      <c r="R1263">
        <v>1</v>
      </c>
      <c r="S1263">
        <v>1</v>
      </c>
      <c r="T1263">
        <v>19</v>
      </c>
      <c r="U1263">
        <v>5</v>
      </c>
      <c r="V1263">
        <v>0</v>
      </c>
      <c r="W1263">
        <v>60</v>
      </c>
      <c r="X1263">
        <v>0</v>
      </c>
      <c r="Y1263">
        <v>0</v>
      </c>
      <c r="Z1263">
        <v>0</v>
      </c>
      <c r="AA1263">
        <v>2</v>
      </c>
      <c r="AB1263">
        <v>1</v>
      </c>
      <c r="AC1263">
        <v>14</v>
      </c>
      <c r="AD1263">
        <v>0</v>
      </c>
      <c r="AE1263">
        <v>2</v>
      </c>
      <c r="AF1263">
        <v>14</v>
      </c>
      <c r="AG1263">
        <v>23</v>
      </c>
      <c r="AH1263">
        <v>12</v>
      </c>
      <c r="AI1263">
        <v>0</v>
      </c>
      <c r="AJ1263">
        <v>10</v>
      </c>
      <c r="AK1263">
        <v>1</v>
      </c>
      <c r="AL1263">
        <v>0</v>
      </c>
      <c r="AM1263">
        <v>97</v>
      </c>
      <c r="AN1263">
        <v>49</v>
      </c>
      <c r="AO1263">
        <v>33</v>
      </c>
      <c r="AQ1263" t="str">
        <f t="shared" si="19"/>
        <v>Defensive Forward</v>
      </c>
    </row>
    <row r="1264" spans="1:43" x14ac:dyDescent="0.35">
      <c r="A1264" t="s">
        <v>751</v>
      </c>
      <c r="B1264" t="s">
        <v>47</v>
      </c>
      <c r="C1264" t="s">
        <v>2130</v>
      </c>
      <c r="D1264">
        <v>1987</v>
      </c>
      <c r="E1264">
        <v>29</v>
      </c>
      <c r="F1264" t="s">
        <v>64</v>
      </c>
      <c r="G1264" t="s">
        <v>51</v>
      </c>
      <c r="H1264">
        <v>4500000</v>
      </c>
      <c r="I1264">
        <v>4500000</v>
      </c>
      <c r="J1264" t="s">
        <v>52</v>
      </c>
      <c r="K1264">
        <v>23</v>
      </c>
      <c r="L1264">
        <v>1744</v>
      </c>
      <c r="M1264">
        <v>3</v>
      </c>
      <c r="N1264">
        <v>608</v>
      </c>
      <c r="O1264">
        <v>1</v>
      </c>
      <c r="P1264">
        <v>2</v>
      </c>
      <c r="Q1264">
        <v>0</v>
      </c>
      <c r="R1264">
        <v>4</v>
      </c>
      <c r="S1264">
        <v>1</v>
      </c>
      <c r="T1264">
        <v>21</v>
      </c>
      <c r="U1264">
        <v>10</v>
      </c>
      <c r="V1264">
        <v>0</v>
      </c>
      <c r="W1264">
        <v>65</v>
      </c>
      <c r="X1264">
        <v>2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3</v>
      </c>
      <c r="AF1264">
        <v>19</v>
      </c>
      <c r="AG1264">
        <v>32</v>
      </c>
      <c r="AH1264">
        <v>14</v>
      </c>
      <c r="AI1264">
        <v>0</v>
      </c>
      <c r="AJ1264">
        <v>17</v>
      </c>
      <c r="AK1264">
        <v>0</v>
      </c>
      <c r="AL1264">
        <v>0</v>
      </c>
      <c r="AM1264">
        <v>102</v>
      </c>
      <c r="AN1264">
        <v>68</v>
      </c>
      <c r="AO1264">
        <v>52</v>
      </c>
      <c r="AQ1264" t="str">
        <f t="shared" si="19"/>
        <v>Defensive Forward</v>
      </c>
    </row>
    <row r="1265" spans="1:43" x14ac:dyDescent="0.35">
      <c r="A1265" t="s">
        <v>752</v>
      </c>
      <c r="B1265" t="s">
        <v>43</v>
      </c>
      <c r="C1265" t="s">
        <v>2131</v>
      </c>
      <c r="D1265">
        <v>1991</v>
      </c>
      <c r="E1265">
        <v>26</v>
      </c>
      <c r="F1265" t="s">
        <v>58</v>
      </c>
      <c r="G1265" t="s">
        <v>51</v>
      </c>
      <c r="H1265">
        <v>2750000</v>
      </c>
      <c r="I1265">
        <v>3300000</v>
      </c>
      <c r="J1265" t="s">
        <v>52</v>
      </c>
      <c r="K1265">
        <v>22</v>
      </c>
      <c r="L1265">
        <v>1115</v>
      </c>
      <c r="M1265">
        <v>0</v>
      </c>
      <c r="N1265">
        <v>493</v>
      </c>
      <c r="O1265">
        <v>1</v>
      </c>
      <c r="P1265">
        <v>3</v>
      </c>
      <c r="Q1265">
        <v>0</v>
      </c>
      <c r="R1265">
        <v>10</v>
      </c>
      <c r="S1265">
        <v>6</v>
      </c>
      <c r="T1265">
        <v>2</v>
      </c>
      <c r="U1265">
        <v>2</v>
      </c>
      <c r="V1265">
        <v>0</v>
      </c>
      <c r="W1265">
        <v>13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46</v>
      </c>
      <c r="AF1265">
        <v>2</v>
      </c>
      <c r="AG1265">
        <v>26</v>
      </c>
      <c r="AH1265">
        <v>19</v>
      </c>
      <c r="AI1265">
        <v>0</v>
      </c>
      <c r="AJ1265">
        <v>39</v>
      </c>
      <c r="AK1265">
        <v>2</v>
      </c>
      <c r="AL1265">
        <v>0</v>
      </c>
      <c r="AM1265">
        <v>38</v>
      </c>
      <c r="AN1265">
        <v>14</v>
      </c>
      <c r="AO1265">
        <v>13</v>
      </c>
      <c r="AQ1265" t="str">
        <f t="shared" si="19"/>
        <v>Defensive Forward</v>
      </c>
    </row>
    <row r="1266" spans="1:43" x14ac:dyDescent="0.35">
      <c r="A1266" t="s">
        <v>753</v>
      </c>
      <c r="B1266" t="s">
        <v>43</v>
      </c>
      <c r="C1266" t="s">
        <v>2132</v>
      </c>
      <c r="D1266">
        <v>1996</v>
      </c>
      <c r="E1266">
        <v>21</v>
      </c>
      <c r="F1266" t="s">
        <v>129</v>
      </c>
      <c r="G1266" t="s">
        <v>108</v>
      </c>
      <c r="H1266">
        <v>900000</v>
      </c>
      <c r="I1266">
        <v>6300000</v>
      </c>
      <c r="J1266" t="s">
        <v>55</v>
      </c>
      <c r="K1266">
        <v>13</v>
      </c>
      <c r="L1266">
        <v>629</v>
      </c>
      <c r="M1266">
        <v>0</v>
      </c>
      <c r="N1266">
        <v>343</v>
      </c>
      <c r="O1266">
        <v>0</v>
      </c>
      <c r="P1266">
        <v>2</v>
      </c>
      <c r="Q1266">
        <v>0</v>
      </c>
      <c r="R1266">
        <v>6</v>
      </c>
      <c r="S1266">
        <v>1</v>
      </c>
      <c r="T1266">
        <v>0</v>
      </c>
      <c r="U1266">
        <v>0</v>
      </c>
      <c r="V1266">
        <v>0</v>
      </c>
      <c r="W1266">
        <v>8</v>
      </c>
      <c r="X1266">
        <v>0</v>
      </c>
      <c r="Y1266">
        <v>0</v>
      </c>
      <c r="Z1266">
        <v>0</v>
      </c>
      <c r="AA1266">
        <v>0</v>
      </c>
      <c r="AB1266">
        <v>1</v>
      </c>
      <c r="AC1266">
        <v>0</v>
      </c>
      <c r="AD1266">
        <v>0</v>
      </c>
      <c r="AE1266">
        <v>4</v>
      </c>
      <c r="AF1266">
        <v>0</v>
      </c>
      <c r="AG1266">
        <v>13</v>
      </c>
      <c r="AH1266">
        <v>7</v>
      </c>
      <c r="AI1266">
        <v>0</v>
      </c>
      <c r="AJ1266">
        <v>11</v>
      </c>
      <c r="AK1266">
        <v>0</v>
      </c>
      <c r="AL1266">
        <v>0</v>
      </c>
      <c r="AM1266">
        <v>9</v>
      </c>
      <c r="AN1266">
        <v>12</v>
      </c>
      <c r="AO1266">
        <v>10</v>
      </c>
      <c r="AQ1266" t="str">
        <f t="shared" si="19"/>
        <v>Midfielder</v>
      </c>
    </row>
    <row r="1267" spans="1:43" x14ac:dyDescent="0.35">
      <c r="A1267" t="s">
        <v>753</v>
      </c>
      <c r="B1267" t="s">
        <v>46</v>
      </c>
      <c r="C1267" t="s">
        <v>2133</v>
      </c>
      <c r="D1267">
        <v>1996</v>
      </c>
      <c r="E1267">
        <v>21</v>
      </c>
      <c r="F1267" t="s">
        <v>129</v>
      </c>
      <c r="G1267" t="s">
        <v>108</v>
      </c>
      <c r="H1267">
        <v>6300000</v>
      </c>
      <c r="I1267">
        <v>10800000</v>
      </c>
      <c r="J1267" t="s">
        <v>55</v>
      </c>
      <c r="K1267">
        <v>16</v>
      </c>
      <c r="L1267">
        <v>862</v>
      </c>
      <c r="M1267">
        <v>2</v>
      </c>
      <c r="N1267">
        <v>449</v>
      </c>
      <c r="O1267">
        <v>0</v>
      </c>
      <c r="P1267">
        <v>1</v>
      </c>
      <c r="Q1267">
        <v>0</v>
      </c>
      <c r="R1267">
        <v>7</v>
      </c>
      <c r="S1267">
        <v>1</v>
      </c>
      <c r="T1267">
        <v>15</v>
      </c>
      <c r="U1267">
        <v>6</v>
      </c>
      <c r="V1267">
        <v>0</v>
      </c>
      <c r="W1267">
        <v>8</v>
      </c>
      <c r="X1267">
        <v>0</v>
      </c>
      <c r="Y1267">
        <v>0</v>
      </c>
      <c r="Z1267">
        <v>0</v>
      </c>
      <c r="AA1267">
        <v>1</v>
      </c>
      <c r="AB1267">
        <v>1</v>
      </c>
      <c r="AC1267">
        <v>9</v>
      </c>
      <c r="AD1267">
        <v>0</v>
      </c>
      <c r="AE1267">
        <v>2</v>
      </c>
      <c r="AF1267">
        <v>4</v>
      </c>
      <c r="AG1267">
        <v>15</v>
      </c>
      <c r="AH1267">
        <v>11</v>
      </c>
      <c r="AI1267">
        <v>0</v>
      </c>
      <c r="AJ1267">
        <v>10</v>
      </c>
      <c r="AK1267">
        <v>0</v>
      </c>
      <c r="AL1267">
        <v>0</v>
      </c>
      <c r="AM1267">
        <v>16</v>
      </c>
      <c r="AN1267">
        <v>34</v>
      </c>
      <c r="AO1267">
        <v>26</v>
      </c>
      <c r="AQ1267" t="str">
        <f t="shared" si="19"/>
        <v>Midfielder</v>
      </c>
    </row>
    <row r="1268" spans="1:43" x14ac:dyDescent="0.35">
      <c r="A1268" t="s">
        <v>754</v>
      </c>
      <c r="B1268" t="s">
        <v>39</v>
      </c>
      <c r="C1268" t="s">
        <v>2134</v>
      </c>
      <c r="D1268">
        <v>1989</v>
      </c>
      <c r="E1268">
        <v>26</v>
      </c>
      <c r="F1268" t="s">
        <v>89</v>
      </c>
      <c r="G1268" t="s">
        <v>45</v>
      </c>
      <c r="H1268">
        <v>2150000</v>
      </c>
      <c r="I1268">
        <v>3150000</v>
      </c>
      <c r="J1268" t="s">
        <v>42</v>
      </c>
      <c r="K1268">
        <v>15</v>
      </c>
      <c r="L1268">
        <v>1292</v>
      </c>
      <c r="M1268">
        <v>0</v>
      </c>
      <c r="N1268">
        <v>1228</v>
      </c>
      <c r="O1268">
        <v>3</v>
      </c>
      <c r="P1268">
        <v>2</v>
      </c>
      <c r="Q1268">
        <v>1</v>
      </c>
      <c r="R1268">
        <v>0</v>
      </c>
      <c r="S1268">
        <v>2</v>
      </c>
      <c r="T1268">
        <v>24</v>
      </c>
      <c r="U1268">
        <v>8</v>
      </c>
      <c r="V1268">
        <v>0</v>
      </c>
      <c r="W1268">
        <v>10</v>
      </c>
      <c r="X1268">
        <v>0</v>
      </c>
      <c r="Y1268">
        <v>0</v>
      </c>
      <c r="Z1268">
        <v>0</v>
      </c>
      <c r="AA1268">
        <v>2</v>
      </c>
      <c r="AB1268">
        <v>16</v>
      </c>
      <c r="AC1268">
        <v>1</v>
      </c>
      <c r="AD1268">
        <v>41</v>
      </c>
      <c r="AE1268">
        <v>59</v>
      </c>
      <c r="AF1268">
        <v>1</v>
      </c>
      <c r="AG1268">
        <v>26</v>
      </c>
      <c r="AH1268">
        <v>13</v>
      </c>
      <c r="AI1268">
        <v>0</v>
      </c>
      <c r="AJ1268">
        <v>28</v>
      </c>
      <c r="AK1268">
        <v>0</v>
      </c>
      <c r="AL1268">
        <v>0</v>
      </c>
      <c r="AM1268">
        <v>15</v>
      </c>
      <c r="AN1268">
        <v>1</v>
      </c>
      <c r="AO1268">
        <v>6</v>
      </c>
      <c r="AQ1268" t="str">
        <f t="shared" si="19"/>
        <v>Forward</v>
      </c>
    </row>
    <row r="1269" spans="1:43" x14ac:dyDescent="0.35">
      <c r="A1269" t="s">
        <v>755</v>
      </c>
      <c r="B1269" t="s">
        <v>43</v>
      </c>
      <c r="C1269" t="s">
        <v>2135</v>
      </c>
      <c r="D1269">
        <v>1993</v>
      </c>
      <c r="E1269">
        <v>24</v>
      </c>
      <c r="F1269" t="s">
        <v>61</v>
      </c>
      <c r="G1269" t="s">
        <v>643</v>
      </c>
      <c r="H1269">
        <v>13500000</v>
      </c>
      <c r="I1269">
        <v>16200000</v>
      </c>
      <c r="J1269" t="s">
        <v>52</v>
      </c>
      <c r="K1269">
        <v>27</v>
      </c>
      <c r="L1269">
        <v>2152</v>
      </c>
      <c r="M1269">
        <v>2</v>
      </c>
      <c r="N1269">
        <v>1268</v>
      </c>
      <c r="O1269">
        <v>4</v>
      </c>
      <c r="P1269">
        <v>3</v>
      </c>
      <c r="Q1269">
        <v>0</v>
      </c>
      <c r="R1269">
        <v>2</v>
      </c>
      <c r="S1269">
        <v>6</v>
      </c>
      <c r="T1269">
        <v>21</v>
      </c>
      <c r="U1269">
        <v>7</v>
      </c>
      <c r="V1269">
        <v>1</v>
      </c>
      <c r="W1269">
        <v>27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14</v>
      </c>
      <c r="AD1269">
        <v>0</v>
      </c>
      <c r="AE1269">
        <v>42</v>
      </c>
      <c r="AF1269">
        <v>3</v>
      </c>
      <c r="AG1269">
        <v>26</v>
      </c>
      <c r="AH1269">
        <v>32</v>
      </c>
      <c r="AI1269">
        <v>0</v>
      </c>
      <c r="AJ1269">
        <v>49</v>
      </c>
      <c r="AK1269">
        <v>0</v>
      </c>
      <c r="AL1269">
        <v>0</v>
      </c>
      <c r="AM1269">
        <v>53</v>
      </c>
      <c r="AN1269">
        <v>47</v>
      </c>
      <c r="AO1269">
        <v>32</v>
      </c>
      <c r="AQ1269" t="str">
        <f t="shared" si="19"/>
        <v>Defensive Forward</v>
      </c>
    </row>
    <row r="1270" spans="1:43" x14ac:dyDescent="0.35">
      <c r="A1270" t="s">
        <v>755</v>
      </c>
      <c r="B1270" t="s">
        <v>46</v>
      </c>
      <c r="C1270" t="s">
        <v>2136</v>
      </c>
      <c r="D1270">
        <v>1993</v>
      </c>
      <c r="E1270">
        <v>25</v>
      </c>
      <c r="F1270" t="s">
        <v>61</v>
      </c>
      <c r="G1270" t="s">
        <v>643</v>
      </c>
      <c r="H1270">
        <v>16200000</v>
      </c>
      <c r="I1270">
        <v>18000000</v>
      </c>
      <c r="J1270" t="s">
        <v>52</v>
      </c>
      <c r="K1270">
        <v>24</v>
      </c>
      <c r="L1270">
        <v>1890</v>
      </c>
      <c r="M1270">
        <v>0</v>
      </c>
      <c r="N1270">
        <v>971</v>
      </c>
      <c r="O1270">
        <v>5</v>
      </c>
      <c r="P1270">
        <v>5</v>
      </c>
      <c r="Q1270">
        <v>0</v>
      </c>
      <c r="R1270">
        <v>2</v>
      </c>
      <c r="S1270">
        <v>6</v>
      </c>
      <c r="T1270">
        <v>9</v>
      </c>
      <c r="U1270">
        <v>2</v>
      </c>
      <c r="V1270">
        <v>0</v>
      </c>
      <c r="W1270">
        <v>15</v>
      </c>
      <c r="X1270">
        <v>0</v>
      </c>
      <c r="Y1270">
        <v>0</v>
      </c>
      <c r="Z1270">
        <v>0</v>
      </c>
      <c r="AA1270">
        <v>10</v>
      </c>
      <c r="AB1270">
        <v>3</v>
      </c>
      <c r="AC1270">
        <v>7</v>
      </c>
      <c r="AD1270">
        <v>3</v>
      </c>
      <c r="AE1270">
        <v>51</v>
      </c>
      <c r="AF1270">
        <v>3</v>
      </c>
      <c r="AG1270">
        <v>20</v>
      </c>
      <c r="AH1270">
        <v>21</v>
      </c>
      <c r="AI1270">
        <v>0</v>
      </c>
      <c r="AJ1270">
        <v>34</v>
      </c>
      <c r="AK1270">
        <v>1</v>
      </c>
      <c r="AL1270">
        <v>0</v>
      </c>
      <c r="AM1270">
        <v>25</v>
      </c>
      <c r="AN1270">
        <v>20</v>
      </c>
      <c r="AO1270">
        <v>28</v>
      </c>
      <c r="AQ1270" t="str">
        <f t="shared" si="19"/>
        <v>Defensive Forward</v>
      </c>
    </row>
    <row r="1271" spans="1:43" x14ac:dyDescent="0.35">
      <c r="A1271" t="s">
        <v>756</v>
      </c>
      <c r="B1271" t="s">
        <v>47</v>
      </c>
      <c r="C1271" t="s">
        <v>2137</v>
      </c>
      <c r="D1271">
        <v>1988</v>
      </c>
      <c r="E1271">
        <v>28</v>
      </c>
      <c r="F1271" t="s">
        <v>54</v>
      </c>
      <c r="G1271" t="s">
        <v>260</v>
      </c>
      <c r="H1271">
        <v>15300000</v>
      </c>
      <c r="I1271">
        <v>15300000</v>
      </c>
      <c r="J1271" t="s">
        <v>52</v>
      </c>
      <c r="K1271">
        <v>26</v>
      </c>
      <c r="L1271">
        <v>2317</v>
      </c>
      <c r="M1271">
        <v>4</v>
      </c>
      <c r="N1271">
        <v>920</v>
      </c>
      <c r="O1271">
        <v>3</v>
      </c>
      <c r="P1271">
        <v>3</v>
      </c>
      <c r="Q1271">
        <v>0</v>
      </c>
      <c r="R1271">
        <v>0</v>
      </c>
      <c r="S1271">
        <v>1</v>
      </c>
      <c r="T1271">
        <v>18</v>
      </c>
      <c r="U1271">
        <v>8</v>
      </c>
      <c r="V1271">
        <v>2</v>
      </c>
      <c r="W1271">
        <v>40</v>
      </c>
      <c r="X1271">
        <v>2</v>
      </c>
      <c r="Y1271">
        <v>0</v>
      </c>
      <c r="Z1271">
        <v>0</v>
      </c>
      <c r="AA1271">
        <v>4</v>
      </c>
      <c r="AB1271">
        <v>1</v>
      </c>
      <c r="AC1271">
        <v>0</v>
      </c>
      <c r="AD1271">
        <v>0</v>
      </c>
      <c r="AE1271">
        <v>92</v>
      </c>
      <c r="AF1271">
        <v>17</v>
      </c>
      <c r="AG1271">
        <v>29</v>
      </c>
      <c r="AH1271">
        <v>18</v>
      </c>
      <c r="AI1271">
        <v>1</v>
      </c>
      <c r="AJ1271">
        <v>53</v>
      </c>
      <c r="AK1271">
        <v>0</v>
      </c>
      <c r="AL1271">
        <v>0</v>
      </c>
      <c r="AM1271">
        <v>68</v>
      </c>
      <c r="AN1271">
        <v>20</v>
      </c>
      <c r="AO1271">
        <v>22</v>
      </c>
      <c r="AQ1271" t="str">
        <f t="shared" si="19"/>
        <v>Defensive Forward</v>
      </c>
    </row>
    <row r="1272" spans="1:43" x14ac:dyDescent="0.35">
      <c r="A1272" t="s">
        <v>756</v>
      </c>
      <c r="B1272" t="s">
        <v>39</v>
      </c>
      <c r="C1272" t="s">
        <v>2138</v>
      </c>
      <c r="D1272">
        <v>1988</v>
      </c>
      <c r="E1272">
        <v>26</v>
      </c>
      <c r="F1272" t="s">
        <v>54</v>
      </c>
      <c r="G1272" t="s">
        <v>260</v>
      </c>
      <c r="H1272">
        <v>17100000</v>
      </c>
      <c r="I1272">
        <v>15300000</v>
      </c>
      <c r="J1272" t="s">
        <v>52</v>
      </c>
      <c r="K1272">
        <v>35</v>
      </c>
      <c r="L1272">
        <v>3150</v>
      </c>
      <c r="M1272">
        <v>5</v>
      </c>
      <c r="N1272">
        <v>1116</v>
      </c>
      <c r="O1272">
        <v>0</v>
      </c>
      <c r="P1272">
        <v>7</v>
      </c>
      <c r="Q1272">
        <v>0</v>
      </c>
      <c r="R1272">
        <v>0</v>
      </c>
      <c r="S1272">
        <v>0</v>
      </c>
      <c r="T1272">
        <v>29</v>
      </c>
      <c r="U1272">
        <v>11</v>
      </c>
      <c r="V1272">
        <v>1</v>
      </c>
      <c r="W1272">
        <v>102</v>
      </c>
      <c r="X1272">
        <v>3</v>
      </c>
      <c r="Y1272">
        <v>0</v>
      </c>
      <c r="Z1272">
        <v>0</v>
      </c>
      <c r="AA1272">
        <v>5</v>
      </c>
      <c r="AB1272">
        <v>0</v>
      </c>
      <c r="AC1272">
        <v>0</v>
      </c>
      <c r="AD1272">
        <v>0</v>
      </c>
      <c r="AE1272">
        <v>5</v>
      </c>
      <c r="AF1272">
        <v>45</v>
      </c>
      <c r="AG1272">
        <v>62</v>
      </c>
      <c r="AH1272">
        <v>20</v>
      </c>
      <c r="AI1272">
        <v>1</v>
      </c>
      <c r="AJ1272">
        <v>35</v>
      </c>
      <c r="AK1272">
        <v>0</v>
      </c>
      <c r="AL1272">
        <v>0</v>
      </c>
      <c r="AM1272">
        <v>179</v>
      </c>
      <c r="AN1272">
        <v>115</v>
      </c>
      <c r="AO1272">
        <v>75</v>
      </c>
      <c r="AQ1272" t="str">
        <f t="shared" si="19"/>
        <v>Defensive Forward</v>
      </c>
    </row>
    <row r="1273" spans="1:43" x14ac:dyDescent="0.35">
      <c r="A1273" t="s">
        <v>756</v>
      </c>
      <c r="B1273" t="s">
        <v>46</v>
      </c>
      <c r="C1273" t="s">
        <v>2139</v>
      </c>
      <c r="D1273">
        <v>1988</v>
      </c>
      <c r="E1273">
        <v>29</v>
      </c>
      <c r="F1273" t="s">
        <v>54</v>
      </c>
      <c r="G1273" t="s">
        <v>260</v>
      </c>
      <c r="H1273">
        <v>10800000</v>
      </c>
      <c r="I1273">
        <v>13500000</v>
      </c>
      <c r="J1273" t="s">
        <v>52</v>
      </c>
      <c r="K1273">
        <v>29</v>
      </c>
      <c r="L1273">
        <v>2560</v>
      </c>
      <c r="M1273">
        <v>2</v>
      </c>
      <c r="N1273">
        <v>1194</v>
      </c>
      <c r="O1273">
        <v>2</v>
      </c>
      <c r="P1273">
        <v>0</v>
      </c>
      <c r="Q1273">
        <v>0</v>
      </c>
      <c r="R1273">
        <v>0</v>
      </c>
      <c r="S1273">
        <v>2</v>
      </c>
      <c r="T1273">
        <v>15</v>
      </c>
      <c r="U1273">
        <v>7</v>
      </c>
      <c r="V1273">
        <v>0</v>
      </c>
      <c r="W1273">
        <v>43</v>
      </c>
      <c r="X1273">
        <v>1</v>
      </c>
      <c r="Y1273">
        <v>0</v>
      </c>
      <c r="Z1273">
        <v>0</v>
      </c>
      <c r="AA1273">
        <v>3</v>
      </c>
      <c r="AB1273">
        <v>0</v>
      </c>
      <c r="AC1273">
        <v>8</v>
      </c>
      <c r="AD1273">
        <v>0</v>
      </c>
      <c r="AE1273">
        <v>81</v>
      </c>
      <c r="AF1273">
        <v>5</v>
      </c>
      <c r="AG1273">
        <v>27</v>
      </c>
      <c r="AH1273">
        <v>22</v>
      </c>
      <c r="AI1273">
        <v>1</v>
      </c>
      <c r="AJ1273">
        <v>44</v>
      </c>
      <c r="AK1273">
        <v>0</v>
      </c>
      <c r="AL1273">
        <v>1</v>
      </c>
      <c r="AM1273">
        <v>74</v>
      </c>
      <c r="AN1273">
        <v>46</v>
      </c>
      <c r="AO1273">
        <v>31</v>
      </c>
      <c r="AQ1273" t="str">
        <f t="shared" si="19"/>
        <v>Defensive Forward</v>
      </c>
    </row>
    <row r="1274" spans="1:43" x14ac:dyDescent="0.35">
      <c r="A1274" t="s">
        <v>756</v>
      </c>
      <c r="B1274" t="s">
        <v>43</v>
      </c>
      <c r="C1274" t="s">
        <v>2140</v>
      </c>
      <c r="D1274">
        <v>1988</v>
      </c>
      <c r="E1274">
        <v>29</v>
      </c>
      <c r="F1274" t="s">
        <v>54</v>
      </c>
      <c r="G1274" t="s">
        <v>260</v>
      </c>
      <c r="H1274">
        <v>15300000</v>
      </c>
      <c r="I1274">
        <v>10800000</v>
      </c>
      <c r="J1274" t="s">
        <v>52</v>
      </c>
      <c r="K1274">
        <v>12</v>
      </c>
      <c r="L1274">
        <v>1035</v>
      </c>
      <c r="M1274">
        <v>0</v>
      </c>
      <c r="N1274">
        <v>357</v>
      </c>
      <c r="O1274">
        <v>1</v>
      </c>
      <c r="P1274">
        <v>0</v>
      </c>
      <c r="Q1274">
        <v>0</v>
      </c>
      <c r="R1274">
        <v>0</v>
      </c>
      <c r="S1274">
        <v>1</v>
      </c>
      <c r="T1274">
        <v>2</v>
      </c>
      <c r="U1274">
        <v>2</v>
      </c>
      <c r="V1274">
        <v>1</v>
      </c>
      <c r="W1274">
        <v>16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28</v>
      </c>
      <c r="AF1274">
        <v>12</v>
      </c>
      <c r="AG1274">
        <v>10</v>
      </c>
      <c r="AH1274">
        <v>3</v>
      </c>
      <c r="AI1274">
        <v>0</v>
      </c>
      <c r="AJ1274">
        <v>14</v>
      </c>
      <c r="AK1274">
        <v>1</v>
      </c>
      <c r="AL1274">
        <v>0</v>
      </c>
      <c r="AM1274">
        <v>23</v>
      </c>
      <c r="AN1274">
        <v>14</v>
      </c>
      <c r="AO1274">
        <v>11</v>
      </c>
      <c r="AQ1274" t="str">
        <f t="shared" si="19"/>
        <v>Defensive Forward</v>
      </c>
    </row>
    <row r="1275" spans="1:43" x14ac:dyDescent="0.35">
      <c r="A1275" t="s">
        <v>757</v>
      </c>
      <c r="B1275" t="s">
        <v>46</v>
      </c>
      <c r="C1275" t="s">
        <v>2141</v>
      </c>
      <c r="D1275">
        <v>1991</v>
      </c>
      <c r="E1275">
        <v>27</v>
      </c>
      <c r="F1275" t="s">
        <v>169</v>
      </c>
      <c r="G1275" t="s">
        <v>51</v>
      </c>
      <c r="H1275">
        <v>4500000</v>
      </c>
      <c r="I1275">
        <v>4500000</v>
      </c>
      <c r="J1275" t="s">
        <v>52</v>
      </c>
      <c r="K1275">
        <v>34</v>
      </c>
      <c r="L1275">
        <v>3040</v>
      </c>
      <c r="M1275">
        <v>1</v>
      </c>
      <c r="N1275">
        <v>737</v>
      </c>
      <c r="O1275">
        <v>3</v>
      </c>
      <c r="P1275">
        <v>6</v>
      </c>
      <c r="Q1275">
        <v>0</v>
      </c>
      <c r="R1275">
        <v>0</v>
      </c>
      <c r="S1275">
        <v>1</v>
      </c>
      <c r="T1275">
        <v>34</v>
      </c>
      <c r="U1275">
        <v>10</v>
      </c>
      <c r="V1275">
        <v>1</v>
      </c>
      <c r="W1275">
        <v>104</v>
      </c>
      <c r="X1275">
        <v>1</v>
      </c>
      <c r="Y1275">
        <v>0</v>
      </c>
      <c r="Z1275">
        <v>0</v>
      </c>
      <c r="AA1275">
        <v>9</v>
      </c>
      <c r="AB1275">
        <v>0</v>
      </c>
      <c r="AC1275">
        <v>24</v>
      </c>
      <c r="AD1275">
        <v>0</v>
      </c>
      <c r="AE1275">
        <v>5</v>
      </c>
      <c r="AF1275">
        <v>30</v>
      </c>
      <c r="AG1275">
        <v>52</v>
      </c>
      <c r="AH1275">
        <v>32</v>
      </c>
      <c r="AI1275">
        <v>0</v>
      </c>
      <c r="AJ1275">
        <v>35</v>
      </c>
      <c r="AK1275">
        <v>1</v>
      </c>
      <c r="AL1275">
        <v>0</v>
      </c>
      <c r="AM1275">
        <v>200</v>
      </c>
      <c r="AN1275">
        <v>226</v>
      </c>
      <c r="AO1275">
        <v>116</v>
      </c>
      <c r="AQ1275" t="str">
        <f t="shared" si="19"/>
        <v>Defensive Forward</v>
      </c>
    </row>
    <row r="1276" spans="1:43" x14ac:dyDescent="0.35">
      <c r="A1276" t="s">
        <v>758</v>
      </c>
      <c r="B1276" t="s">
        <v>39</v>
      </c>
      <c r="C1276" t="s">
        <v>2142</v>
      </c>
      <c r="D1276">
        <v>1990</v>
      </c>
      <c r="E1276">
        <v>24</v>
      </c>
      <c r="F1276" t="s">
        <v>78</v>
      </c>
      <c r="G1276" t="s">
        <v>72</v>
      </c>
      <c r="H1276">
        <v>2250000</v>
      </c>
      <c r="I1276">
        <v>4500000</v>
      </c>
      <c r="J1276" t="s">
        <v>52</v>
      </c>
      <c r="K1276">
        <v>27</v>
      </c>
      <c r="L1276">
        <v>1596</v>
      </c>
      <c r="M1276">
        <v>2</v>
      </c>
      <c r="N1276">
        <v>345</v>
      </c>
      <c r="O1276">
        <v>0</v>
      </c>
      <c r="P1276">
        <v>0</v>
      </c>
      <c r="Q1276">
        <v>0</v>
      </c>
      <c r="R1276">
        <v>8</v>
      </c>
      <c r="S1276">
        <v>10</v>
      </c>
      <c r="T1276">
        <v>17</v>
      </c>
      <c r="U1276">
        <v>7</v>
      </c>
      <c r="V1276">
        <v>0</v>
      </c>
      <c r="W1276">
        <v>3</v>
      </c>
      <c r="X1276">
        <v>0</v>
      </c>
      <c r="Y1276">
        <v>1</v>
      </c>
      <c r="Z1276">
        <v>0</v>
      </c>
      <c r="AA1276">
        <v>9</v>
      </c>
      <c r="AB1276">
        <v>1</v>
      </c>
      <c r="AC1276">
        <v>2</v>
      </c>
      <c r="AD1276">
        <v>0</v>
      </c>
      <c r="AE1276">
        <v>24</v>
      </c>
      <c r="AF1276">
        <v>0</v>
      </c>
      <c r="AG1276">
        <v>9</v>
      </c>
      <c r="AH1276">
        <v>5</v>
      </c>
      <c r="AI1276">
        <v>0</v>
      </c>
      <c r="AJ1276">
        <v>13</v>
      </c>
      <c r="AK1276">
        <v>0</v>
      </c>
      <c r="AL1276">
        <v>0</v>
      </c>
      <c r="AM1276">
        <v>4</v>
      </c>
      <c r="AN1276">
        <v>7</v>
      </c>
      <c r="AO1276">
        <v>22</v>
      </c>
      <c r="AQ1276" t="str">
        <f t="shared" si="19"/>
        <v>Defensive Forward</v>
      </c>
    </row>
    <row r="1277" spans="1:43" x14ac:dyDescent="0.35">
      <c r="A1277" t="s">
        <v>759</v>
      </c>
      <c r="B1277" t="s">
        <v>47</v>
      </c>
      <c r="C1277" t="s">
        <v>2143</v>
      </c>
      <c r="D1277">
        <v>1985</v>
      </c>
      <c r="E1277">
        <v>31</v>
      </c>
      <c r="F1277" t="s">
        <v>78</v>
      </c>
      <c r="G1277" t="s">
        <v>484</v>
      </c>
      <c r="H1277">
        <v>2750000</v>
      </c>
      <c r="I1277">
        <v>2750000</v>
      </c>
      <c r="J1277" t="s">
        <v>52</v>
      </c>
      <c r="K1277">
        <v>21</v>
      </c>
      <c r="L1277">
        <v>1471</v>
      </c>
      <c r="M1277">
        <v>0</v>
      </c>
      <c r="N1277">
        <v>642</v>
      </c>
      <c r="O1277">
        <v>1</v>
      </c>
      <c r="P1277">
        <v>4</v>
      </c>
      <c r="Q1277">
        <v>0</v>
      </c>
      <c r="R1277">
        <v>4</v>
      </c>
      <c r="S1277">
        <v>5</v>
      </c>
      <c r="T1277">
        <v>16</v>
      </c>
      <c r="U1277">
        <v>3</v>
      </c>
      <c r="V1277">
        <v>0</v>
      </c>
      <c r="W1277">
        <v>12</v>
      </c>
      <c r="X1277">
        <v>0</v>
      </c>
      <c r="Y1277">
        <v>0</v>
      </c>
      <c r="Z1277">
        <v>0</v>
      </c>
      <c r="AA1277">
        <v>0</v>
      </c>
      <c r="AB1277">
        <v>2</v>
      </c>
      <c r="AC1277">
        <v>0</v>
      </c>
      <c r="AD1277">
        <v>43</v>
      </c>
      <c r="AE1277">
        <v>71</v>
      </c>
      <c r="AF1277">
        <v>9</v>
      </c>
      <c r="AG1277">
        <v>13</v>
      </c>
      <c r="AH1277">
        <v>30</v>
      </c>
      <c r="AI1277">
        <v>0</v>
      </c>
      <c r="AJ1277">
        <v>37</v>
      </c>
      <c r="AK1277">
        <v>0</v>
      </c>
      <c r="AL1277">
        <v>0</v>
      </c>
      <c r="AM1277">
        <v>32</v>
      </c>
      <c r="AN1277">
        <v>14</v>
      </c>
      <c r="AO1277">
        <v>13</v>
      </c>
      <c r="AQ1277" t="str">
        <f t="shared" si="19"/>
        <v>Defensive Forward</v>
      </c>
    </row>
    <row r="1278" spans="1:43" x14ac:dyDescent="0.35">
      <c r="A1278" t="s">
        <v>759</v>
      </c>
      <c r="B1278" t="s">
        <v>39</v>
      </c>
      <c r="C1278" t="s">
        <v>2144</v>
      </c>
      <c r="D1278">
        <v>1985</v>
      </c>
      <c r="E1278">
        <v>30</v>
      </c>
      <c r="F1278" t="s">
        <v>78</v>
      </c>
      <c r="G1278" t="s">
        <v>484</v>
      </c>
      <c r="H1278">
        <v>31500000</v>
      </c>
      <c r="I1278">
        <v>2250000</v>
      </c>
      <c r="J1278" t="s">
        <v>52</v>
      </c>
      <c r="K1278">
        <v>16</v>
      </c>
      <c r="L1278">
        <v>1229</v>
      </c>
      <c r="M1278">
        <v>0</v>
      </c>
      <c r="N1278">
        <v>379</v>
      </c>
      <c r="O1278">
        <v>0</v>
      </c>
      <c r="P1278">
        <v>4</v>
      </c>
      <c r="Q1278">
        <v>0</v>
      </c>
      <c r="R1278">
        <v>2</v>
      </c>
      <c r="S1278">
        <v>2</v>
      </c>
      <c r="T1278">
        <v>6</v>
      </c>
      <c r="U1278">
        <v>2</v>
      </c>
      <c r="V1278">
        <v>0</v>
      </c>
      <c r="W1278">
        <v>46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2</v>
      </c>
      <c r="AF1278">
        <v>9</v>
      </c>
      <c r="AG1278">
        <v>41</v>
      </c>
      <c r="AH1278">
        <v>17</v>
      </c>
      <c r="AI1278">
        <v>0</v>
      </c>
      <c r="AJ1278">
        <v>45</v>
      </c>
      <c r="AK1278">
        <v>0</v>
      </c>
      <c r="AL1278">
        <v>1</v>
      </c>
      <c r="AM1278">
        <v>90</v>
      </c>
      <c r="AN1278">
        <v>27</v>
      </c>
      <c r="AO1278">
        <v>20</v>
      </c>
      <c r="AQ1278" t="str">
        <f t="shared" si="19"/>
        <v>Defensive Forward</v>
      </c>
    </row>
    <row r="1279" spans="1:43" x14ac:dyDescent="0.35">
      <c r="A1279" t="s">
        <v>760</v>
      </c>
      <c r="B1279" t="s">
        <v>47</v>
      </c>
      <c r="C1279" t="s">
        <v>2145</v>
      </c>
      <c r="D1279">
        <v>1987</v>
      </c>
      <c r="E1279">
        <v>29</v>
      </c>
      <c r="F1279" t="s">
        <v>66</v>
      </c>
      <c r="G1279" t="s">
        <v>112</v>
      </c>
      <c r="H1279">
        <v>2700000</v>
      </c>
      <c r="I1279">
        <v>3600000</v>
      </c>
      <c r="J1279" t="s">
        <v>55</v>
      </c>
      <c r="K1279">
        <v>33</v>
      </c>
      <c r="L1279">
        <v>2771</v>
      </c>
      <c r="M1279">
        <v>1</v>
      </c>
      <c r="N1279">
        <v>1070</v>
      </c>
      <c r="O1279">
        <v>1</v>
      </c>
      <c r="P1279">
        <v>10</v>
      </c>
      <c r="Q1279">
        <v>0</v>
      </c>
      <c r="R1279">
        <v>0</v>
      </c>
      <c r="S1279">
        <v>4</v>
      </c>
      <c r="T1279">
        <v>22</v>
      </c>
      <c r="U1279">
        <v>7</v>
      </c>
      <c r="V1279">
        <v>1</v>
      </c>
      <c r="W1279">
        <v>90</v>
      </c>
      <c r="X1279">
        <v>1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3</v>
      </c>
      <c r="AF1279">
        <v>32</v>
      </c>
      <c r="AG1279">
        <v>52</v>
      </c>
      <c r="AH1279">
        <v>44</v>
      </c>
      <c r="AI1279">
        <v>0</v>
      </c>
      <c r="AJ1279">
        <v>36</v>
      </c>
      <c r="AK1279">
        <v>2</v>
      </c>
      <c r="AL1279">
        <v>0</v>
      </c>
      <c r="AM1279">
        <v>183</v>
      </c>
      <c r="AN1279">
        <v>62</v>
      </c>
      <c r="AO1279">
        <v>36</v>
      </c>
      <c r="AQ1279" t="str">
        <f t="shared" si="19"/>
        <v>Midfielder</v>
      </c>
    </row>
    <row r="1280" spans="1:43" x14ac:dyDescent="0.35">
      <c r="A1280" t="s">
        <v>760</v>
      </c>
      <c r="B1280" t="s">
        <v>39</v>
      </c>
      <c r="C1280" t="s">
        <v>2146</v>
      </c>
      <c r="D1280">
        <v>1987</v>
      </c>
      <c r="E1280">
        <v>28</v>
      </c>
      <c r="F1280" t="s">
        <v>66</v>
      </c>
      <c r="G1280" t="s">
        <v>484</v>
      </c>
      <c r="H1280">
        <v>4400000</v>
      </c>
      <c r="I1280">
        <v>4400000</v>
      </c>
      <c r="J1280" t="s">
        <v>55</v>
      </c>
      <c r="K1280">
        <v>18</v>
      </c>
      <c r="L1280">
        <v>547</v>
      </c>
      <c r="M1280">
        <v>0</v>
      </c>
      <c r="N1280">
        <v>236</v>
      </c>
      <c r="O1280">
        <v>1</v>
      </c>
      <c r="P1280">
        <v>2</v>
      </c>
      <c r="Q1280">
        <v>0</v>
      </c>
      <c r="R1280">
        <v>12</v>
      </c>
      <c r="S1280">
        <v>5</v>
      </c>
      <c r="T1280">
        <v>7</v>
      </c>
      <c r="U1280">
        <v>1</v>
      </c>
      <c r="V1280">
        <v>0</v>
      </c>
      <c r="W1280">
        <v>1</v>
      </c>
      <c r="X1280">
        <v>0</v>
      </c>
      <c r="Y1280">
        <v>0</v>
      </c>
      <c r="Z1280">
        <v>0</v>
      </c>
      <c r="AA1280">
        <v>0</v>
      </c>
      <c r="AB1280">
        <v>1</v>
      </c>
      <c r="AC1280">
        <v>0</v>
      </c>
      <c r="AD1280">
        <v>14</v>
      </c>
      <c r="AE1280">
        <v>25</v>
      </c>
      <c r="AF1280">
        <v>0</v>
      </c>
      <c r="AG1280">
        <v>10</v>
      </c>
      <c r="AH1280">
        <v>9</v>
      </c>
      <c r="AI1280">
        <v>0</v>
      </c>
      <c r="AJ1280">
        <v>12</v>
      </c>
      <c r="AK1280">
        <v>0</v>
      </c>
      <c r="AL1280">
        <v>0</v>
      </c>
      <c r="AM1280">
        <v>11</v>
      </c>
      <c r="AN1280">
        <v>6</v>
      </c>
      <c r="AO1280">
        <v>7</v>
      </c>
      <c r="AQ1280" t="str">
        <f t="shared" si="19"/>
        <v>Midfielder</v>
      </c>
    </row>
    <row r="1281" spans="1:43" x14ac:dyDescent="0.35">
      <c r="A1281" t="s">
        <v>760</v>
      </c>
      <c r="B1281" t="s">
        <v>43</v>
      </c>
      <c r="C1281" t="s">
        <v>2147</v>
      </c>
      <c r="D1281">
        <v>1987</v>
      </c>
      <c r="E1281">
        <v>30</v>
      </c>
      <c r="F1281" t="s">
        <v>66</v>
      </c>
      <c r="G1281" t="s">
        <v>112</v>
      </c>
      <c r="H1281">
        <v>4400000</v>
      </c>
      <c r="I1281">
        <v>4400000</v>
      </c>
      <c r="J1281" t="s">
        <v>52</v>
      </c>
      <c r="K1281">
        <v>21</v>
      </c>
      <c r="L1281">
        <v>1568</v>
      </c>
      <c r="M1281">
        <v>0</v>
      </c>
      <c r="N1281">
        <v>568</v>
      </c>
      <c r="O1281">
        <v>0</v>
      </c>
      <c r="P1281">
        <v>5</v>
      </c>
      <c r="Q1281">
        <v>0</v>
      </c>
      <c r="R1281">
        <v>4</v>
      </c>
      <c r="S1281">
        <v>2</v>
      </c>
      <c r="T1281">
        <v>1</v>
      </c>
      <c r="U1281">
        <v>1</v>
      </c>
      <c r="V1281">
        <v>0</v>
      </c>
      <c r="W1281">
        <v>36</v>
      </c>
      <c r="X1281">
        <v>0</v>
      </c>
      <c r="Y1281">
        <v>0</v>
      </c>
      <c r="Z1281">
        <v>0</v>
      </c>
      <c r="AA1281">
        <v>2</v>
      </c>
      <c r="AB1281">
        <v>0</v>
      </c>
      <c r="AC1281">
        <v>0</v>
      </c>
      <c r="AD1281">
        <v>0</v>
      </c>
      <c r="AE1281">
        <v>1</v>
      </c>
      <c r="AF1281">
        <v>9</v>
      </c>
      <c r="AG1281">
        <v>31</v>
      </c>
      <c r="AH1281">
        <v>21</v>
      </c>
      <c r="AI1281">
        <v>0</v>
      </c>
      <c r="AJ1281">
        <v>22</v>
      </c>
      <c r="AK1281">
        <v>0</v>
      </c>
      <c r="AL1281">
        <v>0</v>
      </c>
      <c r="AM1281">
        <v>89</v>
      </c>
      <c r="AN1281">
        <v>45</v>
      </c>
      <c r="AO1281">
        <v>28</v>
      </c>
      <c r="AQ1281" t="str">
        <f t="shared" si="19"/>
        <v>Defensive Forward</v>
      </c>
    </row>
    <row r="1282" spans="1:43" x14ac:dyDescent="0.35">
      <c r="A1282" t="s">
        <v>761</v>
      </c>
      <c r="B1282" t="s">
        <v>39</v>
      </c>
      <c r="C1282" t="s">
        <v>2148</v>
      </c>
      <c r="D1282">
        <v>1986</v>
      </c>
      <c r="E1282">
        <v>29</v>
      </c>
      <c r="F1282" t="s">
        <v>123</v>
      </c>
      <c r="G1282" t="s">
        <v>112</v>
      </c>
      <c r="H1282">
        <v>2700000</v>
      </c>
      <c r="I1282">
        <v>2700000</v>
      </c>
      <c r="J1282" t="s">
        <v>52</v>
      </c>
      <c r="K1282">
        <v>21</v>
      </c>
      <c r="L1282">
        <v>1776</v>
      </c>
      <c r="M1282">
        <v>2</v>
      </c>
      <c r="N1282">
        <v>509</v>
      </c>
      <c r="O1282">
        <v>0</v>
      </c>
      <c r="P1282">
        <v>5</v>
      </c>
      <c r="Q1282">
        <v>0</v>
      </c>
      <c r="R1282">
        <v>2</v>
      </c>
      <c r="S1282">
        <v>0</v>
      </c>
      <c r="T1282">
        <v>13</v>
      </c>
      <c r="U1282">
        <v>0</v>
      </c>
      <c r="V1282">
        <v>0</v>
      </c>
      <c r="W1282">
        <v>30</v>
      </c>
      <c r="X1282">
        <v>1</v>
      </c>
      <c r="Y1282">
        <v>0</v>
      </c>
      <c r="Z1282">
        <v>0</v>
      </c>
      <c r="AA1282">
        <v>0</v>
      </c>
      <c r="AB1282">
        <v>0</v>
      </c>
      <c r="AC1282">
        <v>1</v>
      </c>
      <c r="AD1282">
        <v>0</v>
      </c>
      <c r="AE1282">
        <v>1</v>
      </c>
      <c r="AF1282">
        <v>14</v>
      </c>
      <c r="AG1282">
        <v>64</v>
      </c>
      <c r="AH1282">
        <v>23</v>
      </c>
      <c r="AI1282">
        <v>0</v>
      </c>
      <c r="AJ1282">
        <v>23</v>
      </c>
      <c r="AK1282">
        <v>0</v>
      </c>
      <c r="AL1282">
        <v>0</v>
      </c>
      <c r="AM1282">
        <v>93</v>
      </c>
      <c r="AN1282">
        <v>29</v>
      </c>
      <c r="AO1282">
        <v>24</v>
      </c>
      <c r="AQ1282" t="str">
        <f t="shared" ref="AQ1282:AQ1345" si="20">IF(J1282 = "FW", REPLACE(J1282,1,2,"Forward"),IF(J1282 = "DF", "Defensive Forward", "Midfielder"))</f>
        <v>Defensive Forward</v>
      </c>
    </row>
    <row r="1283" spans="1:43" x14ac:dyDescent="0.35">
      <c r="A1283" t="s">
        <v>762</v>
      </c>
      <c r="B1283" t="s">
        <v>43</v>
      </c>
      <c r="C1283" t="s">
        <v>2149</v>
      </c>
      <c r="D1283">
        <v>1992</v>
      </c>
      <c r="E1283">
        <v>25</v>
      </c>
      <c r="F1283" t="s">
        <v>191</v>
      </c>
      <c r="G1283" t="s">
        <v>172</v>
      </c>
      <c r="H1283">
        <v>16500000</v>
      </c>
      <c r="I1283">
        <v>22000000</v>
      </c>
      <c r="J1283" t="s">
        <v>52</v>
      </c>
      <c r="K1283">
        <v>17</v>
      </c>
      <c r="L1283">
        <v>1429</v>
      </c>
      <c r="M1283">
        <v>2</v>
      </c>
      <c r="N1283">
        <v>776</v>
      </c>
      <c r="O1283">
        <v>2</v>
      </c>
      <c r="P1283">
        <v>1</v>
      </c>
      <c r="Q1283">
        <v>1</v>
      </c>
      <c r="R1283">
        <v>1</v>
      </c>
      <c r="S1283">
        <v>1</v>
      </c>
      <c r="T1283">
        <v>15</v>
      </c>
      <c r="U1283">
        <v>6</v>
      </c>
      <c r="V1283">
        <v>0</v>
      </c>
      <c r="W1283">
        <v>33</v>
      </c>
      <c r="X1283">
        <v>1</v>
      </c>
      <c r="Y1283">
        <v>0</v>
      </c>
      <c r="Z1283">
        <v>0</v>
      </c>
      <c r="AA1283">
        <v>2</v>
      </c>
      <c r="AB1283">
        <v>1</v>
      </c>
      <c r="AC1283">
        <v>9</v>
      </c>
      <c r="AD1283">
        <v>0</v>
      </c>
      <c r="AE1283">
        <v>68</v>
      </c>
      <c r="AF1283">
        <v>1</v>
      </c>
      <c r="AG1283">
        <v>31</v>
      </c>
      <c r="AH1283">
        <v>21</v>
      </c>
      <c r="AI1283">
        <v>1</v>
      </c>
      <c r="AJ1283">
        <v>48</v>
      </c>
      <c r="AK1283">
        <v>0</v>
      </c>
      <c r="AL1283">
        <v>0</v>
      </c>
      <c r="AM1283">
        <v>48</v>
      </c>
      <c r="AN1283">
        <v>48</v>
      </c>
      <c r="AO1283">
        <v>29</v>
      </c>
      <c r="AQ1283" t="str">
        <f t="shared" si="20"/>
        <v>Defensive Forward</v>
      </c>
    </row>
    <row r="1284" spans="1:43" x14ac:dyDescent="0.35">
      <c r="A1284" t="s">
        <v>763</v>
      </c>
      <c r="B1284" t="s">
        <v>39</v>
      </c>
      <c r="C1284" t="s">
        <v>2150</v>
      </c>
      <c r="D1284">
        <v>1988</v>
      </c>
      <c r="E1284">
        <v>27</v>
      </c>
      <c r="F1284" t="s">
        <v>114</v>
      </c>
      <c r="G1284" t="s">
        <v>262</v>
      </c>
      <c r="H1284">
        <v>50000000</v>
      </c>
      <c r="I1284">
        <v>54000000</v>
      </c>
      <c r="J1284" t="s">
        <v>42</v>
      </c>
      <c r="K1284">
        <v>30</v>
      </c>
      <c r="L1284">
        <v>2373</v>
      </c>
      <c r="M1284">
        <v>24</v>
      </c>
      <c r="N1284">
        <v>727</v>
      </c>
      <c r="O1284">
        <v>2</v>
      </c>
      <c r="P1284">
        <v>1</v>
      </c>
      <c r="Q1284">
        <v>0</v>
      </c>
      <c r="R1284">
        <v>1</v>
      </c>
      <c r="S1284">
        <v>16</v>
      </c>
      <c r="T1284">
        <v>119</v>
      </c>
      <c r="U1284">
        <v>52</v>
      </c>
      <c r="V1284">
        <v>4</v>
      </c>
      <c r="W1284">
        <v>0</v>
      </c>
      <c r="X1284">
        <v>5</v>
      </c>
      <c r="Y1284">
        <v>4</v>
      </c>
      <c r="Z1284">
        <v>0</v>
      </c>
      <c r="AA1284">
        <v>27</v>
      </c>
      <c r="AB1284">
        <v>6</v>
      </c>
      <c r="AC1284">
        <v>16</v>
      </c>
      <c r="AD1284">
        <v>0</v>
      </c>
      <c r="AE1284">
        <v>20</v>
      </c>
      <c r="AF1284">
        <v>1</v>
      </c>
      <c r="AG1284">
        <v>6</v>
      </c>
      <c r="AH1284">
        <v>20</v>
      </c>
      <c r="AI1284">
        <v>0</v>
      </c>
      <c r="AJ1284">
        <v>15</v>
      </c>
      <c r="AK1284">
        <v>0</v>
      </c>
      <c r="AL1284">
        <v>0</v>
      </c>
      <c r="AM1284">
        <v>0</v>
      </c>
      <c r="AN1284">
        <v>9</v>
      </c>
      <c r="AO1284">
        <v>20</v>
      </c>
      <c r="AQ1284" t="str">
        <f t="shared" si="20"/>
        <v>Forward</v>
      </c>
    </row>
    <row r="1285" spans="1:43" x14ac:dyDescent="0.35">
      <c r="A1285" t="s">
        <v>763</v>
      </c>
      <c r="B1285" t="s">
        <v>47</v>
      </c>
      <c r="C1285" t="s">
        <v>2151</v>
      </c>
      <c r="D1285">
        <v>1988</v>
      </c>
      <c r="E1285">
        <v>28</v>
      </c>
      <c r="F1285" t="s">
        <v>114</v>
      </c>
      <c r="G1285" t="s">
        <v>262</v>
      </c>
      <c r="H1285">
        <v>54000000</v>
      </c>
      <c r="I1285">
        <v>58500000</v>
      </c>
      <c r="J1285" t="s">
        <v>42</v>
      </c>
      <c r="K1285">
        <v>31</v>
      </c>
      <c r="L1285">
        <v>2403</v>
      </c>
      <c r="M1285">
        <v>20</v>
      </c>
      <c r="N1285">
        <v>771</v>
      </c>
      <c r="O1285">
        <v>3</v>
      </c>
      <c r="P1285">
        <v>4</v>
      </c>
      <c r="Q1285">
        <v>1</v>
      </c>
      <c r="R1285">
        <v>6</v>
      </c>
      <c r="S1285">
        <v>8</v>
      </c>
      <c r="T1285">
        <v>139</v>
      </c>
      <c r="U1285">
        <v>53</v>
      </c>
      <c r="V1285">
        <v>2</v>
      </c>
      <c r="W1285">
        <v>1</v>
      </c>
      <c r="X1285">
        <v>2</v>
      </c>
      <c r="Y1285">
        <v>4</v>
      </c>
      <c r="Z1285">
        <v>0</v>
      </c>
      <c r="AA1285">
        <v>23</v>
      </c>
      <c r="AB1285">
        <v>4</v>
      </c>
      <c r="AC1285">
        <v>13</v>
      </c>
      <c r="AD1285">
        <v>0</v>
      </c>
      <c r="AE1285">
        <v>17</v>
      </c>
      <c r="AF1285">
        <v>1</v>
      </c>
      <c r="AG1285">
        <v>3</v>
      </c>
      <c r="AH1285">
        <v>23</v>
      </c>
      <c r="AI1285">
        <v>0</v>
      </c>
      <c r="AJ1285">
        <v>18</v>
      </c>
      <c r="AK1285">
        <v>0</v>
      </c>
      <c r="AL1285">
        <v>0</v>
      </c>
      <c r="AM1285">
        <v>1</v>
      </c>
      <c r="AN1285">
        <v>7</v>
      </c>
      <c r="AO1285">
        <v>30</v>
      </c>
      <c r="AQ1285" t="str">
        <f t="shared" si="20"/>
        <v>Forward</v>
      </c>
    </row>
    <row r="1286" spans="1:43" x14ac:dyDescent="0.35">
      <c r="A1286" t="s">
        <v>763</v>
      </c>
      <c r="B1286" t="s">
        <v>43</v>
      </c>
      <c r="C1286" t="s">
        <v>2152</v>
      </c>
      <c r="D1286">
        <v>1988</v>
      </c>
      <c r="E1286">
        <v>29</v>
      </c>
      <c r="F1286" t="s">
        <v>114</v>
      </c>
      <c r="G1286" t="s">
        <v>262</v>
      </c>
      <c r="H1286">
        <v>58500000</v>
      </c>
      <c r="I1286">
        <v>72000000</v>
      </c>
      <c r="J1286" t="s">
        <v>42</v>
      </c>
      <c r="K1286">
        <v>25</v>
      </c>
      <c r="L1286">
        <v>1969</v>
      </c>
      <c r="M1286">
        <v>21</v>
      </c>
      <c r="N1286">
        <v>628</v>
      </c>
      <c r="O1286">
        <v>6</v>
      </c>
      <c r="P1286">
        <v>2</v>
      </c>
      <c r="Q1286">
        <v>0</v>
      </c>
      <c r="R1286">
        <v>3</v>
      </c>
      <c r="S1286">
        <v>9</v>
      </c>
      <c r="T1286">
        <v>94</v>
      </c>
      <c r="U1286">
        <v>42</v>
      </c>
      <c r="V1286">
        <v>3</v>
      </c>
      <c r="W1286">
        <v>1</v>
      </c>
      <c r="X1286">
        <v>5</v>
      </c>
      <c r="Y1286">
        <v>4</v>
      </c>
      <c r="Z1286">
        <v>0</v>
      </c>
      <c r="AA1286">
        <v>16</v>
      </c>
      <c r="AB1286">
        <v>4</v>
      </c>
      <c r="AC1286">
        <v>52</v>
      </c>
      <c r="AD1286">
        <v>1</v>
      </c>
      <c r="AE1286">
        <v>16</v>
      </c>
      <c r="AF1286">
        <v>1</v>
      </c>
      <c r="AG1286">
        <v>6</v>
      </c>
      <c r="AH1286">
        <v>10</v>
      </c>
      <c r="AI1286">
        <v>0</v>
      </c>
      <c r="AJ1286">
        <v>9</v>
      </c>
      <c r="AK1286">
        <v>0</v>
      </c>
      <c r="AL1286">
        <v>0</v>
      </c>
      <c r="AM1286">
        <v>3</v>
      </c>
      <c r="AN1286">
        <v>10</v>
      </c>
      <c r="AO1286">
        <v>19</v>
      </c>
      <c r="AQ1286" t="str">
        <f t="shared" si="20"/>
        <v>Forward</v>
      </c>
    </row>
    <row r="1287" spans="1:43" x14ac:dyDescent="0.35">
      <c r="A1287" t="s">
        <v>763</v>
      </c>
      <c r="B1287" t="s">
        <v>46</v>
      </c>
      <c r="C1287" t="s">
        <v>2153</v>
      </c>
      <c r="D1287">
        <v>1988</v>
      </c>
      <c r="E1287">
        <v>30</v>
      </c>
      <c r="F1287" t="s">
        <v>114</v>
      </c>
      <c r="G1287" t="s">
        <v>262</v>
      </c>
      <c r="H1287">
        <v>72000000</v>
      </c>
      <c r="I1287">
        <v>58500000</v>
      </c>
      <c r="J1287" t="s">
        <v>42</v>
      </c>
      <c r="K1287">
        <v>33</v>
      </c>
      <c r="L1287">
        <v>2479</v>
      </c>
      <c r="M1287">
        <v>21</v>
      </c>
      <c r="N1287">
        <v>771</v>
      </c>
      <c r="O1287">
        <v>8</v>
      </c>
      <c r="P1287">
        <v>0</v>
      </c>
      <c r="Q1287">
        <v>0</v>
      </c>
      <c r="R1287">
        <v>2</v>
      </c>
      <c r="S1287">
        <v>23</v>
      </c>
      <c r="T1287">
        <v>118</v>
      </c>
      <c r="U1287">
        <v>43</v>
      </c>
      <c r="V1287">
        <v>8</v>
      </c>
      <c r="W1287">
        <v>0</v>
      </c>
      <c r="X1287">
        <v>2</v>
      </c>
      <c r="Y1287">
        <v>2</v>
      </c>
      <c r="Z1287">
        <v>0</v>
      </c>
      <c r="AA1287">
        <v>26</v>
      </c>
      <c r="AB1287">
        <v>6</v>
      </c>
      <c r="AC1287">
        <v>75</v>
      </c>
      <c r="AD1287">
        <v>1</v>
      </c>
      <c r="AE1287">
        <v>13</v>
      </c>
      <c r="AF1287">
        <v>1</v>
      </c>
      <c r="AG1287">
        <v>9</v>
      </c>
      <c r="AH1287">
        <v>21</v>
      </c>
      <c r="AI1287">
        <v>0</v>
      </c>
      <c r="AJ1287">
        <v>17</v>
      </c>
      <c r="AK1287">
        <v>0</v>
      </c>
      <c r="AL1287">
        <v>0</v>
      </c>
      <c r="AM1287">
        <v>3</v>
      </c>
      <c r="AN1287">
        <v>17</v>
      </c>
      <c r="AO1287">
        <v>22</v>
      </c>
      <c r="AQ1287" t="str">
        <f t="shared" si="20"/>
        <v>Forward</v>
      </c>
    </row>
    <row r="1288" spans="1:43" x14ac:dyDescent="0.35">
      <c r="A1288" t="s">
        <v>764</v>
      </c>
      <c r="B1288" t="s">
        <v>46</v>
      </c>
      <c r="C1288" t="s">
        <v>2154</v>
      </c>
      <c r="D1288">
        <v>1992</v>
      </c>
      <c r="E1288">
        <v>26</v>
      </c>
      <c r="F1288" t="s">
        <v>134</v>
      </c>
      <c r="G1288" t="s">
        <v>260</v>
      </c>
      <c r="H1288">
        <v>10800000</v>
      </c>
      <c r="I1288">
        <v>10800000</v>
      </c>
      <c r="J1288" t="s">
        <v>52</v>
      </c>
      <c r="K1288">
        <v>35</v>
      </c>
      <c r="L1288">
        <v>3088</v>
      </c>
      <c r="M1288">
        <v>5</v>
      </c>
      <c r="N1288">
        <v>1305</v>
      </c>
      <c r="O1288">
        <v>1</v>
      </c>
      <c r="P1288">
        <v>4</v>
      </c>
      <c r="Q1288">
        <v>1</v>
      </c>
      <c r="R1288">
        <v>0</v>
      </c>
      <c r="S1288">
        <v>0</v>
      </c>
      <c r="T1288">
        <v>37</v>
      </c>
      <c r="U1288">
        <v>16</v>
      </c>
      <c r="V1288">
        <v>1</v>
      </c>
      <c r="W1288">
        <v>170</v>
      </c>
      <c r="X1288">
        <v>3</v>
      </c>
      <c r="Y1288">
        <v>0</v>
      </c>
      <c r="Z1288">
        <v>0</v>
      </c>
      <c r="AA1288">
        <v>4</v>
      </c>
      <c r="AB1288">
        <v>0</v>
      </c>
      <c r="AC1288">
        <v>21</v>
      </c>
      <c r="AD1288">
        <v>0</v>
      </c>
      <c r="AE1288">
        <v>2</v>
      </c>
      <c r="AF1288">
        <v>47</v>
      </c>
      <c r="AG1288">
        <v>36</v>
      </c>
      <c r="AH1288">
        <v>22</v>
      </c>
      <c r="AI1288">
        <v>0</v>
      </c>
      <c r="AJ1288">
        <v>35</v>
      </c>
      <c r="AK1288">
        <v>0</v>
      </c>
      <c r="AL1288">
        <v>0</v>
      </c>
      <c r="AM1288">
        <v>243</v>
      </c>
      <c r="AN1288">
        <v>187</v>
      </c>
      <c r="AO1288">
        <v>71</v>
      </c>
      <c r="AQ1288" t="str">
        <f t="shared" si="20"/>
        <v>Defensive Forward</v>
      </c>
    </row>
    <row r="1289" spans="1:43" x14ac:dyDescent="0.35">
      <c r="A1289" t="s">
        <v>764</v>
      </c>
      <c r="B1289" t="s">
        <v>43</v>
      </c>
      <c r="C1289" t="s">
        <v>2155</v>
      </c>
      <c r="D1289">
        <v>1992</v>
      </c>
      <c r="E1289">
        <v>25</v>
      </c>
      <c r="F1289" t="s">
        <v>134</v>
      </c>
      <c r="G1289" t="s">
        <v>260</v>
      </c>
      <c r="H1289">
        <v>4500000</v>
      </c>
      <c r="I1289">
        <v>10800000</v>
      </c>
      <c r="J1289" t="s">
        <v>52</v>
      </c>
      <c r="K1289">
        <v>37</v>
      </c>
      <c r="L1289">
        <v>3294</v>
      </c>
      <c r="M1289">
        <v>0</v>
      </c>
      <c r="N1289">
        <v>1358</v>
      </c>
      <c r="O1289">
        <v>1</v>
      </c>
      <c r="P1289">
        <v>8</v>
      </c>
      <c r="Q1289">
        <v>0</v>
      </c>
      <c r="R1289">
        <v>0</v>
      </c>
      <c r="S1289">
        <v>2</v>
      </c>
      <c r="T1289">
        <v>28</v>
      </c>
      <c r="U1289">
        <v>5</v>
      </c>
      <c r="V1289">
        <v>1</v>
      </c>
      <c r="W1289">
        <v>237</v>
      </c>
      <c r="X1289">
        <v>0</v>
      </c>
      <c r="Y1289">
        <v>0</v>
      </c>
      <c r="Z1289">
        <v>0</v>
      </c>
      <c r="AA1289">
        <v>7</v>
      </c>
      <c r="AB1289">
        <v>0</v>
      </c>
      <c r="AC1289">
        <v>23</v>
      </c>
      <c r="AD1289">
        <v>0</v>
      </c>
      <c r="AE1289">
        <v>3</v>
      </c>
      <c r="AF1289">
        <v>59</v>
      </c>
      <c r="AG1289">
        <v>50</v>
      </c>
      <c r="AH1289">
        <v>33</v>
      </c>
      <c r="AI1289">
        <v>0</v>
      </c>
      <c r="AJ1289">
        <v>31</v>
      </c>
      <c r="AK1289">
        <v>1</v>
      </c>
      <c r="AL1289">
        <v>0</v>
      </c>
      <c r="AM1289">
        <v>327</v>
      </c>
      <c r="AN1289">
        <v>198</v>
      </c>
      <c r="AO1289">
        <v>95</v>
      </c>
      <c r="AQ1289" t="str">
        <f t="shared" si="20"/>
        <v>Defensive Forward</v>
      </c>
    </row>
    <row r="1290" spans="1:43" x14ac:dyDescent="0.35">
      <c r="A1290" t="s">
        <v>765</v>
      </c>
      <c r="B1290" t="s">
        <v>39</v>
      </c>
      <c r="C1290" t="s">
        <v>2156</v>
      </c>
      <c r="D1290">
        <v>1987</v>
      </c>
      <c r="E1290">
        <v>28</v>
      </c>
      <c r="F1290" t="s">
        <v>220</v>
      </c>
      <c r="G1290" t="s">
        <v>260</v>
      </c>
      <c r="H1290">
        <v>9900000</v>
      </c>
      <c r="I1290">
        <v>9000000</v>
      </c>
      <c r="J1290" t="s">
        <v>42</v>
      </c>
      <c r="K1290">
        <v>28</v>
      </c>
      <c r="L1290">
        <v>2111</v>
      </c>
      <c r="M1290">
        <v>10</v>
      </c>
      <c r="N1290">
        <v>595</v>
      </c>
      <c r="O1290">
        <v>4</v>
      </c>
      <c r="P1290">
        <v>2</v>
      </c>
      <c r="Q1290">
        <v>0</v>
      </c>
      <c r="R1290">
        <v>5</v>
      </c>
      <c r="S1290">
        <v>5</v>
      </c>
      <c r="T1290">
        <v>63</v>
      </c>
      <c r="U1290">
        <v>22</v>
      </c>
      <c r="V1290">
        <v>3</v>
      </c>
      <c r="W1290">
        <v>14</v>
      </c>
      <c r="X1290">
        <v>5</v>
      </c>
      <c r="Y1290">
        <v>0</v>
      </c>
      <c r="Z1290">
        <v>0</v>
      </c>
      <c r="AA1290">
        <v>25</v>
      </c>
      <c r="AB1290">
        <v>3</v>
      </c>
      <c r="AC1290">
        <v>12</v>
      </c>
      <c r="AD1290">
        <v>0</v>
      </c>
      <c r="AE1290">
        <v>51</v>
      </c>
      <c r="AF1290">
        <v>3</v>
      </c>
      <c r="AG1290">
        <v>20</v>
      </c>
      <c r="AH1290">
        <v>43</v>
      </c>
      <c r="AI1290">
        <v>0</v>
      </c>
      <c r="AJ1290">
        <v>15</v>
      </c>
      <c r="AK1290">
        <v>0</v>
      </c>
      <c r="AL1290">
        <v>0</v>
      </c>
      <c r="AM1290">
        <v>21</v>
      </c>
      <c r="AN1290">
        <v>82</v>
      </c>
      <c r="AO1290">
        <v>89</v>
      </c>
      <c r="AQ1290" t="str">
        <f t="shared" si="20"/>
        <v>Forward</v>
      </c>
    </row>
    <row r="1291" spans="1:43" x14ac:dyDescent="0.35">
      <c r="A1291" t="s">
        <v>765</v>
      </c>
      <c r="B1291" t="s">
        <v>47</v>
      </c>
      <c r="C1291" t="s">
        <v>2157</v>
      </c>
      <c r="D1291">
        <v>1987</v>
      </c>
      <c r="E1291">
        <v>29</v>
      </c>
      <c r="F1291" t="s">
        <v>220</v>
      </c>
      <c r="G1291" t="s">
        <v>260</v>
      </c>
      <c r="H1291">
        <v>9000000</v>
      </c>
      <c r="I1291">
        <v>8100000</v>
      </c>
      <c r="J1291" t="s">
        <v>42</v>
      </c>
      <c r="K1291">
        <v>32</v>
      </c>
      <c r="L1291">
        <v>1248</v>
      </c>
      <c r="M1291">
        <v>3</v>
      </c>
      <c r="N1291">
        <v>306</v>
      </c>
      <c r="O1291">
        <v>1</v>
      </c>
      <c r="P1291">
        <v>2</v>
      </c>
      <c r="Q1291">
        <v>0</v>
      </c>
      <c r="R1291">
        <v>22</v>
      </c>
      <c r="S1291">
        <v>6</v>
      </c>
      <c r="T1291">
        <v>41</v>
      </c>
      <c r="U1291">
        <v>15</v>
      </c>
      <c r="V1291">
        <v>0</v>
      </c>
      <c r="W1291">
        <v>12</v>
      </c>
      <c r="X1291">
        <v>1</v>
      </c>
      <c r="Y1291">
        <v>0</v>
      </c>
      <c r="Z1291">
        <v>0</v>
      </c>
      <c r="AA1291">
        <v>12</v>
      </c>
      <c r="AB1291">
        <v>0</v>
      </c>
      <c r="AC1291">
        <v>7</v>
      </c>
      <c r="AD1291">
        <v>0</v>
      </c>
      <c r="AE1291">
        <v>24</v>
      </c>
      <c r="AF1291">
        <v>4</v>
      </c>
      <c r="AG1291">
        <v>5</v>
      </c>
      <c r="AH1291">
        <v>28</v>
      </c>
      <c r="AI1291">
        <v>0</v>
      </c>
      <c r="AJ1291">
        <v>12</v>
      </c>
      <c r="AK1291">
        <v>0</v>
      </c>
      <c r="AL1291">
        <v>0</v>
      </c>
      <c r="AM1291">
        <v>14</v>
      </c>
      <c r="AN1291">
        <v>45</v>
      </c>
      <c r="AO1291">
        <v>64</v>
      </c>
      <c r="AQ1291" t="str">
        <f t="shared" si="20"/>
        <v>Forward</v>
      </c>
    </row>
    <row r="1292" spans="1:43" x14ac:dyDescent="0.35">
      <c r="A1292" t="s">
        <v>765</v>
      </c>
      <c r="B1292" t="s">
        <v>43</v>
      </c>
      <c r="C1292" t="s">
        <v>2158</v>
      </c>
      <c r="D1292">
        <v>1987</v>
      </c>
      <c r="E1292">
        <v>30</v>
      </c>
      <c r="F1292" t="s">
        <v>220</v>
      </c>
      <c r="G1292" t="s">
        <v>260</v>
      </c>
      <c r="H1292">
        <v>8100000</v>
      </c>
      <c r="I1292">
        <v>6300000</v>
      </c>
      <c r="J1292" t="s">
        <v>42</v>
      </c>
      <c r="K1292">
        <v>30</v>
      </c>
      <c r="L1292">
        <v>1578</v>
      </c>
      <c r="M1292">
        <v>2</v>
      </c>
      <c r="N1292">
        <v>395</v>
      </c>
      <c r="O1292">
        <v>1</v>
      </c>
      <c r="P1292">
        <v>6</v>
      </c>
      <c r="Q1292">
        <v>0</v>
      </c>
      <c r="R1292">
        <v>15</v>
      </c>
      <c r="S1292">
        <v>10</v>
      </c>
      <c r="T1292">
        <v>33</v>
      </c>
      <c r="U1292">
        <v>13</v>
      </c>
      <c r="V1292">
        <v>0</v>
      </c>
      <c r="W1292">
        <v>26</v>
      </c>
      <c r="X1292">
        <v>0</v>
      </c>
      <c r="Y1292">
        <v>0</v>
      </c>
      <c r="Z1292">
        <v>0</v>
      </c>
      <c r="AA1292">
        <v>14</v>
      </c>
      <c r="AB1292">
        <v>1</v>
      </c>
      <c r="AC1292">
        <v>20</v>
      </c>
      <c r="AD1292">
        <v>0</v>
      </c>
      <c r="AE1292">
        <v>21</v>
      </c>
      <c r="AF1292">
        <v>2</v>
      </c>
      <c r="AG1292">
        <v>12</v>
      </c>
      <c r="AH1292">
        <v>34</v>
      </c>
      <c r="AI1292">
        <v>0</v>
      </c>
      <c r="AJ1292">
        <v>25</v>
      </c>
      <c r="AK1292">
        <v>0</v>
      </c>
      <c r="AL1292">
        <v>0</v>
      </c>
      <c r="AM1292">
        <v>29</v>
      </c>
      <c r="AN1292">
        <v>77</v>
      </c>
      <c r="AO1292">
        <v>113</v>
      </c>
      <c r="AQ1292" t="str">
        <f t="shared" si="20"/>
        <v>Forward</v>
      </c>
    </row>
    <row r="1293" spans="1:43" x14ac:dyDescent="0.35">
      <c r="A1293" t="s">
        <v>765</v>
      </c>
      <c r="B1293" t="s">
        <v>46</v>
      </c>
      <c r="C1293" t="s">
        <v>2159</v>
      </c>
      <c r="D1293">
        <v>1987</v>
      </c>
      <c r="E1293">
        <v>31</v>
      </c>
      <c r="F1293" t="s">
        <v>220</v>
      </c>
      <c r="G1293" t="s">
        <v>260</v>
      </c>
      <c r="H1293">
        <v>6300000</v>
      </c>
      <c r="I1293">
        <v>6300000</v>
      </c>
      <c r="J1293" t="s">
        <v>42</v>
      </c>
      <c r="K1293">
        <v>26</v>
      </c>
      <c r="L1293">
        <v>1270</v>
      </c>
      <c r="M1293">
        <v>5</v>
      </c>
      <c r="N1293">
        <v>305</v>
      </c>
      <c r="O1293">
        <v>1</v>
      </c>
      <c r="P1293">
        <v>3</v>
      </c>
      <c r="Q1293">
        <v>0</v>
      </c>
      <c r="R1293">
        <v>14</v>
      </c>
      <c r="S1293">
        <v>11</v>
      </c>
      <c r="T1293">
        <v>30</v>
      </c>
      <c r="U1293">
        <v>10</v>
      </c>
      <c r="V1293">
        <v>1</v>
      </c>
      <c r="W1293">
        <v>16</v>
      </c>
      <c r="X1293">
        <v>0</v>
      </c>
      <c r="Y1293">
        <v>0</v>
      </c>
      <c r="Z1293">
        <v>0</v>
      </c>
      <c r="AA1293">
        <v>12</v>
      </c>
      <c r="AB1293">
        <v>0</v>
      </c>
      <c r="AC1293">
        <v>20</v>
      </c>
      <c r="AD1293">
        <v>0</v>
      </c>
      <c r="AE1293">
        <v>14</v>
      </c>
      <c r="AF1293">
        <v>1</v>
      </c>
      <c r="AG1293">
        <v>7</v>
      </c>
      <c r="AH1293">
        <v>26</v>
      </c>
      <c r="AI1293">
        <v>0</v>
      </c>
      <c r="AJ1293">
        <v>15</v>
      </c>
      <c r="AK1293">
        <v>0</v>
      </c>
      <c r="AL1293">
        <v>0</v>
      </c>
      <c r="AM1293">
        <v>18</v>
      </c>
      <c r="AN1293">
        <v>72</v>
      </c>
      <c r="AO1293">
        <v>100</v>
      </c>
      <c r="AQ1293" t="str">
        <f t="shared" si="20"/>
        <v>Forward</v>
      </c>
    </row>
    <row r="1294" spans="1:43" x14ac:dyDescent="0.35">
      <c r="A1294" t="s">
        <v>766</v>
      </c>
      <c r="B1294" t="s">
        <v>39</v>
      </c>
      <c r="C1294" t="s">
        <v>2160</v>
      </c>
      <c r="D1294">
        <v>1986</v>
      </c>
      <c r="E1294">
        <v>29</v>
      </c>
      <c r="F1294" t="s">
        <v>99</v>
      </c>
      <c r="G1294" t="s">
        <v>617</v>
      </c>
      <c r="H1294">
        <v>7000000</v>
      </c>
      <c r="I1294">
        <v>9000000</v>
      </c>
      <c r="J1294" t="s">
        <v>42</v>
      </c>
      <c r="K1294">
        <v>36</v>
      </c>
      <c r="L1294">
        <v>2070</v>
      </c>
      <c r="M1294">
        <v>5</v>
      </c>
      <c r="N1294">
        <v>542</v>
      </c>
      <c r="O1294">
        <v>0</v>
      </c>
      <c r="P1294">
        <v>1</v>
      </c>
      <c r="Q1294">
        <v>0</v>
      </c>
      <c r="R1294">
        <v>8</v>
      </c>
      <c r="S1294">
        <v>25</v>
      </c>
      <c r="T1294">
        <v>46</v>
      </c>
      <c r="U1294">
        <v>12</v>
      </c>
      <c r="V1294">
        <v>2</v>
      </c>
      <c r="W1294">
        <v>5</v>
      </c>
      <c r="X1294">
        <v>1</v>
      </c>
      <c r="Y1294">
        <v>0</v>
      </c>
      <c r="Z1294">
        <v>0</v>
      </c>
      <c r="AA1294">
        <v>8</v>
      </c>
      <c r="AB1294">
        <v>1</v>
      </c>
      <c r="AC1294">
        <v>7</v>
      </c>
      <c r="AD1294">
        <v>0</v>
      </c>
      <c r="AE1294">
        <v>9</v>
      </c>
      <c r="AF1294">
        <v>3</v>
      </c>
      <c r="AG1294">
        <v>15</v>
      </c>
      <c r="AH1294">
        <v>31</v>
      </c>
      <c r="AI1294">
        <v>0</v>
      </c>
      <c r="AJ1294">
        <v>37</v>
      </c>
      <c r="AK1294">
        <v>0</v>
      </c>
      <c r="AL1294">
        <v>0</v>
      </c>
      <c r="AM1294">
        <v>6</v>
      </c>
      <c r="AN1294">
        <v>53</v>
      </c>
      <c r="AO1294">
        <v>132</v>
      </c>
      <c r="AQ1294" t="str">
        <f t="shared" si="20"/>
        <v>Forward</v>
      </c>
    </row>
    <row r="1295" spans="1:43" x14ac:dyDescent="0.35">
      <c r="A1295" t="s">
        <v>766</v>
      </c>
      <c r="B1295" t="s">
        <v>47</v>
      </c>
      <c r="C1295" t="s">
        <v>2161</v>
      </c>
      <c r="D1295">
        <v>1986</v>
      </c>
      <c r="E1295">
        <v>30</v>
      </c>
      <c r="F1295" t="s">
        <v>99</v>
      </c>
      <c r="G1295" t="s">
        <v>617</v>
      </c>
      <c r="H1295">
        <v>9000000</v>
      </c>
      <c r="I1295">
        <v>6300000</v>
      </c>
      <c r="J1295" t="s">
        <v>42</v>
      </c>
      <c r="K1295">
        <v>30</v>
      </c>
      <c r="L1295">
        <v>1572</v>
      </c>
      <c r="M1295">
        <v>3</v>
      </c>
      <c r="N1295">
        <v>438</v>
      </c>
      <c r="O1295">
        <v>1</v>
      </c>
      <c r="P1295">
        <v>1</v>
      </c>
      <c r="Q1295">
        <v>0</v>
      </c>
      <c r="R1295">
        <v>9</v>
      </c>
      <c r="S1295">
        <v>20</v>
      </c>
      <c r="T1295">
        <v>29</v>
      </c>
      <c r="U1295">
        <v>9</v>
      </c>
      <c r="V1295">
        <v>1</v>
      </c>
      <c r="W1295">
        <v>5</v>
      </c>
      <c r="X1295">
        <v>0</v>
      </c>
      <c r="Y1295">
        <v>0</v>
      </c>
      <c r="Z1295">
        <v>0</v>
      </c>
      <c r="AA1295">
        <v>4</v>
      </c>
      <c r="AB1295">
        <v>3</v>
      </c>
      <c r="AC1295">
        <v>2</v>
      </c>
      <c r="AD1295">
        <v>0</v>
      </c>
      <c r="AE1295">
        <v>4</v>
      </c>
      <c r="AF1295">
        <v>2</v>
      </c>
      <c r="AG1295">
        <v>12</v>
      </c>
      <c r="AH1295">
        <v>28</v>
      </c>
      <c r="AI1295">
        <v>0</v>
      </c>
      <c r="AJ1295">
        <v>30</v>
      </c>
      <c r="AK1295">
        <v>0</v>
      </c>
      <c r="AL1295">
        <v>0</v>
      </c>
      <c r="AM1295">
        <v>5</v>
      </c>
      <c r="AN1295">
        <v>26</v>
      </c>
      <c r="AO1295">
        <v>87</v>
      </c>
      <c r="AQ1295" t="str">
        <f t="shared" si="20"/>
        <v>Forward</v>
      </c>
    </row>
    <row r="1296" spans="1:43" x14ac:dyDescent="0.35">
      <c r="A1296" t="s">
        <v>766</v>
      </c>
      <c r="B1296" t="s">
        <v>43</v>
      </c>
      <c r="C1296" t="s">
        <v>2162</v>
      </c>
      <c r="D1296">
        <v>1986</v>
      </c>
      <c r="E1296">
        <v>31</v>
      </c>
      <c r="F1296" t="s">
        <v>99</v>
      </c>
      <c r="G1296" t="s">
        <v>617</v>
      </c>
      <c r="H1296">
        <v>6300000</v>
      </c>
      <c r="I1296">
        <v>5400000</v>
      </c>
      <c r="J1296" t="s">
        <v>42</v>
      </c>
      <c r="K1296">
        <v>27</v>
      </c>
      <c r="L1296">
        <v>1328</v>
      </c>
      <c r="M1296">
        <v>6</v>
      </c>
      <c r="N1296">
        <v>386</v>
      </c>
      <c r="O1296">
        <v>2</v>
      </c>
      <c r="P1296">
        <v>2</v>
      </c>
      <c r="Q1296">
        <v>0</v>
      </c>
      <c r="R1296">
        <v>10</v>
      </c>
      <c r="S1296">
        <v>15</v>
      </c>
      <c r="T1296">
        <v>28</v>
      </c>
      <c r="U1296">
        <v>16</v>
      </c>
      <c r="V1296">
        <v>0</v>
      </c>
      <c r="W1296">
        <v>4</v>
      </c>
      <c r="X1296">
        <v>1</v>
      </c>
      <c r="Y1296">
        <v>0</v>
      </c>
      <c r="Z1296">
        <v>0</v>
      </c>
      <c r="AA1296">
        <v>9</v>
      </c>
      <c r="AB1296">
        <v>2</v>
      </c>
      <c r="AC1296">
        <v>12</v>
      </c>
      <c r="AD1296">
        <v>0</v>
      </c>
      <c r="AE1296">
        <v>6</v>
      </c>
      <c r="AF1296">
        <v>1</v>
      </c>
      <c r="AG1296">
        <v>8</v>
      </c>
      <c r="AH1296">
        <v>20</v>
      </c>
      <c r="AI1296">
        <v>0</v>
      </c>
      <c r="AJ1296">
        <v>25</v>
      </c>
      <c r="AK1296">
        <v>0</v>
      </c>
      <c r="AL1296">
        <v>0</v>
      </c>
      <c r="AM1296">
        <v>5</v>
      </c>
      <c r="AN1296">
        <v>0</v>
      </c>
      <c r="AO1296">
        <v>58</v>
      </c>
      <c r="AQ1296" t="str">
        <f t="shared" si="20"/>
        <v>Forward</v>
      </c>
    </row>
    <row r="1297" spans="1:43" x14ac:dyDescent="0.35">
      <c r="A1297" t="s">
        <v>766</v>
      </c>
      <c r="B1297" t="s">
        <v>46</v>
      </c>
      <c r="C1297" t="s">
        <v>2163</v>
      </c>
      <c r="D1297">
        <v>1986</v>
      </c>
      <c r="E1297">
        <v>32</v>
      </c>
      <c r="F1297" t="s">
        <v>99</v>
      </c>
      <c r="G1297" t="s">
        <v>617</v>
      </c>
      <c r="H1297">
        <v>5400000</v>
      </c>
      <c r="I1297">
        <v>3600000</v>
      </c>
      <c r="J1297" t="s">
        <v>42</v>
      </c>
      <c r="K1297">
        <v>21</v>
      </c>
      <c r="L1297">
        <v>270</v>
      </c>
      <c r="M1297">
        <v>0</v>
      </c>
      <c r="N1297">
        <v>94</v>
      </c>
      <c r="O1297">
        <v>1</v>
      </c>
      <c r="P1297">
        <v>0</v>
      </c>
      <c r="Q1297">
        <v>0</v>
      </c>
      <c r="R1297">
        <v>20</v>
      </c>
      <c r="S1297">
        <v>1</v>
      </c>
      <c r="T1297">
        <v>5</v>
      </c>
      <c r="U1297">
        <v>4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3</v>
      </c>
      <c r="AB1297">
        <v>1</v>
      </c>
      <c r="AC1297">
        <v>1</v>
      </c>
      <c r="AD1297">
        <v>0</v>
      </c>
      <c r="AE1297">
        <v>0</v>
      </c>
      <c r="AF1297">
        <v>1</v>
      </c>
      <c r="AG1297">
        <v>2</v>
      </c>
      <c r="AH1297">
        <v>6</v>
      </c>
      <c r="AI1297">
        <v>0</v>
      </c>
      <c r="AJ1297">
        <v>5</v>
      </c>
      <c r="AK1297">
        <v>0</v>
      </c>
      <c r="AL1297">
        <v>0</v>
      </c>
      <c r="AM1297">
        <v>0</v>
      </c>
      <c r="AN1297">
        <v>8</v>
      </c>
      <c r="AO1297">
        <v>14</v>
      </c>
      <c r="AQ1297" t="str">
        <f t="shared" si="20"/>
        <v>Forward</v>
      </c>
    </row>
    <row r="1298" spans="1:43" x14ac:dyDescent="0.35">
      <c r="A1298" t="s">
        <v>767</v>
      </c>
      <c r="B1298" t="s">
        <v>46</v>
      </c>
      <c r="C1298" t="s">
        <v>2164</v>
      </c>
      <c r="D1298">
        <v>1992</v>
      </c>
      <c r="E1298">
        <v>26</v>
      </c>
      <c r="F1298" t="s">
        <v>61</v>
      </c>
      <c r="G1298" t="s">
        <v>146</v>
      </c>
      <c r="H1298">
        <v>22500000</v>
      </c>
      <c r="I1298">
        <v>22500000</v>
      </c>
      <c r="J1298" t="s">
        <v>52</v>
      </c>
      <c r="K1298">
        <v>31</v>
      </c>
      <c r="L1298">
        <v>2615</v>
      </c>
      <c r="M1298">
        <v>2</v>
      </c>
      <c r="N1298">
        <v>1765</v>
      </c>
      <c r="O1298">
        <v>0</v>
      </c>
      <c r="P1298">
        <v>9</v>
      </c>
      <c r="Q1298">
        <v>0</v>
      </c>
      <c r="R1298">
        <v>0</v>
      </c>
      <c r="S1298">
        <v>6</v>
      </c>
      <c r="T1298">
        <v>18</v>
      </c>
      <c r="U1298">
        <v>9</v>
      </c>
      <c r="V1298">
        <v>0</v>
      </c>
      <c r="W1298">
        <v>106</v>
      </c>
      <c r="X1298">
        <v>2</v>
      </c>
      <c r="Y1298">
        <v>0</v>
      </c>
      <c r="Z1298">
        <v>0</v>
      </c>
      <c r="AA1298">
        <v>4</v>
      </c>
      <c r="AB1298">
        <v>4</v>
      </c>
      <c r="AC1298">
        <v>9</v>
      </c>
      <c r="AD1298">
        <v>0</v>
      </c>
      <c r="AE1298">
        <v>11</v>
      </c>
      <c r="AF1298">
        <v>17</v>
      </c>
      <c r="AG1298">
        <v>58</v>
      </c>
      <c r="AH1298">
        <v>42</v>
      </c>
      <c r="AI1298">
        <v>0</v>
      </c>
      <c r="AJ1298">
        <v>62</v>
      </c>
      <c r="AK1298">
        <v>1</v>
      </c>
      <c r="AL1298">
        <v>0</v>
      </c>
      <c r="AM1298">
        <v>161</v>
      </c>
      <c r="AN1298">
        <v>123</v>
      </c>
      <c r="AO1298">
        <v>62</v>
      </c>
      <c r="AQ1298" t="str">
        <f t="shared" si="20"/>
        <v>Defensive Forward</v>
      </c>
    </row>
    <row r="1299" spans="1:43" x14ac:dyDescent="0.35">
      <c r="A1299" t="s">
        <v>767</v>
      </c>
      <c r="B1299" t="s">
        <v>47</v>
      </c>
      <c r="C1299" t="s">
        <v>2165</v>
      </c>
      <c r="D1299">
        <v>1992</v>
      </c>
      <c r="E1299">
        <v>24</v>
      </c>
      <c r="F1299" t="s">
        <v>61</v>
      </c>
      <c r="G1299" t="s">
        <v>146</v>
      </c>
      <c r="H1299">
        <v>18000000</v>
      </c>
      <c r="I1299">
        <v>27000000</v>
      </c>
      <c r="J1299" t="s">
        <v>52</v>
      </c>
      <c r="K1299">
        <v>26</v>
      </c>
      <c r="L1299">
        <v>2275</v>
      </c>
      <c r="M1299">
        <v>2</v>
      </c>
      <c r="N1299">
        <v>1564</v>
      </c>
      <c r="O1299">
        <v>2</v>
      </c>
      <c r="P1299">
        <v>11</v>
      </c>
      <c r="Q1299">
        <v>0</v>
      </c>
      <c r="R1299">
        <v>0</v>
      </c>
      <c r="S1299">
        <v>1</v>
      </c>
      <c r="T1299">
        <v>24</v>
      </c>
      <c r="U1299">
        <v>6</v>
      </c>
      <c r="V1299">
        <v>2</v>
      </c>
      <c r="W1299">
        <v>85</v>
      </c>
      <c r="X1299">
        <v>2</v>
      </c>
      <c r="Y1299">
        <v>0</v>
      </c>
      <c r="Z1299">
        <v>0</v>
      </c>
      <c r="AA1299">
        <v>1</v>
      </c>
      <c r="AB1299">
        <v>4</v>
      </c>
      <c r="AC1299">
        <v>1</v>
      </c>
      <c r="AD1299">
        <v>1</v>
      </c>
      <c r="AE1299">
        <v>20</v>
      </c>
      <c r="AF1299">
        <v>4</v>
      </c>
      <c r="AG1299">
        <v>62</v>
      </c>
      <c r="AH1299">
        <v>35</v>
      </c>
      <c r="AI1299">
        <v>0</v>
      </c>
      <c r="AJ1299">
        <v>54</v>
      </c>
      <c r="AK1299">
        <v>0</v>
      </c>
      <c r="AL1299">
        <v>0</v>
      </c>
      <c r="AM1299">
        <v>129</v>
      </c>
      <c r="AN1299">
        <v>103</v>
      </c>
      <c r="AO1299">
        <v>61</v>
      </c>
      <c r="AQ1299" t="str">
        <f t="shared" si="20"/>
        <v>Defensive Forward</v>
      </c>
    </row>
    <row r="1300" spans="1:43" x14ac:dyDescent="0.35">
      <c r="A1300" t="s">
        <v>767</v>
      </c>
      <c r="B1300" t="s">
        <v>43</v>
      </c>
      <c r="C1300" t="s">
        <v>2166</v>
      </c>
      <c r="D1300">
        <v>1992</v>
      </c>
      <c r="E1300">
        <v>25</v>
      </c>
      <c r="F1300" t="s">
        <v>61</v>
      </c>
      <c r="G1300" t="s">
        <v>146</v>
      </c>
      <c r="H1300">
        <v>27000000</v>
      </c>
      <c r="I1300">
        <v>22500000</v>
      </c>
      <c r="J1300" t="s">
        <v>52</v>
      </c>
      <c r="K1300">
        <v>27</v>
      </c>
      <c r="L1300">
        <v>2274</v>
      </c>
      <c r="M1300">
        <v>3</v>
      </c>
      <c r="N1300">
        <v>1734</v>
      </c>
      <c r="O1300">
        <v>1</v>
      </c>
      <c r="P1300">
        <v>6</v>
      </c>
      <c r="Q1300">
        <v>0</v>
      </c>
      <c r="R1300">
        <v>2</v>
      </c>
      <c r="S1300">
        <v>2</v>
      </c>
      <c r="T1300">
        <v>13</v>
      </c>
      <c r="U1300">
        <v>6</v>
      </c>
      <c r="V1300">
        <v>0</v>
      </c>
      <c r="W1300">
        <v>112</v>
      </c>
      <c r="X1300">
        <v>2</v>
      </c>
      <c r="Y1300">
        <v>0</v>
      </c>
      <c r="Z1300">
        <v>0</v>
      </c>
      <c r="AA1300">
        <v>2</v>
      </c>
      <c r="AB1300">
        <v>5</v>
      </c>
      <c r="AC1300">
        <v>7</v>
      </c>
      <c r="AD1300">
        <v>0</v>
      </c>
      <c r="AE1300">
        <v>12</v>
      </c>
      <c r="AF1300">
        <v>15</v>
      </c>
      <c r="AG1300">
        <v>57</v>
      </c>
      <c r="AH1300">
        <v>26</v>
      </c>
      <c r="AI1300">
        <v>1</v>
      </c>
      <c r="AJ1300">
        <v>64</v>
      </c>
      <c r="AK1300">
        <v>2</v>
      </c>
      <c r="AL1300">
        <v>0</v>
      </c>
      <c r="AM1300">
        <v>171</v>
      </c>
      <c r="AN1300">
        <v>122</v>
      </c>
      <c r="AO1300">
        <v>74</v>
      </c>
      <c r="AQ1300" t="str">
        <f t="shared" si="20"/>
        <v>Defensive Forward</v>
      </c>
    </row>
    <row r="1301" spans="1:43" x14ac:dyDescent="0.35">
      <c r="A1301" t="s">
        <v>768</v>
      </c>
      <c r="B1301" t="s">
        <v>39</v>
      </c>
      <c r="C1301" t="s">
        <v>2167</v>
      </c>
      <c r="D1301">
        <v>1989</v>
      </c>
      <c r="E1301">
        <v>26</v>
      </c>
      <c r="F1301" t="s">
        <v>117</v>
      </c>
      <c r="G1301" t="s">
        <v>216</v>
      </c>
      <c r="H1301">
        <v>8100000</v>
      </c>
      <c r="I1301">
        <v>6000000</v>
      </c>
      <c r="J1301" t="s">
        <v>55</v>
      </c>
      <c r="K1301">
        <v>18</v>
      </c>
      <c r="L1301">
        <v>446</v>
      </c>
      <c r="M1301">
        <v>0</v>
      </c>
      <c r="N1301">
        <v>193</v>
      </c>
      <c r="O1301">
        <v>0</v>
      </c>
      <c r="P1301">
        <v>0</v>
      </c>
      <c r="Q1301">
        <v>0</v>
      </c>
      <c r="R1301">
        <v>15</v>
      </c>
      <c r="S1301">
        <v>3</v>
      </c>
      <c r="T1301">
        <v>8</v>
      </c>
      <c r="U1301">
        <v>3</v>
      </c>
      <c r="V1301">
        <v>0</v>
      </c>
      <c r="W1301">
        <v>1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1</v>
      </c>
      <c r="AD1301">
        <v>3</v>
      </c>
      <c r="AE1301">
        <v>7</v>
      </c>
      <c r="AF1301">
        <v>1</v>
      </c>
      <c r="AG1301">
        <v>4</v>
      </c>
      <c r="AH1301">
        <v>7</v>
      </c>
      <c r="AI1301">
        <v>0</v>
      </c>
      <c r="AJ1301">
        <v>16</v>
      </c>
      <c r="AK1301">
        <v>0</v>
      </c>
      <c r="AL1301">
        <v>0</v>
      </c>
      <c r="AM1301">
        <v>2</v>
      </c>
      <c r="AN1301">
        <v>7</v>
      </c>
      <c r="AO1301">
        <v>19</v>
      </c>
      <c r="AQ1301" t="str">
        <f t="shared" si="20"/>
        <v>Midfielder</v>
      </c>
    </row>
    <row r="1302" spans="1:43" x14ac:dyDescent="0.35">
      <c r="A1302" t="s">
        <v>769</v>
      </c>
      <c r="B1302" t="s">
        <v>43</v>
      </c>
      <c r="C1302" t="s">
        <v>2168</v>
      </c>
      <c r="D1302">
        <v>1985</v>
      </c>
      <c r="E1302">
        <v>32</v>
      </c>
      <c r="F1302" t="s">
        <v>84</v>
      </c>
      <c r="G1302" t="s">
        <v>51</v>
      </c>
      <c r="H1302">
        <v>2250000</v>
      </c>
      <c r="I1302">
        <v>2250000</v>
      </c>
      <c r="J1302" t="s">
        <v>52</v>
      </c>
      <c r="K1302">
        <v>32</v>
      </c>
      <c r="L1302">
        <v>2707</v>
      </c>
      <c r="M1302">
        <v>0</v>
      </c>
      <c r="N1302">
        <v>1606</v>
      </c>
      <c r="O1302">
        <v>1</v>
      </c>
      <c r="P1302">
        <v>8</v>
      </c>
      <c r="Q1302">
        <v>1</v>
      </c>
      <c r="R1302">
        <v>1</v>
      </c>
      <c r="S1302">
        <v>2</v>
      </c>
      <c r="T1302">
        <v>13</v>
      </c>
      <c r="U1302">
        <v>1</v>
      </c>
      <c r="V1302">
        <v>0</v>
      </c>
      <c r="W1302">
        <v>99</v>
      </c>
      <c r="X1302">
        <v>0</v>
      </c>
      <c r="Y1302">
        <v>0</v>
      </c>
      <c r="Z1302">
        <v>0</v>
      </c>
      <c r="AA1302">
        <v>0</v>
      </c>
      <c r="AB1302">
        <v>1</v>
      </c>
      <c r="AC1302">
        <v>12</v>
      </c>
      <c r="AD1302">
        <v>2</v>
      </c>
      <c r="AE1302">
        <v>78</v>
      </c>
      <c r="AF1302">
        <v>18</v>
      </c>
      <c r="AG1302">
        <v>49</v>
      </c>
      <c r="AH1302">
        <v>24</v>
      </c>
      <c r="AI1302">
        <v>0</v>
      </c>
      <c r="AJ1302">
        <v>49</v>
      </c>
      <c r="AK1302">
        <v>2</v>
      </c>
      <c r="AL1302">
        <v>0</v>
      </c>
      <c r="AM1302">
        <v>176</v>
      </c>
      <c r="AN1302">
        <v>142</v>
      </c>
      <c r="AO1302">
        <v>75</v>
      </c>
      <c r="AQ1302" t="str">
        <f t="shared" si="20"/>
        <v>Defensive Forward</v>
      </c>
    </row>
    <row r="1303" spans="1:43" x14ac:dyDescent="0.35">
      <c r="A1303" t="s">
        <v>769</v>
      </c>
      <c r="B1303" t="s">
        <v>39</v>
      </c>
      <c r="C1303" t="s">
        <v>2169</v>
      </c>
      <c r="D1303">
        <v>1985</v>
      </c>
      <c r="E1303">
        <v>30</v>
      </c>
      <c r="F1303" t="s">
        <v>84</v>
      </c>
      <c r="G1303" t="s">
        <v>51</v>
      </c>
      <c r="H1303">
        <v>900000</v>
      </c>
      <c r="I1303">
        <v>2250000</v>
      </c>
      <c r="J1303" t="s">
        <v>52</v>
      </c>
      <c r="K1303">
        <v>38</v>
      </c>
      <c r="L1303">
        <v>3387</v>
      </c>
      <c r="M1303">
        <v>0</v>
      </c>
      <c r="N1303">
        <v>2106</v>
      </c>
      <c r="O1303">
        <v>4</v>
      </c>
      <c r="P1303">
        <v>5</v>
      </c>
      <c r="Q1303">
        <v>1</v>
      </c>
      <c r="R1303">
        <v>0</v>
      </c>
      <c r="S1303">
        <v>0</v>
      </c>
      <c r="T1303">
        <v>7</v>
      </c>
      <c r="U1303">
        <v>1</v>
      </c>
      <c r="V1303">
        <v>0</v>
      </c>
      <c r="W1303">
        <v>129</v>
      </c>
      <c r="X1303">
        <v>0</v>
      </c>
      <c r="Y1303">
        <v>0</v>
      </c>
      <c r="Z1303">
        <v>0</v>
      </c>
      <c r="AA1303">
        <v>2</v>
      </c>
      <c r="AB1303">
        <v>0</v>
      </c>
      <c r="AC1303">
        <v>0</v>
      </c>
      <c r="AD1303">
        <v>11</v>
      </c>
      <c r="AE1303">
        <v>100</v>
      </c>
      <c r="AF1303">
        <v>21</v>
      </c>
      <c r="AG1303">
        <v>88</v>
      </c>
      <c r="AH1303">
        <v>35</v>
      </c>
      <c r="AI1303">
        <v>0</v>
      </c>
      <c r="AJ1303">
        <v>105</v>
      </c>
      <c r="AK1303">
        <v>0</v>
      </c>
      <c r="AL1303">
        <v>0</v>
      </c>
      <c r="AM1303">
        <v>206</v>
      </c>
      <c r="AN1303">
        <v>108</v>
      </c>
      <c r="AO1303">
        <v>62</v>
      </c>
      <c r="AQ1303" t="str">
        <f t="shared" si="20"/>
        <v>Defensive Forward</v>
      </c>
    </row>
    <row r="1304" spans="1:43" x14ac:dyDescent="0.35">
      <c r="A1304" t="s">
        <v>769</v>
      </c>
      <c r="B1304" t="s">
        <v>47</v>
      </c>
      <c r="C1304" t="s">
        <v>2170</v>
      </c>
      <c r="D1304">
        <v>1985</v>
      </c>
      <c r="E1304">
        <v>31</v>
      </c>
      <c r="F1304" t="s">
        <v>84</v>
      </c>
      <c r="G1304" t="s">
        <v>51</v>
      </c>
      <c r="H1304">
        <v>2250000</v>
      </c>
      <c r="I1304">
        <v>2250000</v>
      </c>
      <c r="J1304" t="s">
        <v>52</v>
      </c>
      <c r="K1304">
        <v>34</v>
      </c>
      <c r="L1304">
        <v>2940</v>
      </c>
      <c r="M1304">
        <v>0</v>
      </c>
      <c r="N1304">
        <v>1656</v>
      </c>
      <c r="O1304">
        <v>1</v>
      </c>
      <c r="P1304">
        <v>4</v>
      </c>
      <c r="Q1304">
        <v>1</v>
      </c>
      <c r="R1304">
        <v>0</v>
      </c>
      <c r="S1304">
        <v>2</v>
      </c>
      <c r="T1304">
        <v>7</v>
      </c>
      <c r="U1304">
        <v>0</v>
      </c>
      <c r="V1304">
        <v>0</v>
      </c>
      <c r="W1304">
        <v>134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18</v>
      </c>
      <c r="AE1304">
        <v>66</v>
      </c>
      <c r="AF1304">
        <v>19</v>
      </c>
      <c r="AG1304">
        <v>53</v>
      </c>
      <c r="AH1304">
        <v>27</v>
      </c>
      <c r="AI1304">
        <v>0</v>
      </c>
      <c r="AJ1304">
        <v>62</v>
      </c>
      <c r="AK1304">
        <v>3</v>
      </c>
      <c r="AL1304">
        <v>0</v>
      </c>
      <c r="AM1304">
        <v>219</v>
      </c>
      <c r="AN1304">
        <v>115</v>
      </c>
      <c r="AO1304">
        <v>80</v>
      </c>
      <c r="AQ1304" t="str">
        <f t="shared" si="20"/>
        <v>Defensive Forward</v>
      </c>
    </row>
    <row r="1305" spans="1:43" x14ac:dyDescent="0.35">
      <c r="A1305" t="s">
        <v>769</v>
      </c>
      <c r="B1305" t="s">
        <v>46</v>
      </c>
      <c r="C1305" t="s">
        <v>2171</v>
      </c>
      <c r="D1305">
        <v>1985</v>
      </c>
      <c r="E1305">
        <v>33</v>
      </c>
      <c r="F1305" t="s">
        <v>84</v>
      </c>
      <c r="G1305" t="s">
        <v>51</v>
      </c>
      <c r="H1305">
        <v>2250000</v>
      </c>
      <c r="I1305">
        <v>1800000</v>
      </c>
      <c r="J1305" t="s">
        <v>52</v>
      </c>
      <c r="K1305">
        <v>17</v>
      </c>
      <c r="L1305">
        <v>1227</v>
      </c>
      <c r="M1305">
        <v>0</v>
      </c>
      <c r="N1305">
        <v>654</v>
      </c>
      <c r="O1305">
        <v>2</v>
      </c>
      <c r="P1305">
        <v>1</v>
      </c>
      <c r="Q1305">
        <v>0</v>
      </c>
      <c r="R1305">
        <v>4</v>
      </c>
      <c r="S1305">
        <v>1</v>
      </c>
      <c r="T1305">
        <v>3</v>
      </c>
      <c r="U1305">
        <v>1</v>
      </c>
      <c r="V1305">
        <v>0</v>
      </c>
      <c r="W1305">
        <v>40</v>
      </c>
      <c r="X1305">
        <v>0</v>
      </c>
      <c r="Y1305">
        <v>0</v>
      </c>
      <c r="Z1305">
        <v>0</v>
      </c>
      <c r="AA1305">
        <v>3</v>
      </c>
      <c r="AB1305">
        <v>0</v>
      </c>
      <c r="AC1305">
        <v>2</v>
      </c>
      <c r="AD1305">
        <v>1</v>
      </c>
      <c r="AE1305">
        <v>32</v>
      </c>
      <c r="AF1305">
        <v>7</v>
      </c>
      <c r="AG1305">
        <v>19</v>
      </c>
      <c r="AH1305">
        <v>11</v>
      </c>
      <c r="AI1305">
        <v>0</v>
      </c>
      <c r="AJ1305">
        <v>25</v>
      </c>
      <c r="AK1305">
        <v>0</v>
      </c>
      <c r="AL1305">
        <v>0</v>
      </c>
      <c r="AM1305">
        <v>66</v>
      </c>
      <c r="AN1305">
        <v>47</v>
      </c>
      <c r="AO1305">
        <v>40</v>
      </c>
      <c r="AQ1305" t="str">
        <f t="shared" si="20"/>
        <v>Defensive Forward</v>
      </c>
    </row>
    <row r="1306" spans="1:43" x14ac:dyDescent="0.35">
      <c r="A1306" t="s">
        <v>770</v>
      </c>
      <c r="B1306" t="s">
        <v>47</v>
      </c>
      <c r="C1306" t="s">
        <v>2172</v>
      </c>
      <c r="D1306">
        <v>1993</v>
      </c>
      <c r="E1306">
        <v>22</v>
      </c>
      <c r="F1306" t="s">
        <v>220</v>
      </c>
      <c r="G1306" t="s">
        <v>588</v>
      </c>
      <c r="H1306">
        <v>14300000</v>
      </c>
      <c r="I1306">
        <v>16500000</v>
      </c>
      <c r="J1306" t="s">
        <v>55</v>
      </c>
      <c r="K1306">
        <v>24</v>
      </c>
      <c r="L1306">
        <v>1101</v>
      </c>
      <c r="M1306">
        <v>1</v>
      </c>
      <c r="N1306">
        <v>508</v>
      </c>
      <c r="O1306">
        <v>0</v>
      </c>
      <c r="P1306">
        <v>5</v>
      </c>
      <c r="Q1306">
        <v>0</v>
      </c>
      <c r="R1306">
        <v>12</v>
      </c>
      <c r="S1306">
        <v>10</v>
      </c>
      <c r="T1306">
        <v>25</v>
      </c>
      <c r="U1306">
        <v>7</v>
      </c>
      <c r="V1306">
        <v>0</v>
      </c>
      <c r="W1306">
        <v>1</v>
      </c>
      <c r="X1306">
        <v>0</v>
      </c>
      <c r="Y1306">
        <v>0</v>
      </c>
      <c r="Z1306">
        <v>0</v>
      </c>
      <c r="AA1306">
        <v>1</v>
      </c>
      <c r="AB1306">
        <v>2</v>
      </c>
      <c r="AC1306">
        <v>0</v>
      </c>
      <c r="AD1306">
        <v>9</v>
      </c>
      <c r="AE1306">
        <v>34</v>
      </c>
      <c r="AF1306">
        <v>1</v>
      </c>
      <c r="AG1306">
        <v>5</v>
      </c>
      <c r="AH1306">
        <v>25</v>
      </c>
      <c r="AI1306">
        <v>0</v>
      </c>
      <c r="AJ1306">
        <v>38</v>
      </c>
      <c r="AK1306">
        <v>0</v>
      </c>
      <c r="AL1306">
        <v>0</v>
      </c>
      <c r="AM1306">
        <v>3</v>
      </c>
      <c r="AN1306">
        <v>10</v>
      </c>
      <c r="AO1306">
        <v>13</v>
      </c>
      <c r="AQ1306" t="str">
        <f t="shared" si="20"/>
        <v>Midfielder</v>
      </c>
    </row>
    <row r="1307" spans="1:43" x14ac:dyDescent="0.35">
      <c r="A1307" t="s">
        <v>770</v>
      </c>
      <c r="B1307" t="s">
        <v>43</v>
      </c>
      <c r="C1307" t="s">
        <v>2173</v>
      </c>
      <c r="D1307">
        <v>1993</v>
      </c>
      <c r="E1307">
        <v>24</v>
      </c>
      <c r="F1307" t="s">
        <v>220</v>
      </c>
      <c r="G1307" t="s">
        <v>588</v>
      </c>
      <c r="H1307">
        <v>16500000</v>
      </c>
      <c r="I1307">
        <v>13200000</v>
      </c>
      <c r="J1307" t="s">
        <v>55</v>
      </c>
      <c r="K1307">
        <v>26</v>
      </c>
      <c r="L1307">
        <v>1213</v>
      </c>
      <c r="M1307">
        <v>2</v>
      </c>
      <c r="N1307">
        <v>532</v>
      </c>
      <c r="O1307">
        <v>2</v>
      </c>
      <c r="P1307">
        <v>1</v>
      </c>
      <c r="Q1307">
        <v>0</v>
      </c>
      <c r="R1307">
        <v>15</v>
      </c>
      <c r="S1307">
        <v>8</v>
      </c>
      <c r="T1307">
        <v>30</v>
      </c>
      <c r="U1307">
        <v>6</v>
      </c>
      <c r="V1307">
        <v>0</v>
      </c>
      <c r="W1307">
        <v>2</v>
      </c>
      <c r="X1307">
        <v>0</v>
      </c>
      <c r="Y1307">
        <v>0</v>
      </c>
      <c r="Z1307">
        <v>0</v>
      </c>
      <c r="AA1307">
        <v>2</v>
      </c>
      <c r="AB1307">
        <v>6</v>
      </c>
      <c r="AC1307">
        <v>24</v>
      </c>
      <c r="AD1307">
        <v>11</v>
      </c>
      <c r="AE1307">
        <v>40</v>
      </c>
      <c r="AF1307">
        <v>1</v>
      </c>
      <c r="AG1307">
        <v>6</v>
      </c>
      <c r="AH1307">
        <v>27</v>
      </c>
      <c r="AI1307">
        <v>0</v>
      </c>
      <c r="AJ1307">
        <v>37</v>
      </c>
      <c r="AK1307">
        <v>0</v>
      </c>
      <c r="AL1307">
        <v>0</v>
      </c>
      <c r="AM1307">
        <v>6</v>
      </c>
      <c r="AN1307">
        <v>6</v>
      </c>
      <c r="AO1307">
        <v>13</v>
      </c>
      <c r="AQ1307" t="str">
        <f t="shared" si="20"/>
        <v>Midfielder</v>
      </c>
    </row>
    <row r="1308" spans="1:43" x14ac:dyDescent="0.35">
      <c r="A1308" t="s">
        <v>771</v>
      </c>
      <c r="B1308" t="s">
        <v>47</v>
      </c>
      <c r="C1308" t="s">
        <v>2174</v>
      </c>
      <c r="D1308">
        <v>1989</v>
      </c>
      <c r="E1308">
        <v>26</v>
      </c>
      <c r="F1308" t="s">
        <v>50</v>
      </c>
      <c r="G1308" t="s">
        <v>93</v>
      </c>
      <c r="H1308">
        <v>15400000</v>
      </c>
      <c r="I1308">
        <v>13200000</v>
      </c>
      <c r="J1308" t="s">
        <v>55</v>
      </c>
      <c r="K1308">
        <v>21</v>
      </c>
      <c r="L1308">
        <v>1038</v>
      </c>
      <c r="M1308">
        <v>3</v>
      </c>
      <c r="N1308">
        <v>376</v>
      </c>
      <c r="O1308">
        <v>3</v>
      </c>
      <c r="P1308">
        <v>1</v>
      </c>
      <c r="Q1308">
        <v>1</v>
      </c>
      <c r="R1308">
        <v>10</v>
      </c>
      <c r="S1308">
        <v>6</v>
      </c>
      <c r="T1308">
        <v>20</v>
      </c>
      <c r="U1308">
        <v>7</v>
      </c>
      <c r="V1308">
        <v>0</v>
      </c>
      <c r="W1308">
        <v>3</v>
      </c>
      <c r="X1308">
        <v>0</v>
      </c>
      <c r="Y1308">
        <v>0</v>
      </c>
      <c r="Z1308">
        <v>0</v>
      </c>
      <c r="AA1308">
        <v>1</v>
      </c>
      <c r="AB1308">
        <v>3</v>
      </c>
      <c r="AC1308">
        <v>0</v>
      </c>
      <c r="AD1308">
        <v>13</v>
      </c>
      <c r="AE1308">
        <v>64</v>
      </c>
      <c r="AF1308">
        <v>1</v>
      </c>
      <c r="AG1308">
        <v>14</v>
      </c>
      <c r="AH1308">
        <v>11</v>
      </c>
      <c r="AI1308">
        <v>0</v>
      </c>
      <c r="AJ1308">
        <v>18</v>
      </c>
      <c r="AK1308">
        <v>0</v>
      </c>
      <c r="AL1308">
        <v>0</v>
      </c>
      <c r="AM1308">
        <v>8</v>
      </c>
      <c r="AN1308">
        <v>9</v>
      </c>
      <c r="AO1308">
        <v>20</v>
      </c>
      <c r="AQ1308" t="str">
        <f t="shared" si="20"/>
        <v>Midfielder</v>
      </c>
    </row>
    <row r="1309" spans="1:43" x14ac:dyDescent="0.35">
      <c r="A1309" t="s">
        <v>772</v>
      </c>
      <c r="B1309" t="s">
        <v>46</v>
      </c>
      <c r="C1309" t="s">
        <v>2175</v>
      </c>
      <c r="D1309">
        <v>1988</v>
      </c>
      <c r="E1309">
        <v>30</v>
      </c>
      <c r="F1309" t="s">
        <v>61</v>
      </c>
      <c r="G1309" t="s">
        <v>505</v>
      </c>
      <c r="H1309">
        <v>18000000</v>
      </c>
      <c r="I1309">
        <v>18000000</v>
      </c>
      <c r="J1309" t="s">
        <v>52</v>
      </c>
      <c r="K1309">
        <v>25</v>
      </c>
      <c r="L1309">
        <v>2199</v>
      </c>
      <c r="M1309">
        <v>1</v>
      </c>
      <c r="N1309">
        <v>1387</v>
      </c>
      <c r="O1309">
        <v>2</v>
      </c>
      <c r="P1309">
        <v>12</v>
      </c>
      <c r="Q1309">
        <v>0</v>
      </c>
      <c r="R1309">
        <v>0</v>
      </c>
      <c r="S1309">
        <v>1</v>
      </c>
      <c r="T1309">
        <v>11</v>
      </c>
      <c r="U1309">
        <v>2</v>
      </c>
      <c r="V1309">
        <v>0</v>
      </c>
      <c r="W1309">
        <v>43</v>
      </c>
      <c r="X1309">
        <v>0</v>
      </c>
      <c r="Y1309">
        <v>0</v>
      </c>
      <c r="Z1309">
        <v>0</v>
      </c>
      <c r="AA1309">
        <v>0</v>
      </c>
      <c r="AB1309">
        <v>1</v>
      </c>
      <c r="AC1309">
        <v>9</v>
      </c>
      <c r="AD1309">
        <v>0</v>
      </c>
      <c r="AE1309">
        <v>0</v>
      </c>
      <c r="AF1309">
        <v>17</v>
      </c>
      <c r="AG1309">
        <v>26</v>
      </c>
      <c r="AH1309">
        <v>37</v>
      </c>
      <c r="AI1309">
        <v>0</v>
      </c>
      <c r="AJ1309">
        <v>42</v>
      </c>
      <c r="AK1309">
        <v>0</v>
      </c>
      <c r="AL1309">
        <v>0</v>
      </c>
      <c r="AM1309">
        <v>108</v>
      </c>
      <c r="AN1309">
        <v>56</v>
      </c>
      <c r="AO1309">
        <v>45</v>
      </c>
      <c r="AQ1309" t="str">
        <f t="shared" si="20"/>
        <v>Defensive Forward</v>
      </c>
    </row>
    <row r="1310" spans="1:43" x14ac:dyDescent="0.35">
      <c r="A1310" t="s">
        <v>773</v>
      </c>
      <c r="B1310" t="s">
        <v>46</v>
      </c>
      <c r="C1310" t="s">
        <v>2176</v>
      </c>
      <c r="D1310">
        <v>1985</v>
      </c>
      <c r="E1310">
        <v>33</v>
      </c>
      <c r="F1310" t="s">
        <v>169</v>
      </c>
      <c r="G1310" t="s">
        <v>172</v>
      </c>
      <c r="H1310">
        <v>900000</v>
      </c>
      <c r="I1310">
        <v>900000</v>
      </c>
      <c r="J1310" t="s">
        <v>52</v>
      </c>
      <c r="K1310">
        <v>28</v>
      </c>
      <c r="L1310">
        <v>2475</v>
      </c>
      <c r="M1310">
        <v>4</v>
      </c>
      <c r="N1310">
        <v>550</v>
      </c>
      <c r="O1310">
        <v>1</v>
      </c>
      <c r="P1310">
        <v>7</v>
      </c>
      <c r="Q1310">
        <v>0</v>
      </c>
      <c r="R1310">
        <v>0</v>
      </c>
      <c r="S1310">
        <v>1</v>
      </c>
      <c r="T1310">
        <v>22</v>
      </c>
      <c r="U1310">
        <v>7</v>
      </c>
      <c r="V1310">
        <v>2</v>
      </c>
      <c r="W1310">
        <v>79</v>
      </c>
      <c r="X1310">
        <v>0</v>
      </c>
      <c r="Y1310">
        <v>0</v>
      </c>
      <c r="Z1310">
        <v>0</v>
      </c>
      <c r="AA1310">
        <v>3</v>
      </c>
      <c r="AB1310">
        <v>1</v>
      </c>
      <c r="AC1310">
        <v>15</v>
      </c>
      <c r="AD1310">
        <v>0</v>
      </c>
      <c r="AE1310">
        <v>1</v>
      </c>
      <c r="AF1310">
        <v>32</v>
      </c>
      <c r="AG1310">
        <v>81</v>
      </c>
      <c r="AH1310">
        <v>35</v>
      </c>
      <c r="AI1310">
        <v>0</v>
      </c>
      <c r="AJ1310">
        <v>74</v>
      </c>
      <c r="AK1310">
        <v>3</v>
      </c>
      <c r="AL1310">
        <v>0</v>
      </c>
      <c r="AM1310">
        <v>175</v>
      </c>
      <c r="AN1310">
        <v>94</v>
      </c>
      <c r="AO1310">
        <v>46</v>
      </c>
      <c r="AQ1310" t="str">
        <f t="shared" si="20"/>
        <v>Defensive Forward</v>
      </c>
    </row>
    <row r="1311" spans="1:43" x14ac:dyDescent="0.35">
      <c r="A1311" t="s">
        <v>774</v>
      </c>
      <c r="B1311" t="s">
        <v>43</v>
      </c>
      <c r="C1311" t="s">
        <v>2177</v>
      </c>
      <c r="D1311">
        <v>1994</v>
      </c>
      <c r="E1311">
        <v>23</v>
      </c>
      <c r="F1311" t="s">
        <v>134</v>
      </c>
      <c r="G1311" t="s">
        <v>51</v>
      </c>
      <c r="H1311">
        <v>550000</v>
      </c>
      <c r="I1311">
        <v>5500000</v>
      </c>
      <c r="J1311" t="s">
        <v>55</v>
      </c>
      <c r="K1311">
        <v>36</v>
      </c>
      <c r="L1311">
        <v>1842</v>
      </c>
      <c r="M1311">
        <v>1</v>
      </c>
      <c r="N1311">
        <v>637</v>
      </c>
      <c r="O1311">
        <v>1</v>
      </c>
      <c r="P1311">
        <v>3</v>
      </c>
      <c r="Q1311">
        <v>0</v>
      </c>
      <c r="R1311">
        <v>18</v>
      </c>
      <c r="S1311">
        <v>8</v>
      </c>
      <c r="T1311">
        <v>28</v>
      </c>
      <c r="U1311">
        <v>9</v>
      </c>
      <c r="V1311">
        <v>2</v>
      </c>
      <c r="W1311">
        <v>13</v>
      </c>
      <c r="X1311">
        <v>1</v>
      </c>
      <c r="Y1311">
        <v>0</v>
      </c>
      <c r="Z1311">
        <v>0</v>
      </c>
      <c r="AA1311">
        <v>7</v>
      </c>
      <c r="AB1311">
        <v>1</v>
      </c>
      <c r="AC1311">
        <v>19</v>
      </c>
      <c r="AD1311">
        <v>18</v>
      </c>
      <c r="AE1311">
        <v>102</v>
      </c>
      <c r="AF1311">
        <v>3</v>
      </c>
      <c r="AG1311">
        <v>13</v>
      </c>
      <c r="AH1311">
        <v>29</v>
      </c>
      <c r="AI1311">
        <v>0</v>
      </c>
      <c r="AJ1311">
        <v>54</v>
      </c>
      <c r="AK1311">
        <v>0</v>
      </c>
      <c r="AL1311">
        <v>0</v>
      </c>
      <c r="AM1311">
        <v>29</v>
      </c>
      <c r="AN1311">
        <v>19</v>
      </c>
      <c r="AO1311">
        <v>42</v>
      </c>
      <c r="AQ1311" t="str">
        <f t="shared" si="20"/>
        <v>Midfielder</v>
      </c>
    </row>
    <row r="1312" spans="1:43" x14ac:dyDescent="0.35">
      <c r="A1312" t="s">
        <v>774</v>
      </c>
      <c r="B1312" t="s">
        <v>46</v>
      </c>
      <c r="C1312" t="s">
        <v>2178</v>
      </c>
      <c r="D1312">
        <v>1994</v>
      </c>
      <c r="E1312">
        <v>24</v>
      </c>
      <c r="F1312" t="s">
        <v>134</v>
      </c>
      <c r="G1312" t="s">
        <v>51</v>
      </c>
      <c r="H1312">
        <v>5500000</v>
      </c>
      <c r="I1312">
        <v>8800000</v>
      </c>
      <c r="J1312" t="s">
        <v>55</v>
      </c>
      <c r="K1312">
        <v>35</v>
      </c>
      <c r="L1312">
        <v>2474</v>
      </c>
      <c r="M1312">
        <v>1</v>
      </c>
      <c r="N1312">
        <v>756</v>
      </c>
      <c r="O1312">
        <v>5</v>
      </c>
      <c r="P1312">
        <v>1</v>
      </c>
      <c r="Q1312">
        <v>0</v>
      </c>
      <c r="R1312">
        <v>5</v>
      </c>
      <c r="S1312">
        <v>14</v>
      </c>
      <c r="T1312">
        <v>43</v>
      </c>
      <c r="U1312">
        <v>9</v>
      </c>
      <c r="V1312">
        <v>0</v>
      </c>
      <c r="W1312">
        <v>6</v>
      </c>
      <c r="X1312">
        <v>0</v>
      </c>
      <c r="Y1312">
        <v>0</v>
      </c>
      <c r="Z1312">
        <v>0</v>
      </c>
      <c r="AA1312">
        <v>6</v>
      </c>
      <c r="AB1312">
        <v>1</v>
      </c>
      <c r="AC1312">
        <v>34</v>
      </c>
      <c r="AD1312">
        <v>38</v>
      </c>
      <c r="AE1312">
        <v>152</v>
      </c>
      <c r="AF1312">
        <v>4</v>
      </c>
      <c r="AG1312">
        <v>27</v>
      </c>
      <c r="AH1312">
        <v>29</v>
      </c>
      <c r="AI1312">
        <v>0</v>
      </c>
      <c r="AJ1312">
        <v>56</v>
      </c>
      <c r="AK1312">
        <v>0</v>
      </c>
      <c r="AL1312">
        <v>0</v>
      </c>
      <c r="AM1312">
        <v>26</v>
      </c>
      <c r="AN1312">
        <v>17</v>
      </c>
      <c r="AO1312">
        <v>61</v>
      </c>
      <c r="AQ1312" t="str">
        <f t="shared" si="20"/>
        <v>Midfielder</v>
      </c>
    </row>
    <row r="1313" spans="1:43" x14ac:dyDescent="0.35">
      <c r="A1313" t="s">
        <v>775</v>
      </c>
      <c r="B1313" t="s">
        <v>39</v>
      </c>
      <c r="C1313" t="s">
        <v>2179</v>
      </c>
      <c r="D1313">
        <v>1992</v>
      </c>
      <c r="E1313">
        <v>23</v>
      </c>
      <c r="F1313" t="s">
        <v>191</v>
      </c>
      <c r="G1313" t="s">
        <v>258</v>
      </c>
      <c r="H1313">
        <v>17600000</v>
      </c>
      <c r="I1313">
        <v>22500000</v>
      </c>
      <c r="J1313" t="s">
        <v>42</v>
      </c>
      <c r="K1313">
        <v>28</v>
      </c>
      <c r="L1313">
        <v>1105</v>
      </c>
      <c r="M1313">
        <v>4</v>
      </c>
      <c r="N1313">
        <v>447</v>
      </c>
      <c r="O1313">
        <v>1</v>
      </c>
      <c r="P1313">
        <v>0</v>
      </c>
      <c r="Q1313">
        <v>0</v>
      </c>
      <c r="R1313">
        <v>15</v>
      </c>
      <c r="S1313">
        <v>12</v>
      </c>
      <c r="T1313">
        <v>38</v>
      </c>
      <c r="U1313">
        <v>13</v>
      </c>
      <c r="V1313">
        <v>0</v>
      </c>
      <c r="W1313">
        <v>3</v>
      </c>
      <c r="X1313">
        <v>0</v>
      </c>
      <c r="Y1313">
        <v>0</v>
      </c>
      <c r="Z1313">
        <v>0</v>
      </c>
      <c r="AA1313">
        <v>9</v>
      </c>
      <c r="AB1313">
        <v>1</v>
      </c>
      <c r="AC1313">
        <v>3</v>
      </c>
      <c r="AD1313">
        <v>9</v>
      </c>
      <c r="AE1313">
        <v>14</v>
      </c>
      <c r="AF1313">
        <v>1</v>
      </c>
      <c r="AG1313">
        <v>12</v>
      </c>
      <c r="AH1313">
        <v>12</v>
      </c>
      <c r="AI1313">
        <v>0</v>
      </c>
      <c r="AJ1313">
        <v>27</v>
      </c>
      <c r="AK1313">
        <v>0</v>
      </c>
      <c r="AL1313">
        <v>0</v>
      </c>
      <c r="AM1313">
        <v>7</v>
      </c>
      <c r="AN1313">
        <v>8</v>
      </c>
      <c r="AO1313">
        <v>17</v>
      </c>
      <c r="AQ1313" t="str">
        <f t="shared" si="20"/>
        <v>Forward</v>
      </c>
    </row>
    <row r="1314" spans="1:43" x14ac:dyDescent="0.35">
      <c r="A1314" t="s">
        <v>775</v>
      </c>
      <c r="B1314" t="s">
        <v>47</v>
      </c>
      <c r="C1314" t="s">
        <v>2180</v>
      </c>
      <c r="D1314">
        <v>1992</v>
      </c>
      <c r="E1314">
        <v>24</v>
      </c>
      <c r="F1314" t="s">
        <v>191</v>
      </c>
      <c r="G1314" t="s">
        <v>258</v>
      </c>
      <c r="H1314">
        <v>22500000</v>
      </c>
      <c r="I1314">
        <v>27000000</v>
      </c>
      <c r="J1314" t="s">
        <v>42</v>
      </c>
      <c r="K1314">
        <v>34</v>
      </c>
      <c r="L1314">
        <v>2068</v>
      </c>
      <c r="M1314">
        <v>14</v>
      </c>
      <c r="N1314">
        <v>775</v>
      </c>
      <c r="O1314">
        <v>6</v>
      </c>
      <c r="P1314">
        <v>2</v>
      </c>
      <c r="Q1314">
        <v>0</v>
      </c>
      <c r="R1314">
        <v>11</v>
      </c>
      <c r="S1314">
        <v>15</v>
      </c>
      <c r="T1314">
        <v>80</v>
      </c>
      <c r="U1314">
        <v>33</v>
      </c>
      <c r="V1314">
        <v>4</v>
      </c>
      <c r="W1314">
        <v>3</v>
      </c>
      <c r="X1314">
        <v>0</v>
      </c>
      <c r="Y1314">
        <v>0</v>
      </c>
      <c r="Z1314">
        <v>0</v>
      </c>
      <c r="AA1314">
        <v>22</v>
      </c>
      <c r="AB1314">
        <v>0</v>
      </c>
      <c r="AC1314">
        <v>5</v>
      </c>
      <c r="AD1314">
        <v>29</v>
      </c>
      <c r="AE1314">
        <v>62</v>
      </c>
      <c r="AF1314">
        <v>1</v>
      </c>
      <c r="AG1314">
        <v>7</v>
      </c>
      <c r="AH1314">
        <v>9</v>
      </c>
      <c r="AI1314">
        <v>0</v>
      </c>
      <c r="AJ1314">
        <v>19</v>
      </c>
      <c r="AK1314">
        <v>0</v>
      </c>
      <c r="AL1314">
        <v>0</v>
      </c>
      <c r="AM1314">
        <v>6</v>
      </c>
      <c r="AN1314">
        <v>10</v>
      </c>
      <c r="AO1314">
        <v>23</v>
      </c>
      <c r="AQ1314" t="str">
        <f t="shared" si="20"/>
        <v>Forward</v>
      </c>
    </row>
    <row r="1315" spans="1:43" x14ac:dyDescent="0.35">
      <c r="A1315" t="s">
        <v>775</v>
      </c>
      <c r="B1315" t="s">
        <v>43</v>
      </c>
      <c r="C1315" t="s">
        <v>2181</v>
      </c>
      <c r="D1315">
        <v>1992</v>
      </c>
      <c r="E1315">
        <v>25</v>
      </c>
      <c r="F1315" t="s">
        <v>191</v>
      </c>
      <c r="G1315" t="s">
        <v>258</v>
      </c>
      <c r="H1315">
        <v>27000000</v>
      </c>
      <c r="I1315">
        <v>45000000</v>
      </c>
      <c r="J1315" t="s">
        <v>42</v>
      </c>
      <c r="K1315">
        <v>37</v>
      </c>
      <c r="L1315">
        <v>2309</v>
      </c>
      <c r="M1315">
        <v>12</v>
      </c>
      <c r="N1315">
        <v>916</v>
      </c>
      <c r="O1315">
        <v>6</v>
      </c>
      <c r="P1315">
        <v>0</v>
      </c>
      <c r="Q1315">
        <v>0</v>
      </c>
      <c r="R1315">
        <v>10</v>
      </c>
      <c r="S1315">
        <v>20</v>
      </c>
      <c r="T1315">
        <v>75</v>
      </c>
      <c r="U1315">
        <v>33</v>
      </c>
      <c r="V1315">
        <v>2</v>
      </c>
      <c r="W1315">
        <v>2</v>
      </c>
      <c r="X1315">
        <v>2</v>
      </c>
      <c r="Y1315">
        <v>0</v>
      </c>
      <c r="Z1315">
        <v>0</v>
      </c>
      <c r="AA1315">
        <v>25</v>
      </c>
      <c r="AB1315">
        <v>6</v>
      </c>
      <c r="AC1315">
        <v>42</v>
      </c>
      <c r="AD1315">
        <v>4</v>
      </c>
      <c r="AE1315">
        <v>51</v>
      </c>
      <c r="AF1315">
        <v>0</v>
      </c>
      <c r="AG1315">
        <v>10</v>
      </c>
      <c r="AH1315">
        <v>15</v>
      </c>
      <c r="AI1315">
        <v>0</v>
      </c>
      <c r="AJ1315">
        <v>17</v>
      </c>
      <c r="AK1315">
        <v>0</v>
      </c>
      <c r="AL1315">
        <v>0</v>
      </c>
      <c r="AM1315">
        <v>9</v>
      </c>
      <c r="AN1315">
        <v>3</v>
      </c>
      <c r="AO1315">
        <v>13</v>
      </c>
      <c r="AQ1315" t="str">
        <f t="shared" si="20"/>
        <v>Forward</v>
      </c>
    </row>
    <row r="1316" spans="1:43" x14ac:dyDescent="0.35">
      <c r="A1316" t="s">
        <v>775</v>
      </c>
      <c r="B1316" t="s">
        <v>46</v>
      </c>
      <c r="C1316" t="s">
        <v>2182</v>
      </c>
      <c r="D1316">
        <v>1992</v>
      </c>
      <c r="E1316">
        <v>26</v>
      </c>
      <c r="F1316" t="s">
        <v>191</v>
      </c>
      <c r="G1316" t="s">
        <v>258</v>
      </c>
      <c r="H1316">
        <v>45000000</v>
      </c>
      <c r="I1316">
        <v>72000000</v>
      </c>
      <c r="J1316" t="s">
        <v>42</v>
      </c>
      <c r="K1316">
        <v>31</v>
      </c>
      <c r="L1316">
        <v>2045</v>
      </c>
      <c r="M1316">
        <v>12</v>
      </c>
      <c r="N1316">
        <v>752</v>
      </c>
      <c r="O1316">
        <v>6</v>
      </c>
      <c r="P1316">
        <v>2</v>
      </c>
      <c r="Q1316">
        <v>1</v>
      </c>
      <c r="R1316">
        <v>8</v>
      </c>
      <c r="S1316">
        <v>16</v>
      </c>
      <c r="T1316">
        <v>74</v>
      </c>
      <c r="U1316">
        <v>29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22</v>
      </c>
      <c r="AB1316">
        <v>5</v>
      </c>
      <c r="AC1316">
        <v>45</v>
      </c>
      <c r="AD1316">
        <v>5</v>
      </c>
      <c r="AE1316">
        <v>25</v>
      </c>
      <c r="AF1316">
        <v>2</v>
      </c>
      <c r="AG1316">
        <v>8</v>
      </c>
      <c r="AH1316">
        <v>12</v>
      </c>
      <c r="AI1316">
        <v>0</v>
      </c>
      <c r="AJ1316">
        <v>23</v>
      </c>
      <c r="AK1316">
        <v>0</v>
      </c>
      <c r="AL1316">
        <v>0</v>
      </c>
      <c r="AM1316">
        <v>4</v>
      </c>
      <c r="AN1316">
        <v>4</v>
      </c>
      <c r="AO1316">
        <v>31</v>
      </c>
      <c r="AQ1316" t="str">
        <f t="shared" si="20"/>
        <v>Forward</v>
      </c>
    </row>
    <row r="1317" spans="1:43" x14ac:dyDescent="0.35">
      <c r="A1317" t="s">
        <v>776</v>
      </c>
      <c r="B1317" t="s">
        <v>39</v>
      </c>
      <c r="C1317" t="s">
        <v>2183</v>
      </c>
      <c r="D1317">
        <v>1984</v>
      </c>
      <c r="E1317">
        <v>31</v>
      </c>
      <c r="F1317" t="s">
        <v>103</v>
      </c>
      <c r="G1317" t="s">
        <v>727</v>
      </c>
      <c r="H1317">
        <v>2000000</v>
      </c>
      <c r="I1317">
        <v>1800000</v>
      </c>
      <c r="J1317" t="s">
        <v>42</v>
      </c>
      <c r="K1317">
        <v>25</v>
      </c>
      <c r="L1317">
        <v>1758</v>
      </c>
      <c r="M1317">
        <v>2</v>
      </c>
      <c r="N1317">
        <v>552</v>
      </c>
      <c r="O1317">
        <v>2</v>
      </c>
      <c r="P1317">
        <v>1</v>
      </c>
      <c r="Q1317">
        <v>0</v>
      </c>
      <c r="R1317">
        <v>4</v>
      </c>
      <c r="S1317">
        <v>12</v>
      </c>
      <c r="T1317">
        <v>31</v>
      </c>
      <c r="U1317">
        <v>10</v>
      </c>
      <c r="V1317">
        <v>0</v>
      </c>
      <c r="W1317">
        <v>4</v>
      </c>
      <c r="X1317">
        <v>0</v>
      </c>
      <c r="Y1317">
        <v>0</v>
      </c>
      <c r="Z1317">
        <v>0</v>
      </c>
      <c r="AA1317">
        <v>2</v>
      </c>
      <c r="AB1317">
        <v>5</v>
      </c>
      <c r="AC1317">
        <v>0</v>
      </c>
      <c r="AD1317">
        <v>28</v>
      </c>
      <c r="AE1317">
        <v>94</v>
      </c>
      <c r="AF1317">
        <v>0</v>
      </c>
      <c r="AG1317">
        <v>15</v>
      </c>
      <c r="AH1317">
        <v>17</v>
      </c>
      <c r="AI1317">
        <v>0</v>
      </c>
      <c r="AJ1317">
        <v>19</v>
      </c>
      <c r="AK1317">
        <v>0</v>
      </c>
      <c r="AL1317">
        <v>0</v>
      </c>
      <c r="AM1317">
        <v>6</v>
      </c>
      <c r="AN1317">
        <v>9</v>
      </c>
      <c r="AO1317">
        <v>28</v>
      </c>
      <c r="AQ1317" t="str">
        <f t="shared" si="20"/>
        <v>Forward</v>
      </c>
    </row>
    <row r="1318" spans="1:43" x14ac:dyDescent="0.35">
      <c r="A1318" t="s">
        <v>777</v>
      </c>
      <c r="B1318" t="s">
        <v>46</v>
      </c>
      <c r="C1318" t="s">
        <v>2184</v>
      </c>
      <c r="D1318">
        <v>1991</v>
      </c>
      <c r="E1318">
        <v>27</v>
      </c>
      <c r="F1318" t="s">
        <v>74</v>
      </c>
      <c r="G1318" t="s">
        <v>87</v>
      </c>
      <c r="H1318">
        <v>4050000</v>
      </c>
      <c r="I1318">
        <v>3600000</v>
      </c>
      <c r="J1318" t="s">
        <v>55</v>
      </c>
      <c r="K1318">
        <v>12</v>
      </c>
      <c r="L1318">
        <v>411</v>
      </c>
      <c r="M1318">
        <v>0</v>
      </c>
      <c r="N1318">
        <v>250</v>
      </c>
      <c r="O1318">
        <v>0</v>
      </c>
      <c r="P1318">
        <v>4</v>
      </c>
      <c r="Q1318">
        <v>0</v>
      </c>
      <c r="R1318">
        <v>8</v>
      </c>
      <c r="S1318">
        <v>3</v>
      </c>
      <c r="T1318">
        <v>1</v>
      </c>
      <c r="U1318">
        <v>0</v>
      </c>
      <c r="V1318">
        <v>0</v>
      </c>
      <c r="W1318">
        <v>3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1</v>
      </c>
      <c r="AD1318">
        <v>2</v>
      </c>
      <c r="AE1318">
        <v>9</v>
      </c>
      <c r="AF1318">
        <v>0</v>
      </c>
      <c r="AG1318">
        <v>3</v>
      </c>
      <c r="AH1318">
        <v>6</v>
      </c>
      <c r="AI1318">
        <v>0</v>
      </c>
      <c r="AJ1318">
        <v>10</v>
      </c>
      <c r="AK1318">
        <v>0</v>
      </c>
      <c r="AL1318">
        <v>0</v>
      </c>
      <c r="AM1318">
        <v>5</v>
      </c>
      <c r="AN1318">
        <v>3</v>
      </c>
      <c r="AO1318">
        <v>6</v>
      </c>
      <c r="AQ1318" t="str">
        <f t="shared" si="20"/>
        <v>Midfielder</v>
      </c>
    </row>
    <row r="1319" spans="1:43" x14ac:dyDescent="0.35">
      <c r="A1319" t="s">
        <v>778</v>
      </c>
      <c r="B1319" t="s">
        <v>47</v>
      </c>
      <c r="C1319" t="s">
        <v>2185</v>
      </c>
      <c r="D1319">
        <v>1989</v>
      </c>
      <c r="E1319">
        <v>26</v>
      </c>
      <c r="F1319" t="s">
        <v>66</v>
      </c>
      <c r="G1319" t="s">
        <v>82</v>
      </c>
      <c r="H1319">
        <v>7150000</v>
      </c>
      <c r="I1319">
        <v>5400000</v>
      </c>
      <c r="J1319" t="s">
        <v>42</v>
      </c>
      <c r="K1319">
        <v>19</v>
      </c>
      <c r="L1319">
        <v>954</v>
      </c>
      <c r="M1319">
        <v>4</v>
      </c>
      <c r="N1319">
        <v>230</v>
      </c>
      <c r="O1319">
        <v>0</v>
      </c>
      <c r="P1319">
        <v>5</v>
      </c>
      <c r="Q1319">
        <v>0</v>
      </c>
      <c r="R1319">
        <v>9</v>
      </c>
      <c r="S1319">
        <v>5</v>
      </c>
      <c r="T1319">
        <v>27</v>
      </c>
      <c r="U1319">
        <v>12</v>
      </c>
      <c r="V1319">
        <v>1</v>
      </c>
      <c r="W1319">
        <v>5</v>
      </c>
      <c r="X1319">
        <v>1</v>
      </c>
      <c r="Y1319">
        <v>0</v>
      </c>
      <c r="Z1319">
        <v>0</v>
      </c>
      <c r="AA1319">
        <v>11</v>
      </c>
      <c r="AB1319">
        <v>0</v>
      </c>
      <c r="AC1319">
        <v>1</v>
      </c>
      <c r="AD1319">
        <v>0</v>
      </c>
      <c r="AE1319">
        <v>5</v>
      </c>
      <c r="AF1319">
        <v>1</v>
      </c>
      <c r="AG1319">
        <v>0</v>
      </c>
      <c r="AH1319">
        <v>30</v>
      </c>
      <c r="AI1319">
        <v>0</v>
      </c>
      <c r="AJ1319">
        <v>12</v>
      </c>
      <c r="AK1319">
        <v>0</v>
      </c>
      <c r="AL1319">
        <v>0</v>
      </c>
      <c r="AM1319">
        <v>10</v>
      </c>
      <c r="AN1319">
        <v>40</v>
      </c>
      <c r="AO1319">
        <v>53</v>
      </c>
      <c r="AQ1319" t="str">
        <f t="shared" si="20"/>
        <v>Forward</v>
      </c>
    </row>
    <row r="1320" spans="1:43" x14ac:dyDescent="0.35">
      <c r="A1320" t="s">
        <v>778</v>
      </c>
      <c r="B1320" t="s">
        <v>43</v>
      </c>
      <c r="C1320" t="s">
        <v>2186</v>
      </c>
      <c r="D1320">
        <v>1989</v>
      </c>
      <c r="E1320">
        <v>28</v>
      </c>
      <c r="F1320" t="s">
        <v>66</v>
      </c>
      <c r="G1320" t="s">
        <v>82</v>
      </c>
      <c r="H1320">
        <v>5400000</v>
      </c>
      <c r="I1320">
        <v>4500000</v>
      </c>
      <c r="J1320" t="s">
        <v>42</v>
      </c>
      <c r="K1320">
        <v>15</v>
      </c>
      <c r="L1320">
        <v>445</v>
      </c>
      <c r="M1320">
        <v>1</v>
      </c>
      <c r="N1320">
        <v>154</v>
      </c>
      <c r="O1320">
        <v>1</v>
      </c>
      <c r="P1320">
        <v>2</v>
      </c>
      <c r="Q1320">
        <v>0</v>
      </c>
      <c r="R1320">
        <v>12</v>
      </c>
      <c r="S1320">
        <v>3</v>
      </c>
      <c r="T1320">
        <v>10</v>
      </c>
      <c r="U1320">
        <v>3</v>
      </c>
      <c r="V1320">
        <v>1</v>
      </c>
      <c r="W1320">
        <v>0</v>
      </c>
      <c r="X1320">
        <v>1</v>
      </c>
      <c r="Y1320">
        <v>0</v>
      </c>
      <c r="Z1320">
        <v>0</v>
      </c>
      <c r="AA1320">
        <v>4</v>
      </c>
      <c r="AB1320">
        <v>2</v>
      </c>
      <c r="AC1320">
        <v>7</v>
      </c>
      <c r="AD1320">
        <v>0</v>
      </c>
      <c r="AE1320">
        <v>1</v>
      </c>
      <c r="AF1320">
        <v>0</v>
      </c>
      <c r="AG1320">
        <v>0</v>
      </c>
      <c r="AH1320">
        <v>21</v>
      </c>
      <c r="AI1320">
        <v>0</v>
      </c>
      <c r="AJ1320">
        <v>6</v>
      </c>
      <c r="AK1320">
        <v>0</v>
      </c>
      <c r="AL1320">
        <v>0</v>
      </c>
      <c r="AM1320">
        <v>0</v>
      </c>
      <c r="AN1320">
        <v>22</v>
      </c>
      <c r="AO1320">
        <v>30</v>
      </c>
      <c r="AQ1320" t="str">
        <f t="shared" si="20"/>
        <v>Forward</v>
      </c>
    </row>
    <row r="1321" spans="1:43" x14ac:dyDescent="0.35">
      <c r="A1321" t="s">
        <v>779</v>
      </c>
      <c r="B1321" t="s">
        <v>46</v>
      </c>
      <c r="C1321" t="s">
        <v>2187</v>
      </c>
      <c r="D1321">
        <v>1984</v>
      </c>
      <c r="E1321">
        <v>34</v>
      </c>
      <c r="F1321" t="s">
        <v>61</v>
      </c>
      <c r="G1321" t="s">
        <v>138</v>
      </c>
      <c r="H1321">
        <v>1350000</v>
      </c>
      <c r="I1321">
        <v>900000</v>
      </c>
      <c r="J1321" t="s">
        <v>52</v>
      </c>
      <c r="K1321">
        <v>14</v>
      </c>
      <c r="L1321">
        <v>940</v>
      </c>
      <c r="M1321">
        <v>0</v>
      </c>
      <c r="N1321">
        <v>480</v>
      </c>
      <c r="O1321">
        <v>0</v>
      </c>
      <c r="P1321">
        <v>3</v>
      </c>
      <c r="Q1321">
        <v>0</v>
      </c>
      <c r="R1321">
        <v>4</v>
      </c>
      <c r="S1321">
        <v>6</v>
      </c>
      <c r="T1321">
        <v>1</v>
      </c>
      <c r="U1321">
        <v>0</v>
      </c>
      <c r="V1321">
        <v>0</v>
      </c>
      <c r="W1321">
        <v>16</v>
      </c>
      <c r="X1321">
        <v>0</v>
      </c>
      <c r="Y1321">
        <v>0</v>
      </c>
      <c r="Z1321">
        <v>0</v>
      </c>
      <c r="AA1321">
        <v>2</v>
      </c>
      <c r="AB1321">
        <v>0</v>
      </c>
      <c r="AC1321">
        <v>1</v>
      </c>
      <c r="AD1321">
        <v>0</v>
      </c>
      <c r="AE1321">
        <v>30</v>
      </c>
      <c r="AF1321">
        <v>4</v>
      </c>
      <c r="AG1321">
        <v>9</v>
      </c>
      <c r="AH1321">
        <v>11</v>
      </c>
      <c r="AI1321">
        <v>0</v>
      </c>
      <c r="AJ1321">
        <v>15</v>
      </c>
      <c r="AK1321">
        <v>1</v>
      </c>
      <c r="AL1321">
        <v>0</v>
      </c>
      <c r="AM1321">
        <v>23</v>
      </c>
      <c r="AN1321">
        <v>22</v>
      </c>
      <c r="AO1321">
        <v>20</v>
      </c>
      <c r="AQ1321" t="str">
        <f t="shared" si="20"/>
        <v>Defensive Forward</v>
      </c>
    </row>
    <row r="1322" spans="1:43" x14ac:dyDescent="0.35">
      <c r="A1322" t="s">
        <v>780</v>
      </c>
      <c r="B1322" t="s">
        <v>39</v>
      </c>
      <c r="C1322" t="s">
        <v>2188</v>
      </c>
      <c r="D1322">
        <v>1986</v>
      </c>
      <c r="E1322">
        <v>28</v>
      </c>
      <c r="F1322" t="s">
        <v>184</v>
      </c>
      <c r="G1322" t="s">
        <v>260</v>
      </c>
      <c r="H1322">
        <v>1800000</v>
      </c>
      <c r="I1322">
        <v>1350000</v>
      </c>
      <c r="J1322" t="s">
        <v>55</v>
      </c>
      <c r="K1322">
        <v>13</v>
      </c>
      <c r="L1322">
        <v>231</v>
      </c>
      <c r="M1322">
        <v>0</v>
      </c>
      <c r="N1322">
        <v>160</v>
      </c>
      <c r="O1322">
        <v>1</v>
      </c>
      <c r="P1322">
        <v>2</v>
      </c>
      <c r="Q1322">
        <v>0</v>
      </c>
      <c r="R1322">
        <v>13</v>
      </c>
      <c r="S1322">
        <v>0</v>
      </c>
      <c r="T1322">
        <v>3</v>
      </c>
      <c r="U1322">
        <v>0</v>
      </c>
      <c r="V1322">
        <v>0</v>
      </c>
      <c r="W1322">
        <v>1</v>
      </c>
      <c r="X1322">
        <v>0</v>
      </c>
      <c r="Y1322">
        <v>0</v>
      </c>
      <c r="Z1322">
        <v>0</v>
      </c>
      <c r="AA1322">
        <v>0</v>
      </c>
      <c r="AB1322">
        <v>4</v>
      </c>
      <c r="AC1322">
        <v>0</v>
      </c>
      <c r="AD1322">
        <v>4</v>
      </c>
      <c r="AE1322">
        <v>9</v>
      </c>
      <c r="AF1322">
        <v>0</v>
      </c>
      <c r="AG1322">
        <v>3</v>
      </c>
      <c r="AH1322">
        <v>4</v>
      </c>
      <c r="AI1322">
        <v>0</v>
      </c>
      <c r="AJ1322">
        <v>10</v>
      </c>
      <c r="AK1322">
        <v>0</v>
      </c>
      <c r="AL1322">
        <v>0</v>
      </c>
      <c r="AM1322">
        <v>1</v>
      </c>
      <c r="AN1322">
        <v>2</v>
      </c>
      <c r="AO1322">
        <v>6</v>
      </c>
      <c r="AQ1322" t="str">
        <f t="shared" si="20"/>
        <v>Midfielder</v>
      </c>
    </row>
    <row r="1323" spans="1:43" x14ac:dyDescent="0.35">
      <c r="A1323" t="s">
        <v>781</v>
      </c>
      <c r="B1323" t="s">
        <v>47</v>
      </c>
      <c r="C1323" t="s">
        <v>2189</v>
      </c>
      <c r="D1323">
        <v>1994</v>
      </c>
      <c r="E1323">
        <v>22</v>
      </c>
      <c r="F1323" t="s">
        <v>40</v>
      </c>
      <c r="G1323" t="s">
        <v>108</v>
      </c>
      <c r="H1323">
        <v>550000</v>
      </c>
      <c r="I1323">
        <v>825000</v>
      </c>
      <c r="J1323" t="s">
        <v>52</v>
      </c>
      <c r="K1323">
        <v>13</v>
      </c>
      <c r="L1323">
        <v>1036</v>
      </c>
      <c r="M1323">
        <v>0</v>
      </c>
      <c r="N1323">
        <v>434</v>
      </c>
      <c r="O1323">
        <v>0</v>
      </c>
      <c r="P1323">
        <v>0</v>
      </c>
      <c r="Q1323">
        <v>0</v>
      </c>
      <c r="R1323">
        <v>1</v>
      </c>
      <c r="S1323">
        <v>1</v>
      </c>
      <c r="T1323">
        <v>4</v>
      </c>
      <c r="U1323">
        <v>1</v>
      </c>
      <c r="V1323">
        <v>0</v>
      </c>
      <c r="W1323">
        <v>7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47</v>
      </c>
      <c r="AF1323">
        <v>4</v>
      </c>
      <c r="AG1323">
        <v>8</v>
      </c>
      <c r="AH1323">
        <v>3</v>
      </c>
      <c r="AI1323">
        <v>0</v>
      </c>
      <c r="AJ1323">
        <v>12</v>
      </c>
      <c r="AK1323">
        <v>0</v>
      </c>
      <c r="AL1323">
        <v>0</v>
      </c>
      <c r="AM1323">
        <v>24</v>
      </c>
      <c r="AN1323">
        <v>7</v>
      </c>
      <c r="AO1323">
        <v>12</v>
      </c>
      <c r="AQ1323" t="str">
        <f t="shared" si="20"/>
        <v>Defensive Forward</v>
      </c>
    </row>
    <row r="1324" spans="1:43" x14ac:dyDescent="0.35">
      <c r="A1324" t="s">
        <v>782</v>
      </c>
      <c r="B1324" t="s">
        <v>43</v>
      </c>
      <c r="C1324" t="s">
        <v>2190</v>
      </c>
      <c r="D1324">
        <v>1985</v>
      </c>
      <c r="E1324">
        <v>32</v>
      </c>
      <c r="F1324" t="s">
        <v>56</v>
      </c>
      <c r="G1324" t="s">
        <v>260</v>
      </c>
      <c r="H1324">
        <v>1350000</v>
      </c>
      <c r="I1324">
        <v>2700000</v>
      </c>
      <c r="J1324" t="s">
        <v>52</v>
      </c>
      <c r="K1324">
        <v>28</v>
      </c>
      <c r="L1324">
        <v>2462</v>
      </c>
      <c r="M1324">
        <v>1</v>
      </c>
      <c r="N1324">
        <v>923</v>
      </c>
      <c r="O1324">
        <v>1</v>
      </c>
      <c r="P1324">
        <v>1</v>
      </c>
      <c r="Q1324">
        <v>0</v>
      </c>
      <c r="R1324">
        <v>0</v>
      </c>
      <c r="S1324">
        <v>2</v>
      </c>
      <c r="T1324">
        <v>1</v>
      </c>
      <c r="U1324">
        <v>1</v>
      </c>
      <c r="V1324">
        <v>0</v>
      </c>
      <c r="W1324">
        <v>47</v>
      </c>
      <c r="X1324">
        <v>0</v>
      </c>
      <c r="Y1324">
        <v>0</v>
      </c>
      <c r="Z1324">
        <v>0</v>
      </c>
      <c r="AA1324">
        <v>3</v>
      </c>
      <c r="AB1324">
        <v>0</v>
      </c>
      <c r="AC1324">
        <v>0</v>
      </c>
      <c r="AD1324">
        <v>0</v>
      </c>
      <c r="AE1324">
        <v>82</v>
      </c>
      <c r="AF1324">
        <v>12</v>
      </c>
      <c r="AG1324">
        <v>42</v>
      </c>
      <c r="AH1324">
        <v>11</v>
      </c>
      <c r="AI1324">
        <v>0</v>
      </c>
      <c r="AJ1324">
        <v>39</v>
      </c>
      <c r="AK1324">
        <v>0</v>
      </c>
      <c r="AL1324">
        <v>0</v>
      </c>
      <c r="AM1324">
        <v>102</v>
      </c>
      <c r="AN1324">
        <v>59</v>
      </c>
      <c r="AO1324">
        <v>28</v>
      </c>
      <c r="AQ1324" t="str">
        <f t="shared" si="20"/>
        <v>Defensive Forward</v>
      </c>
    </row>
    <row r="1325" spans="1:43" x14ac:dyDescent="0.35">
      <c r="A1325" t="s">
        <v>782</v>
      </c>
      <c r="B1325" t="s">
        <v>47</v>
      </c>
      <c r="C1325" t="s">
        <v>2191</v>
      </c>
      <c r="D1325">
        <v>1985</v>
      </c>
      <c r="E1325">
        <v>30</v>
      </c>
      <c r="F1325" t="s">
        <v>56</v>
      </c>
      <c r="G1325" t="s">
        <v>260</v>
      </c>
      <c r="H1325">
        <v>900000</v>
      </c>
      <c r="I1325">
        <v>1350000</v>
      </c>
      <c r="J1325" t="s">
        <v>52</v>
      </c>
      <c r="K1325">
        <v>37</v>
      </c>
      <c r="L1325">
        <v>3232</v>
      </c>
      <c r="M1325">
        <v>1</v>
      </c>
      <c r="N1325">
        <v>1130</v>
      </c>
      <c r="O1325">
        <v>1</v>
      </c>
      <c r="P1325">
        <v>5</v>
      </c>
      <c r="Q1325">
        <v>0</v>
      </c>
      <c r="R1325">
        <v>0</v>
      </c>
      <c r="S1325">
        <v>3</v>
      </c>
      <c r="T1325">
        <v>7</v>
      </c>
      <c r="U1325">
        <v>1</v>
      </c>
      <c r="V1325">
        <v>0</v>
      </c>
      <c r="W1325">
        <v>85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111</v>
      </c>
      <c r="AF1325">
        <v>16</v>
      </c>
      <c r="AG1325">
        <v>74</v>
      </c>
      <c r="AH1325">
        <v>35</v>
      </c>
      <c r="AI1325">
        <v>0</v>
      </c>
      <c r="AJ1325">
        <v>70</v>
      </c>
      <c r="AK1325">
        <v>0</v>
      </c>
      <c r="AL1325">
        <v>0</v>
      </c>
      <c r="AM1325">
        <v>153</v>
      </c>
      <c r="AN1325">
        <v>64</v>
      </c>
      <c r="AO1325">
        <v>57</v>
      </c>
      <c r="AQ1325" t="str">
        <f t="shared" si="20"/>
        <v>Defensive Forward</v>
      </c>
    </row>
    <row r="1326" spans="1:43" x14ac:dyDescent="0.35">
      <c r="A1326" t="s">
        <v>783</v>
      </c>
      <c r="B1326" t="s">
        <v>47</v>
      </c>
      <c r="C1326" t="s">
        <v>2192</v>
      </c>
      <c r="D1326">
        <v>1991</v>
      </c>
      <c r="E1326">
        <v>25</v>
      </c>
      <c r="F1326" t="s">
        <v>84</v>
      </c>
      <c r="G1326" t="s">
        <v>51</v>
      </c>
      <c r="H1326">
        <v>5000000</v>
      </c>
      <c r="I1326">
        <v>5000000</v>
      </c>
      <c r="J1326" t="s">
        <v>55</v>
      </c>
      <c r="K1326">
        <v>38</v>
      </c>
      <c r="L1326">
        <v>3420</v>
      </c>
      <c r="M1326">
        <v>2</v>
      </c>
      <c r="N1326">
        <v>1716</v>
      </c>
      <c r="O1326">
        <v>0</v>
      </c>
      <c r="P1326">
        <v>5</v>
      </c>
      <c r="Q1326">
        <v>0</v>
      </c>
      <c r="R1326">
        <v>0</v>
      </c>
      <c r="S1326">
        <v>0</v>
      </c>
      <c r="T1326">
        <v>29</v>
      </c>
      <c r="U1326">
        <v>9</v>
      </c>
      <c r="V1326">
        <v>0</v>
      </c>
      <c r="W1326">
        <v>226</v>
      </c>
      <c r="X1326">
        <v>1</v>
      </c>
      <c r="Y1326">
        <v>0</v>
      </c>
      <c r="Z1326">
        <v>0</v>
      </c>
      <c r="AA1326">
        <v>0</v>
      </c>
      <c r="AB1326">
        <v>2</v>
      </c>
      <c r="AC1326">
        <v>1</v>
      </c>
      <c r="AD1326">
        <v>0</v>
      </c>
      <c r="AE1326">
        <v>13</v>
      </c>
      <c r="AF1326">
        <v>39</v>
      </c>
      <c r="AG1326">
        <v>76</v>
      </c>
      <c r="AH1326">
        <v>16</v>
      </c>
      <c r="AI1326">
        <v>0</v>
      </c>
      <c r="AJ1326">
        <v>46</v>
      </c>
      <c r="AK1326">
        <v>2</v>
      </c>
      <c r="AL1326">
        <v>1</v>
      </c>
      <c r="AM1326">
        <v>352</v>
      </c>
      <c r="AN1326">
        <v>145</v>
      </c>
      <c r="AO1326">
        <v>74</v>
      </c>
      <c r="AQ1326" t="str">
        <f t="shared" si="20"/>
        <v>Midfielder</v>
      </c>
    </row>
    <row r="1327" spans="1:43" x14ac:dyDescent="0.35">
      <c r="A1327" t="s">
        <v>783</v>
      </c>
      <c r="B1327" t="s">
        <v>43</v>
      </c>
      <c r="C1327" t="s">
        <v>2193</v>
      </c>
      <c r="D1327">
        <v>1991</v>
      </c>
      <c r="E1327">
        <v>26</v>
      </c>
      <c r="F1327" t="s">
        <v>84</v>
      </c>
      <c r="G1327" t="s">
        <v>51</v>
      </c>
      <c r="H1327">
        <v>4500000</v>
      </c>
      <c r="I1327">
        <v>6300000</v>
      </c>
      <c r="J1327" t="s">
        <v>52</v>
      </c>
      <c r="K1327">
        <v>34</v>
      </c>
      <c r="L1327">
        <v>2766</v>
      </c>
      <c r="M1327">
        <v>2</v>
      </c>
      <c r="N1327">
        <v>1321</v>
      </c>
      <c r="O1327">
        <v>1</v>
      </c>
      <c r="P1327">
        <v>5</v>
      </c>
      <c r="Q1327">
        <v>0</v>
      </c>
      <c r="R1327">
        <v>3</v>
      </c>
      <c r="S1327">
        <v>2</v>
      </c>
      <c r="T1327">
        <v>22</v>
      </c>
      <c r="U1327">
        <v>6</v>
      </c>
      <c r="V1327">
        <v>1</v>
      </c>
      <c r="W1327">
        <v>122</v>
      </c>
      <c r="X1327">
        <v>2</v>
      </c>
      <c r="Y1327">
        <v>0</v>
      </c>
      <c r="Z1327">
        <v>0</v>
      </c>
      <c r="AA1327">
        <v>1</v>
      </c>
      <c r="AB1327">
        <v>0</v>
      </c>
      <c r="AC1327">
        <v>16</v>
      </c>
      <c r="AD1327">
        <v>0</v>
      </c>
      <c r="AE1327">
        <v>6</v>
      </c>
      <c r="AF1327">
        <v>45</v>
      </c>
      <c r="AG1327">
        <v>54</v>
      </c>
      <c r="AH1327">
        <v>22</v>
      </c>
      <c r="AI1327">
        <v>1</v>
      </c>
      <c r="AJ1327">
        <v>37</v>
      </c>
      <c r="AK1327">
        <v>3</v>
      </c>
      <c r="AL1327">
        <v>1</v>
      </c>
      <c r="AM1327">
        <v>225</v>
      </c>
      <c r="AN1327">
        <v>137</v>
      </c>
      <c r="AO1327">
        <v>68</v>
      </c>
      <c r="AQ1327" t="str">
        <f t="shared" si="20"/>
        <v>Defensive Forward</v>
      </c>
    </row>
    <row r="1328" spans="1:43" x14ac:dyDescent="0.35">
      <c r="A1328" t="s">
        <v>783</v>
      </c>
      <c r="B1328" t="s">
        <v>39</v>
      </c>
      <c r="C1328" t="s">
        <v>2194</v>
      </c>
      <c r="D1328">
        <v>1991</v>
      </c>
      <c r="E1328">
        <v>24</v>
      </c>
      <c r="F1328" t="s">
        <v>84</v>
      </c>
      <c r="G1328" t="s">
        <v>51</v>
      </c>
      <c r="H1328">
        <v>1800000</v>
      </c>
      <c r="I1328">
        <v>4500000</v>
      </c>
      <c r="J1328" t="s">
        <v>52</v>
      </c>
      <c r="K1328">
        <v>36</v>
      </c>
      <c r="L1328">
        <v>3195</v>
      </c>
      <c r="M1328">
        <v>4</v>
      </c>
      <c r="N1328">
        <v>1577</v>
      </c>
      <c r="O1328">
        <v>0</v>
      </c>
      <c r="P1328">
        <v>5</v>
      </c>
      <c r="Q1328">
        <v>0</v>
      </c>
      <c r="R1328">
        <v>0</v>
      </c>
      <c r="S1328">
        <v>1</v>
      </c>
      <c r="T1328">
        <v>25</v>
      </c>
      <c r="U1328">
        <v>8</v>
      </c>
      <c r="V1328">
        <v>0</v>
      </c>
      <c r="W1328">
        <v>188</v>
      </c>
      <c r="X1328">
        <v>2</v>
      </c>
      <c r="Y1328">
        <v>0</v>
      </c>
      <c r="Z1328">
        <v>0</v>
      </c>
      <c r="AA1328">
        <v>2</v>
      </c>
      <c r="AB1328">
        <v>0</v>
      </c>
      <c r="AC1328">
        <v>0</v>
      </c>
      <c r="AD1328">
        <v>0</v>
      </c>
      <c r="AE1328">
        <v>1</v>
      </c>
      <c r="AF1328">
        <v>35</v>
      </c>
      <c r="AG1328">
        <v>84</v>
      </c>
      <c r="AH1328">
        <v>16</v>
      </c>
      <c r="AI1328">
        <v>0</v>
      </c>
      <c r="AJ1328">
        <v>33</v>
      </c>
      <c r="AK1328">
        <v>0</v>
      </c>
      <c r="AL1328">
        <v>0</v>
      </c>
      <c r="AM1328">
        <v>298</v>
      </c>
      <c r="AN1328">
        <v>123</v>
      </c>
      <c r="AO1328">
        <v>64</v>
      </c>
      <c r="AQ1328" t="str">
        <f t="shared" si="20"/>
        <v>Defensive Forward</v>
      </c>
    </row>
    <row r="1329" spans="1:43" x14ac:dyDescent="0.35">
      <c r="A1329" t="s">
        <v>783</v>
      </c>
      <c r="B1329" t="s">
        <v>46</v>
      </c>
      <c r="C1329" t="s">
        <v>2195</v>
      </c>
      <c r="D1329">
        <v>1991</v>
      </c>
      <c r="E1329">
        <v>27</v>
      </c>
      <c r="F1329" t="s">
        <v>84</v>
      </c>
      <c r="G1329" t="s">
        <v>51</v>
      </c>
      <c r="H1329">
        <v>6300000</v>
      </c>
      <c r="I1329">
        <v>9000000</v>
      </c>
      <c r="J1329" t="s">
        <v>52</v>
      </c>
      <c r="K1329">
        <v>31</v>
      </c>
      <c r="L1329">
        <v>2787</v>
      </c>
      <c r="M1329">
        <v>1</v>
      </c>
      <c r="N1329">
        <v>1501</v>
      </c>
      <c r="O1329">
        <v>1</v>
      </c>
      <c r="P1329">
        <v>3</v>
      </c>
      <c r="Q1329">
        <v>0</v>
      </c>
      <c r="R1329">
        <v>0</v>
      </c>
      <c r="S1329">
        <v>1</v>
      </c>
      <c r="T1329">
        <v>21</v>
      </c>
      <c r="U1329">
        <v>9</v>
      </c>
      <c r="V1329">
        <v>0</v>
      </c>
      <c r="W1329">
        <v>97</v>
      </c>
      <c r="X1329">
        <v>1</v>
      </c>
      <c r="Y1329">
        <v>0</v>
      </c>
      <c r="Z1329">
        <v>0</v>
      </c>
      <c r="AA1329">
        <v>1</v>
      </c>
      <c r="AB1329">
        <v>0</v>
      </c>
      <c r="AC1329">
        <v>12</v>
      </c>
      <c r="AD1329">
        <v>0</v>
      </c>
      <c r="AE1329">
        <v>11</v>
      </c>
      <c r="AF1329">
        <v>21</v>
      </c>
      <c r="AG1329">
        <v>50</v>
      </c>
      <c r="AH1329">
        <v>18</v>
      </c>
      <c r="AI1329">
        <v>1</v>
      </c>
      <c r="AJ1329">
        <v>36</v>
      </c>
      <c r="AK1329">
        <v>0</v>
      </c>
      <c r="AL1329">
        <v>1</v>
      </c>
      <c r="AM1329">
        <v>198</v>
      </c>
      <c r="AN1329">
        <v>126</v>
      </c>
      <c r="AO1329">
        <v>75</v>
      </c>
      <c r="AQ1329" t="str">
        <f t="shared" si="20"/>
        <v>Defensive Forward</v>
      </c>
    </row>
    <row r="1330" spans="1:43" x14ac:dyDescent="0.35">
      <c r="A1330" t="s">
        <v>784</v>
      </c>
      <c r="B1330" t="s">
        <v>43</v>
      </c>
      <c r="C1330" t="s">
        <v>2196</v>
      </c>
      <c r="D1330">
        <v>1994</v>
      </c>
      <c r="E1330">
        <v>23</v>
      </c>
      <c r="F1330" t="s">
        <v>58</v>
      </c>
      <c r="G1330" t="s">
        <v>727</v>
      </c>
      <c r="H1330">
        <v>6050000</v>
      </c>
      <c r="I1330">
        <v>9000000</v>
      </c>
      <c r="J1330" t="s">
        <v>42</v>
      </c>
      <c r="K1330">
        <v>28</v>
      </c>
      <c r="L1330">
        <v>1858</v>
      </c>
      <c r="M1330">
        <v>7</v>
      </c>
      <c r="N1330">
        <v>523</v>
      </c>
      <c r="O1330">
        <v>1</v>
      </c>
      <c r="P1330">
        <v>2</v>
      </c>
      <c r="Q1330">
        <v>0</v>
      </c>
      <c r="R1330">
        <v>7</v>
      </c>
      <c r="S1330">
        <v>9</v>
      </c>
      <c r="T1330">
        <v>49</v>
      </c>
      <c r="U1330">
        <v>21</v>
      </c>
      <c r="V1330">
        <v>2</v>
      </c>
      <c r="W1330">
        <v>22</v>
      </c>
      <c r="X1330">
        <v>3</v>
      </c>
      <c r="Y1330">
        <v>0</v>
      </c>
      <c r="Z1330">
        <v>0</v>
      </c>
      <c r="AA1330">
        <v>23</v>
      </c>
      <c r="AB1330">
        <v>2</v>
      </c>
      <c r="AC1330">
        <v>28</v>
      </c>
      <c r="AD1330">
        <v>0</v>
      </c>
      <c r="AE1330">
        <v>9</v>
      </c>
      <c r="AF1330">
        <v>3</v>
      </c>
      <c r="AG1330">
        <v>7</v>
      </c>
      <c r="AH1330">
        <v>28</v>
      </c>
      <c r="AI1330">
        <v>0</v>
      </c>
      <c r="AJ1330">
        <v>11</v>
      </c>
      <c r="AK1330">
        <v>0</v>
      </c>
      <c r="AL1330">
        <v>0</v>
      </c>
      <c r="AM1330">
        <v>29</v>
      </c>
      <c r="AN1330">
        <v>146</v>
      </c>
      <c r="AO1330">
        <v>134</v>
      </c>
      <c r="AQ1330" t="str">
        <f t="shared" si="20"/>
        <v>Forward</v>
      </c>
    </row>
    <row r="1331" spans="1:43" x14ac:dyDescent="0.35">
      <c r="A1331" t="s">
        <v>784</v>
      </c>
      <c r="B1331" t="s">
        <v>46</v>
      </c>
      <c r="C1331" t="s">
        <v>2197</v>
      </c>
      <c r="D1331">
        <v>1994</v>
      </c>
      <c r="E1331">
        <v>24</v>
      </c>
      <c r="F1331" t="s">
        <v>58</v>
      </c>
      <c r="G1331" t="s">
        <v>727</v>
      </c>
      <c r="H1331">
        <v>9000000</v>
      </c>
      <c r="I1331">
        <v>9000000</v>
      </c>
      <c r="J1331" t="s">
        <v>42</v>
      </c>
      <c r="K1331">
        <v>31</v>
      </c>
      <c r="L1331">
        <v>1776</v>
      </c>
      <c r="M1331">
        <v>2</v>
      </c>
      <c r="N1331">
        <v>557</v>
      </c>
      <c r="O1331">
        <v>3</v>
      </c>
      <c r="P1331">
        <v>1</v>
      </c>
      <c r="Q1331">
        <v>1</v>
      </c>
      <c r="R1331">
        <v>12</v>
      </c>
      <c r="S1331">
        <v>10</v>
      </c>
      <c r="T1331">
        <v>61</v>
      </c>
      <c r="U1331">
        <v>23</v>
      </c>
      <c r="V1331">
        <v>2</v>
      </c>
      <c r="W1331">
        <v>11</v>
      </c>
      <c r="X1331">
        <v>1</v>
      </c>
      <c r="Y1331">
        <v>0</v>
      </c>
      <c r="Z1331">
        <v>0</v>
      </c>
      <c r="AA1331">
        <v>15</v>
      </c>
      <c r="AB1331">
        <v>0</v>
      </c>
      <c r="AC1331">
        <v>38</v>
      </c>
      <c r="AD1331">
        <v>0</v>
      </c>
      <c r="AE1331">
        <v>9</v>
      </c>
      <c r="AF1331">
        <v>1</v>
      </c>
      <c r="AG1331">
        <v>5</v>
      </c>
      <c r="AH1331">
        <v>32</v>
      </c>
      <c r="AI1331">
        <v>0</v>
      </c>
      <c r="AJ1331">
        <v>9</v>
      </c>
      <c r="AK1331">
        <v>0</v>
      </c>
      <c r="AL1331">
        <v>0</v>
      </c>
      <c r="AM1331">
        <v>15</v>
      </c>
      <c r="AN1331">
        <v>212</v>
      </c>
      <c r="AO1331">
        <v>134</v>
      </c>
      <c r="AQ1331" t="str">
        <f t="shared" si="20"/>
        <v>Forward</v>
      </c>
    </row>
    <row r="1332" spans="1:43" x14ac:dyDescent="0.35">
      <c r="A1332" t="s">
        <v>785</v>
      </c>
      <c r="B1332" t="s">
        <v>39</v>
      </c>
      <c r="C1332" t="s">
        <v>2198</v>
      </c>
      <c r="D1332">
        <v>1985</v>
      </c>
      <c r="E1332">
        <v>30</v>
      </c>
      <c r="F1332" t="s">
        <v>220</v>
      </c>
      <c r="G1332" t="s">
        <v>245</v>
      </c>
      <c r="H1332">
        <v>6050000</v>
      </c>
      <c r="I1332">
        <v>6600000</v>
      </c>
      <c r="J1332" t="s">
        <v>55</v>
      </c>
      <c r="K1332">
        <v>34</v>
      </c>
      <c r="L1332">
        <v>2611</v>
      </c>
      <c r="M1332">
        <v>5</v>
      </c>
      <c r="N1332">
        <v>1505</v>
      </c>
      <c r="O1332">
        <v>3</v>
      </c>
      <c r="P1332">
        <v>4</v>
      </c>
      <c r="Q1332">
        <v>0</v>
      </c>
      <c r="R1332">
        <v>3</v>
      </c>
      <c r="S1332">
        <v>14</v>
      </c>
      <c r="T1332">
        <v>20</v>
      </c>
      <c r="U1332">
        <v>9</v>
      </c>
      <c r="V1332">
        <v>0</v>
      </c>
      <c r="W1332">
        <v>18</v>
      </c>
      <c r="X1332">
        <v>0</v>
      </c>
      <c r="Y1332">
        <v>0</v>
      </c>
      <c r="Z1332">
        <v>0</v>
      </c>
      <c r="AA1332">
        <v>5</v>
      </c>
      <c r="AB1332">
        <v>6</v>
      </c>
      <c r="AC1332">
        <v>0</v>
      </c>
      <c r="AD1332">
        <v>62</v>
      </c>
      <c r="AE1332">
        <v>122</v>
      </c>
      <c r="AF1332">
        <v>10</v>
      </c>
      <c r="AG1332">
        <v>42</v>
      </c>
      <c r="AH1332">
        <v>19</v>
      </c>
      <c r="AI1332">
        <v>0</v>
      </c>
      <c r="AJ1332">
        <v>56</v>
      </c>
      <c r="AK1332">
        <v>0</v>
      </c>
      <c r="AL1332">
        <v>0</v>
      </c>
      <c r="AM1332">
        <v>38</v>
      </c>
      <c r="AN1332">
        <v>12</v>
      </c>
      <c r="AO1332">
        <v>38</v>
      </c>
      <c r="AQ1332" t="str">
        <f t="shared" si="20"/>
        <v>Midfielder</v>
      </c>
    </row>
    <row r="1333" spans="1:43" x14ac:dyDescent="0.35">
      <c r="A1333" t="s">
        <v>785</v>
      </c>
      <c r="B1333" t="s">
        <v>47</v>
      </c>
      <c r="C1333" t="s">
        <v>2199</v>
      </c>
      <c r="D1333">
        <v>1985</v>
      </c>
      <c r="E1333">
        <v>31</v>
      </c>
      <c r="F1333" t="s">
        <v>220</v>
      </c>
      <c r="G1333" t="s">
        <v>245</v>
      </c>
      <c r="H1333">
        <v>6600000</v>
      </c>
      <c r="I1333">
        <v>6600000</v>
      </c>
      <c r="J1333" t="s">
        <v>55</v>
      </c>
      <c r="K1333">
        <v>32</v>
      </c>
      <c r="L1333">
        <v>2644</v>
      </c>
      <c r="M1333">
        <v>0</v>
      </c>
      <c r="N1333">
        <v>1716</v>
      </c>
      <c r="O1333">
        <v>3</v>
      </c>
      <c r="P1333">
        <v>3</v>
      </c>
      <c r="Q1333">
        <v>0</v>
      </c>
      <c r="R1333">
        <v>3</v>
      </c>
      <c r="S1333">
        <v>3</v>
      </c>
      <c r="T1333">
        <v>31</v>
      </c>
      <c r="U1333">
        <v>6</v>
      </c>
      <c r="V1333">
        <v>1</v>
      </c>
      <c r="W1333">
        <v>26</v>
      </c>
      <c r="X1333">
        <v>0</v>
      </c>
      <c r="Y1333">
        <v>0</v>
      </c>
      <c r="Z1333">
        <v>0</v>
      </c>
      <c r="AA1333">
        <v>1</v>
      </c>
      <c r="AB1333">
        <v>9</v>
      </c>
      <c r="AC1333">
        <v>0</v>
      </c>
      <c r="AD1333">
        <v>32</v>
      </c>
      <c r="AE1333">
        <v>69</v>
      </c>
      <c r="AF1333">
        <v>11</v>
      </c>
      <c r="AG1333">
        <v>23</v>
      </c>
      <c r="AH1333">
        <v>18</v>
      </c>
      <c r="AI1333">
        <v>0</v>
      </c>
      <c r="AJ1333">
        <v>54</v>
      </c>
      <c r="AK1333">
        <v>0</v>
      </c>
      <c r="AL1333">
        <v>1</v>
      </c>
      <c r="AM1333">
        <v>45</v>
      </c>
      <c r="AN1333">
        <v>11</v>
      </c>
      <c r="AO1333">
        <v>29</v>
      </c>
      <c r="AQ1333" t="str">
        <f t="shared" si="20"/>
        <v>Midfielder</v>
      </c>
    </row>
    <row r="1334" spans="1:43" x14ac:dyDescent="0.35">
      <c r="A1334" t="s">
        <v>785</v>
      </c>
      <c r="B1334" t="s">
        <v>43</v>
      </c>
      <c r="C1334" t="s">
        <v>2200</v>
      </c>
      <c r="D1334">
        <v>1985</v>
      </c>
      <c r="E1334">
        <v>32</v>
      </c>
      <c r="F1334" t="s">
        <v>220</v>
      </c>
      <c r="G1334" t="s">
        <v>245</v>
      </c>
      <c r="H1334">
        <v>6600000</v>
      </c>
      <c r="I1334">
        <v>4400000</v>
      </c>
      <c r="J1334" t="s">
        <v>55</v>
      </c>
      <c r="K1334">
        <v>23</v>
      </c>
      <c r="L1334">
        <v>1521</v>
      </c>
      <c r="M1334">
        <v>3</v>
      </c>
      <c r="N1334">
        <v>1044</v>
      </c>
      <c r="O1334">
        <v>0</v>
      </c>
      <c r="P1334">
        <v>0</v>
      </c>
      <c r="Q1334">
        <v>0</v>
      </c>
      <c r="R1334">
        <v>6</v>
      </c>
      <c r="S1334">
        <v>6</v>
      </c>
      <c r="T1334">
        <v>13</v>
      </c>
      <c r="U1334">
        <v>4</v>
      </c>
      <c r="V1334">
        <v>0</v>
      </c>
      <c r="W1334">
        <v>12</v>
      </c>
      <c r="X1334">
        <v>1</v>
      </c>
      <c r="Y1334">
        <v>0</v>
      </c>
      <c r="Z1334">
        <v>0</v>
      </c>
      <c r="AA1334">
        <v>3</v>
      </c>
      <c r="AB1334">
        <v>7</v>
      </c>
      <c r="AC1334">
        <v>9</v>
      </c>
      <c r="AD1334">
        <v>27</v>
      </c>
      <c r="AE1334">
        <v>42</v>
      </c>
      <c r="AF1334">
        <v>6</v>
      </c>
      <c r="AG1334">
        <v>15</v>
      </c>
      <c r="AH1334">
        <v>8</v>
      </c>
      <c r="AI1334">
        <v>0</v>
      </c>
      <c r="AJ1334">
        <v>30</v>
      </c>
      <c r="AK1334">
        <v>1</v>
      </c>
      <c r="AL1334">
        <v>0</v>
      </c>
      <c r="AM1334">
        <v>23</v>
      </c>
      <c r="AN1334">
        <v>14</v>
      </c>
      <c r="AO1334">
        <v>26</v>
      </c>
      <c r="AQ1334" t="str">
        <f t="shared" si="20"/>
        <v>Midfielder</v>
      </c>
    </row>
    <row r="1335" spans="1:43" x14ac:dyDescent="0.35">
      <c r="A1335" t="s">
        <v>786</v>
      </c>
      <c r="B1335" t="s">
        <v>47</v>
      </c>
      <c r="C1335" t="s">
        <v>2201</v>
      </c>
      <c r="D1335">
        <v>1988</v>
      </c>
      <c r="E1335">
        <v>28</v>
      </c>
      <c r="F1335" t="s">
        <v>56</v>
      </c>
      <c r="G1335" t="s">
        <v>95</v>
      </c>
      <c r="H1335">
        <v>6600000</v>
      </c>
      <c r="I1335">
        <v>6600000</v>
      </c>
      <c r="J1335" t="s">
        <v>55</v>
      </c>
      <c r="K1335">
        <v>21</v>
      </c>
      <c r="L1335">
        <v>1078</v>
      </c>
      <c r="M1335">
        <v>1</v>
      </c>
      <c r="N1335">
        <v>518</v>
      </c>
      <c r="O1335">
        <v>3</v>
      </c>
      <c r="P1335">
        <v>1</v>
      </c>
      <c r="Q1335">
        <v>0</v>
      </c>
      <c r="R1335">
        <v>5</v>
      </c>
      <c r="S1335">
        <v>16</v>
      </c>
      <c r="T1335">
        <v>8</v>
      </c>
      <c r="U1335">
        <v>6</v>
      </c>
      <c r="V1335">
        <v>0</v>
      </c>
      <c r="W1335">
        <v>1</v>
      </c>
      <c r="X1335">
        <v>0</v>
      </c>
      <c r="Y1335">
        <v>0</v>
      </c>
      <c r="Z1335">
        <v>0</v>
      </c>
      <c r="AA1335">
        <v>2</v>
      </c>
      <c r="AB1335">
        <v>1</v>
      </c>
      <c r="AC1335">
        <v>1</v>
      </c>
      <c r="AD1335">
        <v>38</v>
      </c>
      <c r="AE1335">
        <v>68</v>
      </c>
      <c r="AF1335">
        <v>4</v>
      </c>
      <c r="AG1335">
        <v>32</v>
      </c>
      <c r="AH1335">
        <v>14</v>
      </c>
      <c r="AI1335">
        <v>0</v>
      </c>
      <c r="AJ1335">
        <v>19</v>
      </c>
      <c r="AK1335">
        <v>0</v>
      </c>
      <c r="AL1335">
        <v>0</v>
      </c>
      <c r="AM1335">
        <v>11</v>
      </c>
      <c r="AN1335">
        <v>1</v>
      </c>
      <c r="AO1335">
        <v>10</v>
      </c>
      <c r="AQ1335" t="str">
        <f t="shared" si="20"/>
        <v>Midfielder</v>
      </c>
    </row>
    <row r="1336" spans="1:43" x14ac:dyDescent="0.35">
      <c r="A1336" t="s">
        <v>786</v>
      </c>
      <c r="B1336" t="s">
        <v>43</v>
      </c>
      <c r="C1336" t="s">
        <v>2202</v>
      </c>
      <c r="D1336">
        <v>1988</v>
      </c>
      <c r="E1336">
        <v>29</v>
      </c>
      <c r="F1336" t="s">
        <v>56</v>
      </c>
      <c r="G1336" t="s">
        <v>95</v>
      </c>
      <c r="H1336">
        <v>6600000</v>
      </c>
      <c r="I1336">
        <v>7700000</v>
      </c>
      <c r="J1336" t="s">
        <v>55</v>
      </c>
      <c r="K1336">
        <v>24</v>
      </c>
      <c r="L1336">
        <v>2008</v>
      </c>
      <c r="M1336">
        <v>1</v>
      </c>
      <c r="N1336">
        <v>1016</v>
      </c>
      <c r="O1336">
        <v>1</v>
      </c>
      <c r="P1336">
        <v>6</v>
      </c>
      <c r="Q1336">
        <v>0</v>
      </c>
      <c r="R1336">
        <v>0</v>
      </c>
      <c r="S1336">
        <v>12</v>
      </c>
      <c r="T1336">
        <v>19</v>
      </c>
      <c r="U1336">
        <v>7</v>
      </c>
      <c r="V1336">
        <v>0</v>
      </c>
      <c r="W1336">
        <v>2</v>
      </c>
      <c r="X1336">
        <v>0</v>
      </c>
      <c r="Y1336">
        <v>0</v>
      </c>
      <c r="Z1336">
        <v>1</v>
      </c>
      <c r="AA1336">
        <v>0</v>
      </c>
      <c r="AB1336">
        <v>2</v>
      </c>
      <c r="AC1336">
        <v>12</v>
      </c>
      <c r="AD1336">
        <v>2</v>
      </c>
      <c r="AE1336">
        <v>35</v>
      </c>
      <c r="AF1336">
        <v>7</v>
      </c>
      <c r="AG1336">
        <v>46</v>
      </c>
      <c r="AH1336">
        <v>13</v>
      </c>
      <c r="AI1336">
        <v>0</v>
      </c>
      <c r="AJ1336">
        <v>33</v>
      </c>
      <c r="AK1336">
        <v>0</v>
      </c>
      <c r="AL1336">
        <v>0</v>
      </c>
      <c r="AM1336">
        <v>18</v>
      </c>
      <c r="AN1336">
        <v>5</v>
      </c>
      <c r="AO1336">
        <v>13</v>
      </c>
      <c r="AQ1336" t="str">
        <f t="shared" si="20"/>
        <v>Midfielder</v>
      </c>
    </row>
    <row r="1337" spans="1:43" x14ac:dyDescent="0.35">
      <c r="A1337" t="s">
        <v>787</v>
      </c>
      <c r="B1337" t="s">
        <v>39</v>
      </c>
      <c r="C1337" t="s">
        <v>2203</v>
      </c>
      <c r="D1337">
        <v>1987</v>
      </c>
      <c r="E1337">
        <v>28</v>
      </c>
      <c r="F1337" t="s">
        <v>78</v>
      </c>
      <c r="G1337" t="s">
        <v>108</v>
      </c>
      <c r="H1337">
        <v>5000000</v>
      </c>
      <c r="I1337">
        <v>2700000</v>
      </c>
      <c r="J1337" t="s">
        <v>42</v>
      </c>
      <c r="K1337">
        <v>16</v>
      </c>
      <c r="L1337">
        <v>1016</v>
      </c>
      <c r="M1337">
        <v>4</v>
      </c>
      <c r="N1337">
        <v>290</v>
      </c>
      <c r="O1337">
        <v>0</v>
      </c>
      <c r="P1337">
        <v>0</v>
      </c>
      <c r="Q1337">
        <v>0</v>
      </c>
      <c r="R1337">
        <v>5</v>
      </c>
      <c r="S1337">
        <v>9</v>
      </c>
      <c r="T1337">
        <v>25</v>
      </c>
      <c r="U1337">
        <v>10</v>
      </c>
      <c r="V1337">
        <v>0</v>
      </c>
      <c r="W1337">
        <v>4</v>
      </c>
      <c r="X1337">
        <v>2</v>
      </c>
      <c r="Y1337">
        <v>0</v>
      </c>
      <c r="Z1337">
        <v>0</v>
      </c>
      <c r="AA1337">
        <v>8</v>
      </c>
      <c r="AB1337">
        <v>6</v>
      </c>
      <c r="AC1337">
        <v>1</v>
      </c>
      <c r="AD1337">
        <v>0</v>
      </c>
      <c r="AE1337">
        <v>8</v>
      </c>
      <c r="AF1337">
        <v>2</v>
      </c>
      <c r="AG1337">
        <v>3</v>
      </c>
      <c r="AH1337">
        <v>19</v>
      </c>
      <c r="AI1337">
        <v>0</v>
      </c>
      <c r="AJ1337">
        <v>11</v>
      </c>
      <c r="AK1337">
        <v>0</v>
      </c>
      <c r="AL1337">
        <v>0</v>
      </c>
      <c r="AM1337">
        <v>6</v>
      </c>
      <c r="AN1337">
        <v>64</v>
      </c>
      <c r="AO1337">
        <v>91</v>
      </c>
      <c r="AQ1337" t="str">
        <f t="shared" si="20"/>
        <v>Forward</v>
      </c>
    </row>
    <row r="1338" spans="1:43" x14ac:dyDescent="0.35">
      <c r="A1338" t="s">
        <v>788</v>
      </c>
      <c r="B1338" t="s">
        <v>39</v>
      </c>
      <c r="C1338" t="s">
        <v>2204</v>
      </c>
      <c r="D1338">
        <v>1986</v>
      </c>
      <c r="E1338">
        <v>28</v>
      </c>
      <c r="F1338" t="s">
        <v>123</v>
      </c>
      <c r="G1338" t="s">
        <v>108</v>
      </c>
      <c r="H1338">
        <v>4400000</v>
      </c>
      <c r="I1338">
        <v>5400000</v>
      </c>
      <c r="J1338" t="s">
        <v>42</v>
      </c>
      <c r="K1338">
        <v>15</v>
      </c>
      <c r="L1338">
        <v>1330</v>
      </c>
      <c r="M1338">
        <v>4</v>
      </c>
      <c r="N1338">
        <v>501</v>
      </c>
      <c r="O1338">
        <v>1</v>
      </c>
      <c r="P1338">
        <v>3</v>
      </c>
      <c r="Q1338">
        <v>0</v>
      </c>
      <c r="R1338">
        <v>8</v>
      </c>
      <c r="S1338">
        <v>13</v>
      </c>
      <c r="T1338">
        <v>25</v>
      </c>
      <c r="U1338">
        <v>9</v>
      </c>
      <c r="V1338">
        <v>0</v>
      </c>
      <c r="W1338">
        <v>7</v>
      </c>
      <c r="X1338">
        <v>1</v>
      </c>
      <c r="Y1338">
        <v>0</v>
      </c>
      <c r="Z1338">
        <v>0</v>
      </c>
      <c r="AA1338">
        <v>9</v>
      </c>
      <c r="AB1338">
        <v>3</v>
      </c>
      <c r="AC1338">
        <v>2</v>
      </c>
      <c r="AD1338">
        <v>1</v>
      </c>
      <c r="AE1338">
        <v>13</v>
      </c>
      <c r="AF1338">
        <v>0</v>
      </c>
      <c r="AG1338">
        <v>7</v>
      </c>
      <c r="AH1338">
        <v>30</v>
      </c>
      <c r="AI1338">
        <v>0</v>
      </c>
      <c r="AJ1338">
        <v>23</v>
      </c>
      <c r="AK1338">
        <v>0</v>
      </c>
      <c r="AL1338">
        <v>0</v>
      </c>
      <c r="AM1338">
        <v>8</v>
      </c>
      <c r="AN1338">
        <v>21</v>
      </c>
      <c r="AO1338">
        <v>52</v>
      </c>
      <c r="AQ1338" t="str">
        <f t="shared" si="20"/>
        <v>Forward</v>
      </c>
    </row>
    <row r="1339" spans="1:43" x14ac:dyDescent="0.35">
      <c r="A1339" t="s">
        <v>789</v>
      </c>
      <c r="B1339" t="s">
        <v>47</v>
      </c>
      <c r="C1339" t="s">
        <v>2205</v>
      </c>
      <c r="D1339">
        <v>1982</v>
      </c>
      <c r="E1339">
        <v>34</v>
      </c>
      <c r="F1339" t="s">
        <v>78</v>
      </c>
      <c r="G1339" t="s">
        <v>790</v>
      </c>
      <c r="H1339">
        <v>1350000</v>
      </c>
      <c r="I1339">
        <v>900000</v>
      </c>
      <c r="J1339" t="s">
        <v>55</v>
      </c>
      <c r="K1339">
        <v>15</v>
      </c>
      <c r="L1339">
        <v>808</v>
      </c>
      <c r="M1339">
        <v>0</v>
      </c>
      <c r="N1339">
        <v>384</v>
      </c>
      <c r="O1339">
        <v>0</v>
      </c>
      <c r="P1339">
        <v>5</v>
      </c>
      <c r="Q1339">
        <v>0</v>
      </c>
      <c r="R1339">
        <v>5</v>
      </c>
      <c r="S1339">
        <v>9</v>
      </c>
      <c r="T1339">
        <v>4</v>
      </c>
      <c r="U1339">
        <v>2</v>
      </c>
      <c r="V1339">
        <v>0</v>
      </c>
      <c r="W1339">
        <v>2</v>
      </c>
      <c r="X1339">
        <v>0</v>
      </c>
      <c r="Y1339">
        <v>0</v>
      </c>
      <c r="Z1339">
        <v>0</v>
      </c>
      <c r="AA1339">
        <v>0</v>
      </c>
      <c r="AB1339">
        <v>3</v>
      </c>
      <c r="AC1339">
        <v>1</v>
      </c>
      <c r="AD1339">
        <v>2</v>
      </c>
      <c r="AE1339">
        <v>12</v>
      </c>
      <c r="AF1339">
        <v>4</v>
      </c>
      <c r="AG1339">
        <v>15</v>
      </c>
      <c r="AH1339">
        <v>16</v>
      </c>
      <c r="AI1339">
        <v>0</v>
      </c>
      <c r="AJ1339">
        <v>19</v>
      </c>
      <c r="AK1339">
        <v>0</v>
      </c>
      <c r="AL1339">
        <v>0</v>
      </c>
      <c r="AM1339">
        <v>9</v>
      </c>
      <c r="AN1339">
        <v>4</v>
      </c>
      <c r="AO1339">
        <v>15</v>
      </c>
      <c r="AQ1339" t="str">
        <f t="shared" si="20"/>
        <v>Midfielder</v>
      </c>
    </row>
    <row r="1340" spans="1:43" x14ac:dyDescent="0.35">
      <c r="A1340" t="s">
        <v>791</v>
      </c>
      <c r="B1340" t="s">
        <v>39</v>
      </c>
      <c r="C1340" t="s">
        <v>2206</v>
      </c>
      <c r="D1340">
        <v>1986</v>
      </c>
      <c r="E1340">
        <v>29</v>
      </c>
      <c r="F1340" t="s">
        <v>117</v>
      </c>
      <c r="G1340" t="s">
        <v>51</v>
      </c>
      <c r="H1340">
        <v>2700000</v>
      </c>
      <c r="I1340">
        <v>1250000</v>
      </c>
      <c r="J1340" t="s">
        <v>52</v>
      </c>
      <c r="K1340">
        <v>10</v>
      </c>
      <c r="L1340">
        <v>810</v>
      </c>
      <c r="M1340">
        <v>0</v>
      </c>
      <c r="N1340">
        <v>324</v>
      </c>
      <c r="O1340">
        <v>0</v>
      </c>
      <c r="P1340">
        <v>1</v>
      </c>
      <c r="Q1340">
        <v>0</v>
      </c>
      <c r="R1340">
        <v>1</v>
      </c>
      <c r="S1340">
        <v>1</v>
      </c>
      <c r="T1340">
        <v>0</v>
      </c>
      <c r="U1340">
        <v>0</v>
      </c>
      <c r="V1340">
        <v>0</v>
      </c>
      <c r="W1340">
        <v>23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12</v>
      </c>
      <c r="AG1340">
        <v>17</v>
      </c>
      <c r="AH1340">
        <v>3</v>
      </c>
      <c r="AI1340">
        <v>0</v>
      </c>
      <c r="AJ1340">
        <v>3</v>
      </c>
      <c r="AK1340">
        <v>0</v>
      </c>
      <c r="AL1340">
        <v>0</v>
      </c>
      <c r="AM1340">
        <v>37</v>
      </c>
      <c r="AN1340">
        <v>7</v>
      </c>
      <c r="AO1340">
        <v>8</v>
      </c>
      <c r="AQ1340" t="str">
        <f t="shared" si="20"/>
        <v>Defensive Forward</v>
      </c>
    </row>
    <row r="1341" spans="1:43" x14ac:dyDescent="0.35">
      <c r="A1341" t="s">
        <v>792</v>
      </c>
      <c r="B1341" t="s">
        <v>47</v>
      </c>
      <c r="C1341" t="s">
        <v>2207</v>
      </c>
      <c r="D1341">
        <v>1984</v>
      </c>
      <c r="E1341">
        <v>32</v>
      </c>
      <c r="F1341" t="s">
        <v>48</v>
      </c>
      <c r="G1341" t="s">
        <v>51</v>
      </c>
      <c r="H1341">
        <v>6000000</v>
      </c>
      <c r="I1341">
        <v>3500000</v>
      </c>
      <c r="J1341" t="s">
        <v>55</v>
      </c>
      <c r="K1341">
        <v>30</v>
      </c>
      <c r="L1341">
        <v>2212</v>
      </c>
      <c r="M1341">
        <v>1</v>
      </c>
      <c r="N1341">
        <v>943</v>
      </c>
      <c r="O1341">
        <v>3</v>
      </c>
      <c r="P1341">
        <v>1</v>
      </c>
      <c r="Q1341">
        <v>0</v>
      </c>
      <c r="R1341">
        <v>6</v>
      </c>
      <c r="S1341">
        <v>4</v>
      </c>
      <c r="T1341">
        <v>29</v>
      </c>
      <c r="U1341">
        <v>6</v>
      </c>
      <c r="V1341">
        <v>0</v>
      </c>
      <c r="W1341">
        <v>5</v>
      </c>
      <c r="X1341">
        <v>0</v>
      </c>
      <c r="Y1341">
        <v>0</v>
      </c>
      <c r="Z1341">
        <v>0</v>
      </c>
      <c r="AA1341">
        <v>6</v>
      </c>
      <c r="AB1341">
        <v>2</v>
      </c>
      <c r="AC1341">
        <v>1</v>
      </c>
      <c r="AD1341">
        <v>44</v>
      </c>
      <c r="AE1341">
        <v>165</v>
      </c>
      <c r="AF1341">
        <v>0</v>
      </c>
      <c r="AG1341">
        <v>31</v>
      </c>
      <c r="AH1341">
        <v>10</v>
      </c>
      <c r="AI1341">
        <v>0</v>
      </c>
      <c r="AJ1341">
        <v>28</v>
      </c>
      <c r="AK1341">
        <v>0</v>
      </c>
      <c r="AL1341">
        <v>0</v>
      </c>
      <c r="AM1341">
        <v>32</v>
      </c>
      <c r="AN1341">
        <v>9</v>
      </c>
      <c r="AO1341">
        <v>18</v>
      </c>
      <c r="AQ1341" t="str">
        <f t="shared" si="20"/>
        <v>Midfielder</v>
      </c>
    </row>
    <row r="1342" spans="1:43" x14ac:dyDescent="0.35">
      <c r="A1342" t="s">
        <v>793</v>
      </c>
      <c r="B1342" t="s">
        <v>46</v>
      </c>
      <c r="C1342" t="s">
        <v>2208</v>
      </c>
      <c r="D1342">
        <v>1992</v>
      </c>
      <c r="E1342">
        <v>26</v>
      </c>
      <c r="F1342" t="s">
        <v>220</v>
      </c>
      <c r="G1342" t="s">
        <v>108</v>
      </c>
      <c r="H1342">
        <v>6300000</v>
      </c>
      <c r="I1342">
        <v>7200000</v>
      </c>
      <c r="J1342" t="s">
        <v>55</v>
      </c>
      <c r="K1342">
        <v>29</v>
      </c>
      <c r="L1342">
        <v>1431</v>
      </c>
      <c r="M1342">
        <v>3</v>
      </c>
      <c r="N1342">
        <v>615</v>
      </c>
      <c r="O1342">
        <v>2</v>
      </c>
      <c r="P1342">
        <v>2</v>
      </c>
      <c r="Q1342">
        <v>0</v>
      </c>
      <c r="R1342">
        <v>13</v>
      </c>
      <c r="S1342">
        <v>13</v>
      </c>
      <c r="T1342">
        <v>32</v>
      </c>
      <c r="U1342">
        <v>12</v>
      </c>
      <c r="V1342">
        <v>0</v>
      </c>
      <c r="W1342">
        <v>4</v>
      </c>
      <c r="X1342">
        <v>0</v>
      </c>
      <c r="Y1342">
        <v>0</v>
      </c>
      <c r="Z1342">
        <v>0</v>
      </c>
      <c r="AA1342">
        <v>3</v>
      </c>
      <c r="AB1342">
        <v>0</v>
      </c>
      <c r="AC1342">
        <v>20</v>
      </c>
      <c r="AD1342">
        <v>13</v>
      </c>
      <c r="AE1342">
        <v>24</v>
      </c>
      <c r="AF1342">
        <v>0</v>
      </c>
      <c r="AG1342">
        <v>12</v>
      </c>
      <c r="AH1342">
        <v>20</v>
      </c>
      <c r="AI1342">
        <v>0</v>
      </c>
      <c r="AJ1342">
        <v>28</v>
      </c>
      <c r="AK1342">
        <v>0</v>
      </c>
      <c r="AL1342">
        <v>0</v>
      </c>
      <c r="AM1342">
        <v>11</v>
      </c>
      <c r="AN1342">
        <v>17</v>
      </c>
      <c r="AO1342">
        <v>22</v>
      </c>
      <c r="AQ1342" t="str">
        <f t="shared" si="20"/>
        <v>Midfielder</v>
      </c>
    </row>
    <row r="1343" spans="1:43" x14ac:dyDescent="0.35">
      <c r="A1343" t="s">
        <v>794</v>
      </c>
      <c r="B1343" t="s">
        <v>39</v>
      </c>
      <c r="C1343" t="s">
        <v>2209</v>
      </c>
      <c r="D1343">
        <v>1977</v>
      </c>
      <c r="E1343">
        <v>37</v>
      </c>
      <c r="F1343" t="s">
        <v>84</v>
      </c>
      <c r="G1343" t="s">
        <v>67</v>
      </c>
      <c r="H1343">
        <v>675000</v>
      </c>
      <c r="I1343">
        <v>675000</v>
      </c>
      <c r="J1343" t="s">
        <v>52</v>
      </c>
      <c r="K1343">
        <v>12</v>
      </c>
      <c r="L1343">
        <v>842</v>
      </c>
      <c r="M1343">
        <v>0</v>
      </c>
      <c r="N1343">
        <v>450</v>
      </c>
      <c r="O1343">
        <v>0</v>
      </c>
      <c r="P1343">
        <v>0</v>
      </c>
      <c r="Q1343">
        <v>0</v>
      </c>
      <c r="R1343">
        <v>3</v>
      </c>
      <c r="S1343">
        <v>0</v>
      </c>
      <c r="T1343">
        <v>2</v>
      </c>
      <c r="U1343">
        <v>0</v>
      </c>
      <c r="V1343">
        <v>0</v>
      </c>
      <c r="W1343">
        <v>23</v>
      </c>
      <c r="X1343">
        <v>0</v>
      </c>
      <c r="Y1343">
        <v>0</v>
      </c>
      <c r="Z1343">
        <v>0</v>
      </c>
      <c r="AA1343">
        <v>1</v>
      </c>
      <c r="AB1343">
        <v>0</v>
      </c>
      <c r="AC1343">
        <v>0</v>
      </c>
      <c r="AD1343">
        <v>0</v>
      </c>
      <c r="AE1343">
        <v>0</v>
      </c>
      <c r="AF1343">
        <v>4</v>
      </c>
      <c r="AG1343">
        <v>24</v>
      </c>
      <c r="AH1343">
        <v>3</v>
      </c>
      <c r="AI1343">
        <v>0</v>
      </c>
      <c r="AJ1343">
        <v>19</v>
      </c>
      <c r="AK1343">
        <v>0</v>
      </c>
      <c r="AL1343">
        <v>0</v>
      </c>
      <c r="AM1343">
        <v>47</v>
      </c>
      <c r="AN1343">
        <v>33</v>
      </c>
      <c r="AO1343">
        <v>19</v>
      </c>
      <c r="AQ1343" t="str">
        <f t="shared" si="20"/>
        <v>Defensive Forward</v>
      </c>
    </row>
    <row r="1344" spans="1:43" x14ac:dyDescent="0.35">
      <c r="A1344" t="s">
        <v>795</v>
      </c>
      <c r="B1344" t="s">
        <v>43</v>
      </c>
      <c r="C1344" t="s">
        <v>2210</v>
      </c>
      <c r="D1344">
        <v>1997</v>
      </c>
      <c r="E1344">
        <v>20</v>
      </c>
      <c r="F1344" t="s">
        <v>40</v>
      </c>
      <c r="G1344" t="s">
        <v>51</v>
      </c>
      <c r="H1344">
        <v>8800000</v>
      </c>
      <c r="I1344">
        <v>28800000</v>
      </c>
      <c r="J1344" t="s">
        <v>42</v>
      </c>
      <c r="K1344">
        <v>31</v>
      </c>
      <c r="L1344">
        <v>1720</v>
      </c>
      <c r="M1344">
        <v>5</v>
      </c>
      <c r="N1344">
        <v>300</v>
      </c>
      <c r="O1344">
        <v>1</v>
      </c>
      <c r="P1344">
        <v>0</v>
      </c>
      <c r="Q1344">
        <v>0</v>
      </c>
      <c r="R1344">
        <v>16</v>
      </c>
      <c r="S1344">
        <v>6</v>
      </c>
      <c r="T1344">
        <v>42</v>
      </c>
      <c r="U1344">
        <v>15</v>
      </c>
      <c r="V1344">
        <v>0</v>
      </c>
      <c r="W1344">
        <v>8</v>
      </c>
      <c r="X1344">
        <v>0</v>
      </c>
      <c r="Y1344">
        <v>0</v>
      </c>
      <c r="Z1344">
        <v>0</v>
      </c>
      <c r="AA1344">
        <v>9</v>
      </c>
      <c r="AB1344">
        <v>2</v>
      </c>
      <c r="AC1344">
        <v>27</v>
      </c>
      <c r="AD1344">
        <v>0</v>
      </c>
      <c r="AE1344">
        <v>13</v>
      </c>
      <c r="AF1344">
        <v>1</v>
      </c>
      <c r="AG1344">
        <v>1</v>
      </c>
      <c r="AH1344">
        <v>15</v>
      </c>
      <c r="AI1344">
        <v>0</v>
      </c>
      <c r="AJ1344">
        <v>10</v>
      </c>
      <c r="AK1344">
        <v>0</v>
      </c>
      <c r="AL1344">
        <v>0</v>
      </c>
      <c r="AM1344">
        <v>11</v>
      </c>
      <c r="AN1344">
        <v>39</v>
      </c>
      <c r="AO1344">
        <v>58</v>
      </c>
      <c r="AQ1344" t="str">
        <f t="shared" si="20"/>
        <v>Forward</v>
      </c>
    </row>
    <row r="1345" spans="1:43" x14ac:dyDescent="0.35">
      <c r="A1345" t="s">
        <v>796</v>
      </c>
      <c r="B1345" t="s">
        <v>43</v>
      </c>
      <c r="C1345" t="s">
        <v>2211</v>
      </c>
      <c r="D1345">
        <v>1994</v>
      </c>
      <c r="E1345">
        <v>23</v>
      </c>
      <c r="F1345" t="s">
        <v>58</v>
      </c>
      <c r="G1345" t="s">
        <v>216</v>
      </c>
      <c r="H1345">
        <v>9000000</v>
      </c>
      <c r="I1345">
        <v>9000000</v>
      </c>
      <c r="J1345" t="s">
        <v>52</v>
      </c>
      <c r="K1345">
        <v>13</v>
      </c>
      <c r="L1345">
        <v>1047</v>
      </c>
      <c r="M1345">
        <v>0</v>
      </c>
      <c r="N1345">
        <v>311</v>
      </c>
      <c r="O1345">
        <v>0</v>
      </c>
      <c r="P1345">
        <v>0</v>
      </c>
      <c r="Q1345">
        <v>0</v>
      </c>
      <c r="R1345">
        <v>2</v>
      </c>
      <c r="S1345">
        <v>0</v>
      </c>
      <c r="T1345">
        <v>0</v>
      </c>
      <c r="U1345">
        <v>0</v>
      </c>
      <c r="V1345">
        <v>0</v>
      </c>
      <c r="W1345">
        <v>31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10</v>
      </c>
      <c r="AF1345">
        <v>6</v>
      </c>
      <c r="AG1345">
        <v>32</v>
      </c>
      <c r="AH1345">
        <v>5</v>
      </c>
      <c r="AI1345">
        <v>0</v>
      </c>
      <c r="AJ1345">
        <v>33</v>
      </c>
      <c r="AK1345">
        <v>0</v>
      </c>
      <c r="AL1345">
        <v>0</v>
      </c>
      <c r="AM1345">
        <v>64</v>
      </c>
      <c r="AN1345">
        <v>28</v>
      </c>
      <c r="AO1345">
        <v>13</v>
      </c>
      <c r="AQ1345" t="str">
        <f t="shared" si="20"/>
        <v>Defensive Forward</v>
      </c>
    </row>
    <row r="1346" spans="1:43" x14ac:dyDescent="0.35">
      <c r="A1346" t="s">
        <v>796</v>
      </c>
      <c r="B1346" t="s">
        <v>46</v>
      </c>
      <c r="C1346" t="s">
        <v>2212</v>
      </c>
      <c r="D1346">
        <v>1994</v>
      </c>
      <c r="E1346">
        <v>24</v>
      </c>
      <c r="F1346" t="s">
        <v>58</v>
      </c>
      <c r="G1346" t="s">
        <v>216</v>
      </c>
      <c r="H1346">
        <v>9000000</v>
      </c>
      <c r="I1346">
        <v>13500000</v>
      </c>
      <c r="J1346" t="s">
        <v>52</v>
      </c>
      <c r="K1346">
        <v>32</v>
      </c>
      <c r="L1346">
        <v>2721</v>
      </c>
      <c r="M1346">
        <v>1</v>
      </c>
      <c r="N1346">
        <v>1149</v>
      </c>
      <c r="O1346">
        <v>1</v>
      </c>
      <c r="P1346">
        <v>4</v>
      </c>
      <c r="Q1346">
        <v>0</v>
      </c>
      <c r="R1346">
        <v>0</v>
      </c>
      <c r="S1346">
        <v>6</v>
      </c>
      <c r="T1346">
        <v>14</v>
      </c>
      <c r="U1346">
        <v>4</v>
      </c>
      <c r="V1346">
        <v>0</v>
      </c>
      <c r="W1346">
        <v>38</v>
      </c>
      <c r="X1346">
        <v>1</v>
      </c>
      <c r="Y1346">
        <v>0</v>
      </c>
      <c r="Z1346">
        <v>0</v>
      </c>
      <c r="AA1346">
        <v>2</v>
      </c>
      <c r="AB1346">
        <v>1</v>
      </c>
      <c r="AC1346">
        <v>10</v>
      </c>
      <c r="AD1346">
        <v>0</v>
      </c>
      <c r="AE1346">
        <v>28</v>
      </c>
      <c r="AF1346">
        <v>16</v>
      </c>
      <c r="AG1346">
        <v>65</v>
      </c>
      <c r="AH1346">
        <v>20</v>
      </c>
      <c r="AI1346">
        <v>1</v>
      </c>
      <c r="AJ1346">
        <v>74</v>
      </c>
      <c r="AK1346">
        <v>1</v>
      </c>
      <c r="AL1346">
        <v>1</v>
      </c>
      <c r="AM1346">
        <v>97</v>
      </c>
      <c r="AN1346">
        <v>54</v>
      </c>
      <c r="AO1346">
        <v>36</v>
      </c>
      <c r="AQ1346" t="str">
        <f t="shared" ref="AQ1346:AQ1409" si="21">IF(J1346 = "FW", REPLACE(J1346,1,2,"Forward"),IF(J1346 = "DF", "Defensive Forward", "Midfielder"))</f>
        <v>Defensive Forward</v>
      </c>
    </row>
    <row r="1347" spans="1:43" x14ac:dyDescent="0.35">
      <c r="A1347" t="s">
        <v>797</v>
      </c>
      <c r="B1347" t="s">
        <v>43</v>
      </c>
      <c r="C1347" t="s">
        <v>2213</v>
      </c>
      <c r="D1347">
        <v>1989</v>
      </c>
      <c r="E1347">
        <v>28</v>
      </c>
      <c r="F1347" t="s">
        <v>54</v>
      </c>
      <c r="G1347" t="s">
        <v>51</v>
      </c>
      <c r="H1347">
        <v>19800000</v>
      </c>
      <c r="I1347">
        <v>18000000</v>
      </c>
      <c r="J1347" t="s">
        <v>42</v>
      </c>
      <c r="K1347">
        <v>20</v>
      </c>
      <c r="L1347">
        <v>1216</v>
      </c>
      <c r="M1347">
        <v>3</v>
      </c>
      <c r="N1347">
        <v>326</v>
      </c>
      <c r="O1347">
        <v>3</v>
      </c>
      <c r="P1347">
        <v>2</v>
      </c>
      <c r="Q1347">
        <v>0</v>
      </c>
      <c r="R1347">
        <v>7</v>
      </c>
      <c r="S1347">
        <v>2</v>
      </c>
      <c r="T1347">
        <v>19</v>
      </c>
      <c r="U1347">
        <v>9</v>
      </c>
      <c r="V1347">
        <v>0</v>
      </c>
      <c r="W1347">
        <v>5</v>
      </c>
      <c r="X1347">
        <v>0</v>
      </c>
      <c r="Y1347">
        <v>0</v>
      </c>
      <c r="Z1347">
        <v>0</v>
      </c>
      <c r="AA1347">
        <v>12</v>
      </c>
      <c r="AB1347">
        <v>0</v>
      </c>
      <c r="AC1347">
        <v>10</v>
      </c>
      <c r="AD1347">
        <v>3</v>
      </c>
      <c r="AE1347">
        <v>48</v>
      </c>
      <c r="AF1347">
        <v>0</v>
      </c>
      <c r="AG1347">
        <v>9</v>
      </c>
      <c r="AH1347">
        <v>7</v>
      </c>
      <c r="AI1347">
        <v>0</v>
      </c>
      <c r="AJ1347">
        <v>28</v>
      </c>
      <c r="AK1347">
        <v>0</v>
      </c>
      <c r="AL1347">
        <v>0</v>
      </c>
      <c r="AM1347">
        <v>11</v>
      </c>
      <c r="AN1347">
        <v>7</v>
      </c>
      <c r="AO1347">
        <v>19</v>
      </c>
      <c r="AQ1347" t="str">
        <f t="shared" si="21"/>
        <v>Forward</v>
      </c>
    </row>
    <row r="1348" spans="1:43" x14ac:dyDescent="0.35">
      <c r="A1348" t="s">
        <v>797</v>
      </c>
      <c r="B1348" t="s">
        <v>39</v>
      </c>
      <c r="C1348" t="s">
        <v>2214</v>
      </c>
      <c r="D1348">
        <v>1989</v>
      </c>
      <c r="E1348">
        <v>26</v>
      </c>
      <c r="F1348" t="s">
        <v>61</v>
      </c>
      <c r="G1348" t="s">
        <v>51</v>
      </c>
      <c r="H1348">
        <v>22000000</v>
      </c>
      <c r="I1348">
        <v>22000000</v>
      </c>
      <c r="J1348" t="s">
        <v>42</v>
      </c>
      <c r="K1348">
        <v>28</v>
      </c>
      <c r="L1348">
        <v>1374</v>
      </c>
      <c r="M1348">
        <v>5</v>
      </c>
      <c r="N1348">
        <v>310</v>
      </c>
      <c r="O1348">
        <v>2</v>
      </c>
      <c r="P1348">
        <v>0</v>
      </c>
      <c r="Q1348">
        <v>0</v>
      </c>
      <c r="R1348">
        <v>13</v>
      </c>
      <c r="S1348">
        <v>13</v>
      </c>
      <c r="T1348">
        <v>45</v>
      </c>
      <c r="U1348">
        <v>22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13</v>
      </c>
      <c r="AB1348">
        <v>3</v>
      </c>
      <c r="AC1348">
        <v>11</v>
      </c>
      <c r="AD1348">
        <v>4</v>
      </c>
      <c r="AE1348">
        <v>20</v>
      </c>
      <c r="AF1348">
        <v>0</v>
      </c>
      <c r="AG1348">
        <v>14</v>
      </c>
      <c r="AH1348">
        <v>3</v>
      </c>
      <c r="AI1348">
        <v>0</v>
      </c>
      <c r="AJ1348">
        <v>11</v>
      </c>
      <c r="AK1348">
        <v>1</v>
      </c>
      <c r="AL1348">
        <v>0</v>
      </c>
      <c r="AM1348">
        <v>8</v>
      </c>
      <c r="AN1348">
        <v>5</v>
      </c>
      <c r="AO1348">
        <v>14</v>
      </c>
      <c r="AQ1348" t="str">
        <f t="shared" si="21"/>
        <v>Forward</v>
      </c>
    </row>
    <row r="1349" spans="1:43" x14ac:dyDescent="0.35">
      <c r="A1349" t="s">
        <v>797</v>
      </c>
      <c r="B1349" t="s">
        <v>47</v>
      </c>
      <c r="C1349" t="s">
        <v>2215</v>
      </c>
      <c r="D1349">
        <v>1989</v>
      </c>
      <c r="E1349">
        <v>27</v>
      </c>
      <c r="F1349" t="s">
        <v>61</v>
      </c>
      <c r="G1349" t="s">
        <v>51</v>
      </c>
      <c r="H1349">
        <v>27500000</v>
      </c>
      <c r="I1349">
        <v>24800000</v>
      </c>
      <c r="J1349" t="s">
        <v>42</v>
      </c>
      <c r="K1349">
        <v>28</v>
      </c>
      <c r="L1349">
        <v>1925</v>
      </c>
      <c r="M1349">
        <v>10</v>
      </c>
      <c r="N1349">
        <v>538</v>
      </c>
      <c r="O1349">
        <v>2</v>
      </c>
      <c r="P1349">
        <v>1</v>
      </c>
      <c r="Q1349">
        <v>0</v>
      </c>
      <c r="R1349">
        <v>5</v>
      </c>
      <c r="S1349">
        <v>13</v>
      </c>
      <c r="T1349">
        <v>62</v>
      </c>
      <c r="U1349">
        <v>29</v>
      </c>
      <c r="V1349">
        <v>3</v>
      </c>
      <c r="W1349">
        <v>9</v>
      </c>
      <c r="X1349">
        <v>0</v>
      </c>
      <c r="Y1349">
        <v>0</v>
      </c>
      <c r="Z1349">
        <v>0</v>
      </c>
      <c r="AA1349">
        <v>17</v>
      </c>
      <c r="AB1349">
        <v>5</v>
      </c>
      <c r="AC1349">
        <v>6</v>
      </c>
      <c r="AD1349">
        <v>5</v>
      </c>
      <c r="AE1349">
        <v>49</v>
      </c>
      <c r="AF1349">
        <v>1</v>
      </c>
      <c r="AG1349">
        <v>13</v>
      </c>
      <c r="AH1349">
        <v>14</v>
      </c>
      <c r="AI1349">
        <v>0</v>
      </c>
      <c r="AJ1349">
        <v>36</v>
      </c>
      <c r="AK1349">
        <v>0</v>
      </c>
      <c r="AL1349">
        <v>0</v>
      </c>
      <c r="AM1349">
        <v>13</v>
      </c>
      <c r="AN1349">
        <v>21</v>
      </c>
      <c r="AO1349">
        <v>39</v>
      </c>
      <c r="AQ1349" t="str">
        <f t="shared" si="21"/>
        <v>Forward</v>
      </c>
    </row>
    <row r="1350" spans="1:43" x14ac:dyDescent="0.35">
      <c r="A1350" t="s">
        <v>797</v>
      </c>
      <c r="B1350" t="s">
        <v>46</v>
      </c>
      <c r="C1350" t="s">
        <v>2216</v>
      </c>
      <c r="D1350">
        <v>1989</v>
      </c>
      <c r="E1350">
        <v>29</v>
      </c>
      <c r="F1350" t="s">
        <v>54</v>
      </c>
      <c r="G1350" t="s">
        <v>51</v>
      </c>
      <c r="H1350">
        <v>18000000</v>
      </c>
      <c r="I1350">
        <v>16200000</v>
      </c>
      <c r="J1350" t="s">
        <v>42</v>
      </c>
      <c r="K1350">
        <v>37</v>
      </c>
      <c r="L1350">
        <v>2122</v>
      </c>
      <c r="M1350">
        <v>5</v>
      </c>
      <c r="N1350">
        <v>576</v>
      </c>
      <c r="O1350">
        <v>2</v>
      </c>
      <c r="P1350">
        <v>1</v>
      </c>
      <c r="Q1350">
        <v>0</v>
      </c>
      <c r="R1350">
        <v>13</v>
      </c>
      <c r="S1350">
        <v>16</v>
      </c>
      <c r="T1350">
        <v>43</v>
      </c>
      <c r="U1350">
        <v>21</v>
      </c>
      <c r="V1350">
        <v>0</v>
      </c>
      <c r="W1350">
        <v>3</v>
      </c>
      <c r="X1350">
        <v>0</v>
      </c>
      <c r="Y1350">
        <v>0</v>
      </c>
      <c r="Z1350">
        <v>0</v>
      </c>
      <c r="AA1350">
        <v>19</v>
      </c>
      <c r="AB1350">
        <v>0</v>
      </c>
      <c r="AC1350">
        <v>22</v>
      </c>
      <c r="AD1350">
        <v>2</v>
      </c>
      <c r="AE1350">
        <v>53</v>
      </c>
      <c r="AF1350">
        <v>1</v>
      </c>
      <c r="AG1350">
        <v>22</v>
      </c>
      <c r="AH1350">
        <v>10</v>
      </c>
      <c r="AI1350">
        <v>0</v>
      </c>
      <c r="AJ1350">
        <v>27</v>
      </c>
      <c r="AK1350">
        <v>0</v>
      </c>
      <c r="AL1350">
        <v>0</v>
      </c>
      <c r="AM1350">
        <v>6</v>
      </c>
      <c r="AN1350">
        <v>16</v>
      </c>
      <c r="AO1350">
        <v>46</v>
      </c>
      <c r="AQ1350" t="str">
        <f t="shared" si="21"/>
        <v>Forward</v>
      </c>
    </row>
    <row r="1351" spans="1:43" x14ac:dyDescent="0.35">
      <c r="A1351" t="s">
        <v>798</v>
      </c>
      <c r="B1351" t="s">
        <v>43</v>
      </c>
      <c r="C1351" t="s">
        <v>2217</v>
      </c>
      <c r="D1351">
        <v>1994</v>
      </c>
      <c r="E1351">
        <v>23</v>
      </c>
      <c r="F1351" t="s">
        <v>44</v>
      </c>
      <c r="G1351" t="s">
        <v>67</v>
      </c>
      <c r="H1351">
        <v>22500000</v>
      </c>
      <c r="I1351">
        <v>36000000</v>
      </c>
      <c r="J1351" t="s">
        <v>55</v>
      </c>
      <c r="K1351">
        <v>29</v>
      </c>
      <c r="L1351">
        <v>2124</v>
      </c>
      <c r="M1351">
        <v>2</v>
      </c>
      <c r="N1351">
        <v>1108</v>
      </c>
      <c r="O1351">
        <v>2</v>
      </c>
      <c r="P1351">
        <v>3</v>
      </c>
      <c r="Q1351">
        <v>1</v>
      </c>
      <c r="R1351">
        <v>5</v>
      </c>
      <c r="S1351">
        <v>3</v>
      </c>
      <c r="T1351">
        <v>40</v>
      </c>
      <c r="U1351">
        <v>9</v>
      </c>
      <c r="V1351">
        <v>1</v>
      </c>
      <c r="W1351">
        <v>22</v>
      </c>
      <c r="X1351">
        <v>1</v>
      </c>
      <c r="Y1351">
        <v>0</v>
      </c>
      <c r="Z1351">
        <v>0</v>
      </c>
      <c r="AA1351">
        <v>2</v>
      </c>
      <c r="AB1351">
        <v>0</v>
      </c>
      <c r="AC1351">
        <v>31</v>
      </c>
      <c r="AD1351">
        <v>0</v>
      </c>
      <c r="AE1351">
        <v>5</v>
      </c>
      <c r="AF1351">
        <v>6</v>
      </c>
      <c r="AG1351">
        <v>37</v>
      </c>
      <c r="AH1351">
        <v>50</v>
      </c>
      <c r="AI1351">
        <v>0</v>
      </c>
      <c r="AJ1351">
        <v>64</v>
      </c>
      <c r="AK1351">
        <v>2</v>
      </c>
      <c r="AL1351">
        <v>0</v>
      </c>
      <c r="AM1351">
        <v>36</v>
      </c>
      <c r="AN1351">
        <v>40</v>
      </c>
      <c r="AO1351">
        <v>36</v>
      </c>
      <c r="AQ1351" t="str">
        <f t="shared" si="21"/>
        <v>Midfielder</v>
      </c>
    </row>
    <row r="1352" spans="1:43" x14ac:dyDescent="0.35">
      <c r="A1352" t="s">
        <v>799</v>
      </c>
      <c r="B1352" t="s">
        <v>46</v>
      </c>
      <c r="C1352" t="s">
        <v>2218</v>
      </c>
      <c r="D1352">
        <v>1987</v>
      </c>
      <c r="E1352">
        <v>30</v>
      </c>
      <c r="F1352" t="s">
        <v>74</v>
      </c>
      <c r="G1352" t="s">
        <v>291</v>
      </c>
      <c r="H1352">
        <v>3150000</v>
      </c>
      <c r="I1352">
        <v>3600000</v>
      </c>
      <c r="J1352" t="s">
        <v>52</v>
      </c>
      <c r="K1352">
        <v>26</v>
      </c>
      <c r="L1352">
        <v>2049</v>
      </c>
      <c r="M1352">
        <v>0</v>
      </c>
      <c r="N1352">
        <v>1053</v>
      </c>
      <c r="O1352">
        <v>0</v>
      </c>
      <c r="P1352">
        <v>0</v>
      </c>
      <c r="Q1352">
        <v>0</v>
      </c>
      <c r="R1352">
        <v>0</v>
      </c>
      <c r="S1352">
        <v>5</v>
      </c>
      <c r="T1352">
        <v>0</v>
      </c>
      <c r="U1352">
        <v>0</v>
      </c>
      <c r="V1352">
        <v>0</v>
      </c>
      <c r="W1352">
        <v>36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10</v>
      </c>
      <c r="AG1352">
        <v>24</v>
      </c>
      <c r="AH1352">
        <v>12</v>
      </c>
      <c r="AI1352">
        <v>0</v>
      </c>
      <c r="AJ1352">
        <v>23</v>
      </c>
      <c r="AK1352">
        <v>1</v>
      </c>
      <c r="AL1352">
        <v>0</v>
      </c>
      <c r="AM1352">
        <v>77</v>
      </c>
      <c r="AN1352">
        <v>47</v>
      </c>
      <c r="AO1352">
        <v>43</v>
      </c>
      <c r="AQ1352" t="str">
        <f t="shared" si="21"/>
        <v>Defensive Forward</v>
      </c>
    </row>
    <row r="1353" spans="1:43" x14ac:dyDescent="0.35">
      <c r="A1353" t="s">
        <v>800</v>
      </c>
      <c r="B1353" t="s">
        <v>39</v>
      </c>
      <c r="C1353" t="s">
        <v>2219</v>
      </c>
      <c r="D1353">
        <v>1988</v>
      </c>
      <c r="E1353">
        <v>27</v>
      </c>
      <c r="F1353" t="s">
        <v>123</v>
      </c>
      <c r="G1353" t="s">
        <v>138</v>
      </c>
      <c r="H1353">
        <v>2700000</v>
      </c>
      <c r="I1353">
        <v>4950000</v>
      </c>
      <c r="J1353" t="s">
        <v>52</v>
      </c>
      <c r="K1353">
        <v>10</v>
      </c>
      <c r="L1353">
        <v>849</v>
      </c>
      <c r="M1353">
        <v>1</v>
      </c>
      <c r="N1353">
        <v>257</v>
      </c>
      <c r="O1353">
        <v>0</v>
      </c>
      <c r="P1353">
        <v>3</v>
      </c>
      <c r="Q1353">
        <v>0</v>
      </c>
      <c r="R1353">
        <v>0</v>
      </c>
      <c r="S1353">
        <v>2</v>
      </c>
      <c r="T1353">
        <v>3</v>
      </c>
      <c r="U1353">
        <v>1</v>
      </c>
      <c r="V1353">
        <v>0</v>
      </c>
      <c r="W1353">
        <v>73</v>
      </c>
      <c r="X1353">
        <v>1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10</v>
      </c>
      <c r="AG1353">
        <v>24</v>
      </c>
      <c r="AH1353">
        <v>6</v>
      </c>
      <c r="AI1353">
        <v>0</v>
      </c>
      <c r="AJ1353">
        <v>14</v>
      </c>
      <c r="AK1353">
        <v>0</v>
      </c>
      <c r="AL1353">
        <v>0</v>
      </c>
      <c r="AM1353">
        <v>102</v>
      </c>
      <c r="AN1353">
        <v>40</v>
      </c>
      <c r="AO1353">
        <v>16</v>
      </c>
      <c r="AQ1353" t="str">
        <f t="shared" si="21"/>
        <v>Defensive Forward</v>
      </c>
    </row>
    <row r="1354" spans="1:43" x14ac:dyDescent="0.35">
      <c r="A1354" t="s">
        <v>801</v>
      </c>
      <c r="B1354" t="s">
        <v>43</v>
      </c>
      <c r="C1354" t="s">
        <v>2220</v>
      </c>
      <c r="D1354">
        <v>1998</v>
      </c>
      <c r="E1354">
        <v>19</v>
      </c>
      <c r="F1354" t="s">
        <v>64</v>
      </c>
      <c r="G1354" t="s">
        <v>216</v>
      </c>
      <c r="H1354">
        <v>2250000</v>
      </c>
      <c r="I1354">
        <v>6300000</v>
      </c>
      <c r="J1354" t="s">
        <v>52</v>
      </c>
      <c r="K1354">
        <v>21</v>
      </c>
      <c r="L1354">
        <v>1594</v>
      </c>
      <c r="M1354">
        <v>0</v>
      </c>
      <c r="N1354">
        <v>612</v>
      </c>
      <c r="O1354">
        <v>0</v>
      </c>
      <c r="P1354">
        <v>2</v>
      </c>
      <c r="Q1354">
        <v>0</v>
      </c>
      <c r="R1354">
        <v>4</v>
      </c>
      <c r="S1354">
        <v>2</v>
      </c>
      <c r="T1354">
        <v>0</v>
      </c>
      <c r="U1354">
        <v>0</v>
      </c>
      <c r="V1354">
        <v>0</v>
      </c>
      <c r="W1354">
        <v>33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17</v>
      </c>
      <c r="AF1354">
        <v>9</v>
      </c>
      <c r="AG1354">
        <v>31</v>
      </c>
      <c r="AH1354">
        <v>18</v>
      </c>
      <c r="AI1354">
        <v>1</v>
      </c>
      <c r="AJ1354">
        <v>42</v>
      </c>
      <c r="AK1354">
        <v>0</v>
      </c>
      <c r="AL1354">
        <v>0</v>
      </c>
      <c r="AM1354">
        <v>66</v>
      </c>
      <c r="AN1354">
        <v>19</v>
      </c>
      <c r="AO1354">
        <v>22</v>
      </c>
      <c r="AQ1354" t="str">
        <f t="shared" si="21"/>
        <v>Defensive Forward</v>
      </c>
    </row>
    <row r="1355" spans="1:43" x14ac:dyDescent="0.35">
      <c r="A1355" t="s">
        <v>801</v>
      </c>
      <c r="B1355" t="s">
        <v>46</v>
      </c>
      <c r="C1355" t="s">
        <v>2221</v>
      </c>
      <c r="D1355">
        <v>1998</v>
      </c>
      <c r="E1355">
        <v>20</v>
      </c>
      <c r="F1355" t="s">
        <v>74</v>
      </c>
      <c r="G1355" t="s">
        <v>216</v>
      </c>
      <c r="H1355">
        <v>6300000</v>
      </c>
      <c r="I1355">
        <v>6300000</v>
      </c>
      <c r="J1355" t="s">
        <v>52</v>
      </c>
      <c r="K1355">
        <v>12</v>
      </c>
      <c r="L1355">
        <v>794</v>
      </c>
      <c r="M1355">
        <v>0</v>
      </c>
      <c r="N1355">
        <v>406</v>
      </c>
      <c r="O1355">
        <v>0</v>
      </c>
      <c r="P1355">
        <v>3</v>
      </c>
      <c r="Q1355">
        <v>0</v>
      </c>
      <c r="R1355">
        <v>2</v>
      </c>
      <c r="S1355">
        <v>4</v>
      </c>
      <c r="T1355">
        <v>4</v>
      </c>
      <c r="U1355">
        <v>1</v>
      </c>
      <c r="V1355">
        <v>0</v>
      </c>
      <c r="W1355">
        <v>10</v>
      </c>
      <c r="X1355">
        <v>0</v>
      </c>
      <c r="Y1355">
        <v>0</v>
      </c>
      <c r="Z1355">
        <v>0</v>
      </c>
      <c r="AA1355">
        <v>0</v>
      </c>
      <c r="AB1355">
        <v>1</v>
      </c>
      <c r="AC1355">
        <v>3</v>
      </c>
      <c r="AD1355">
        <v>0</v>
      </c>
      <c r="AE1355">
        <v>15</v>
      </c>
      <c r="AF1355">
        <v>5</v>
      </c>
      <c r="AG1355">
        <v>12</v>
      </c>
      <c r="AH1355">
        <v>7</v>
      </c>
      <c r="AI1355">
        <v>0</v>
      </c>
      <c r="AJ1355">
        <v>18</v>
      </c>
      <c r="AK1355">
        <v>1</v>
      </c>
      <c r="AL1355">
        <v>1</v>
      </c>
      <c r="AM1355">
        <v>25</v>
      </c>
      <c r="AN1355">
        <v>7</v>
      </c>
      <c r="AO1355">
        <v>13</v>
      </c>
      <c r="AQ1355" t="str">
        <f t="shared" si="21"/>
        <v>Defensive Forward</v>
      </c>
    </row>
    <row r="1356" spans="1:43" x14ac:dyDescent="0.35">
      <c r="A1356" t="s">
        <v>802</v>
      </c>
      <c r="B1356" t="s">
        <v>39</v>
      </c>
      <c r="C1356" t="s">
        <v>2222</v>
      </c>
      <c r="D1356">
        <v>1989</v>
      </c>
      <c r="E1356">
        <v>26</v>
      </c>
      <c r="F1356" t="s">
        <v>191</v>
      </c>
      <c r="G1356" t="s">
        <v>95</v>
      </c>
      <c r="H1356">
        <v>13500000</v>
      </c>
      <c r="I1356">
        <v>24500000</v>
      </c>
      <c r="J1356" t="s">
        <v>52</v>
      </c>
      <c r="K1356">
        <v>38</v>
      </c>
      <c r="L1356">
        <v>3419</v>
      </c>
      <c r="M1356">
        <v>4</v>
      </c>
      <c r="N1356">
        <v>2076</v>
      </c>
      <c r="O1356">
        <v>2</v>
      </c>
      <c r="P1356">
        <v>3</v>
      </c>
      <c r="Q1356">
        <v>0</v>
      </c>
      <c r="R1356">
        <v>0</v>
      </c>
      <c r="S1356">
        <v>1</v>
      </c>
      <c r="T1356">
        <v>41</v>
      </c>
      <c r="U1356">
        <v>14</v>
      </c>
      <c r="V1356">
        <v>0</v>
      </c>
      <c r="W1356">
        <v>143</v>
      </c>
      <c r="X1356">
        <v>3</v>
      </c>
      <c r="Y1356">
        <v>0</v>
      </c>
      <c r="Z1356">
        <v>0</v>
      </c>
      <c r="AA1356">
        <v>1</v>
      </c>
      <c r="AB1356">
        <v>2</v>
      </c>
      <c r="AC1356">
        <v>1</v>
      </c>
      <c r="AD1356">
        <v>0</v>
      </c>
      <c r="AE1356">
        <v>16</v>
      </c>
      <c r="AF1356">
        <v>33</v>
      </c>
      <c r="AG1356">
        <v>66</v>
      </c>
      <c r="AH1356">
        <v>9</v>
      </c>
      <c r="AI1356">
        <v>0</v>
      </c>
      <c r="AJ1356">
        <v>45</v>
      </c>
      <c r="AK1356">
        <v>0</v>
      </c>
      <c r="AL1356">
        <v>0</v>
      </c>
      <c r="AM1356">
        <v>285</v>
      </c>
      <c r="AN1356">
        <v>59</v>
      </c>
      <c r="AO1356">
        <v>39</v>
      </c>
      <c r="AQ1356" t="str">
        <f t="shared" si="21"/>
        <v>Defensive Forward</v>
      </c>
    </row>
    <row r="1357" spans="1:43" x14ac:dyDescent="0.35">
      <c r="A1357" t="s">
        <v>802</v>
      </c>
      <c r="B1357" t="s">
        <v>46</v>
      </c>
      <c r="C1357" t="s">
        <v>2223</v>
      </c>
      <c r="D1357">
        <v>1989</v>
      </c>
      <c r="E1357">
        <v>29</v>
      </c>
      <c r="F1357" t="s">
        <v>191</v>
      </c>
      <c r="G1357" t="s">
        <v>95</v>
      </c>
      <c r="H1357">
        <v>36000000</v>
      </c>
      <c r="I1357">
        <v>36000000</v>
      </c>
      <c r="J1357" t="s">
        <v>52</v>
      </c>
      <c r="K1357">
        <v>34</v>
      </c>
      <c r="L1357">
        <v>2923</v>
      </c>
      <c r="M1357">
        <v>0</v>
      </c>
      <c r="N1357">
        <v>2358</v>
      </c>
      <c r="O1357">
        <v>0</v>
      </c>
      <c r="P1357">
        <v>3</v>
      </c>
      <c r="Q1357">
        <v>0</v>
      </c>
      <c r="R1357">
        <v>1</v>
      </c>
      <c r="S1357">
        <v>3</v>
      </c>
      <c r="T1357">
        <v>19</v>
      </c>
      <c r="U1357">
        <v>5</v>
      </c>
      <c r="V1357">
        <v>1</v>
      </c>
      <c r="W1357">
        <v>79</v>
      </c>
      <c r="X1357">
        <v>0</v>
      </c>
      <c r="Y1357">
        <v>0</v>
      </c>
      <c r="Z1357">
        <v>0</v>
      </c>
      <c r="AA1357">
        <v>1</v>
      </c>
      <c r="AB1357">
        <v>6</v>
      </c>
      <c r="AC1357">
        <v>14</v>
      </c>
      <c r="AD1357">
        <v>0</v>
      </c>
      <c r="AE1357">
        <v>6</v>
      </c>
      <c r="AF1357">
        <v>22</v>
      </c>
      <c r="AG1357">
        <v>24</v>
      </c>
      <c r="AH1357">
        <v>10</v>
      </c>
      <c r="AI1357">
        <v>1</v>
      </c>
      <c r="AJ1357">
        <v>37</v>
      </c>
      <c r="AK1357">
        <v>0</v>
      </c>
      <c r="AL1357">
        <v>1</v>
      </c>
      <c r="AM1357">
        <v>167</v>
      </c>
      <c r="AN1357">
        <v>54</v>
      </c>
      <c r="AO1357">
        <v>47</v>
      </c>
      <c r="AQ1357" t="str">
        <f t="shared" si="21"/>
        <v>Defensive Forward</v>
      </c>
    </row>
    <row r="1358" spans="1:43" x14ac:dyDescent="0.35">
      <c r="A1358" t="s">
        <v>802</v>
      </c>
      <c r="B1358" t="s">
        <v>47</v>
      </c>
      <c r="C1358" t="s">
        <v>2224</v>
      </c>
      <c r="D1358">
        <v>1989</v>
      </c>
      <c r="E1358">
        <v>27</v>
      </c>
      <c r="F1358" t="s">
        <v>191</v>
      </c>
      <c r="G1358" t="s">
        <v>95</v>
      </c>
      <c r="H1358">
        <v>24500000</v>
      </c>
      <c r="I1358">
        <v>31500000</v>
      </c>
      <c r="J1358" t="s">
        <v>52</v>
      </c>
      <c r="K1358">
        <v>30</v>
      </c>
      <c r="L1358">
        <v>2604</v>
      </c>
      <c r="M1358">
        <v>1</v>
      </c>
      <c r="N1358">
        <v>1522</v>
      </c>
      <c r="O1358">
        <v>0</v>
      </c>
      <c r="P1358">
        <v>1</v>
      </c>
      <c r="Q1358">
        <v>0</v>
      </c>
      <c r="R1358">
        <v>0</v>
      </c>
      <c r="S1358">
        <v>3</v>
      </c>
      <c r="T1358">
        <v>28</v>
      </c>
      <c r="U1358">
        <v>9</v>
      </c>
      <c r="V1358">
        <v>1</v>
      </c>
      <c r="W1358">
        <v>84</v>
      </c>
      <c r="X1358">
        <v>0</v>
      </c>
      <c r="Y1358">
        <v>0</v>
      </c>
      <c r="Z1358">
        <v>0</v>
      </c>
      <c r="AA1358">
        <v>0</v>
      </c>
      <c r="AB1358">
        <v>1</v>
      </c>
      <c r="AC1358">
        <v>1</v>
      </c>
      <c r="AD1358">
        <v>0</v>
      </c>
      <c r="AE1358">
        <v>6</v>
      </c>
      <c r="AF1358">
        <v>21</v>
      </c>
      <c r="AG1358">
        <v>26</v>
      </c>
      <c r="AH1358">
        <v>9</v>
      </c>
      <c r="AI1358">
        <v>0</v>
      </c>
      <c r="AJ1358">
        <v>41</v>
      </c>
      <c r="AK1358">
        <v>1</v>
      </c>
      <c r="AL1358">
        <v>0</v>
      </c>
      <c r="AM1358">
        <v>162</v>
      </c>
      <c r="AN1358">
        <v>42</v>
      </c>
      <c r="AO1358">
        <v>45</v>
      </c>
      <c r="AQ1358" t="str">
        <f t="shared" si="21"/>
        <v>Defensive Forward</v>
      </c>
    </row>
    <row r="1359" spans="1:43" x14ac:dyDescent="0.35">
      <c r="A1359" t="s">
        <v>802</v>
      </c>
      <c r="B1359" t="s">
        <v>43</v>
      </c>
      <c r="C1359" t="s">
        <v>2225</v>
      </c>
      <c r="D1359">
        <v>1989</v>
      </c>
      <c r="E1359">
        <v>28</v>
      </c>
      <c r="F1359" t="s">
        <v>191</v>
      </c>
      <c r="G1359" t="s">
        <v>95</v>
      </c>
      <c r="H1359">
        <v>31500000</v>
      </c>
      <c r="I1359">
        <v>36000000</v>
      </c>
      <c r="J1359" t="s">
        <v>52</v>
      </c>
      <c r="K1359">
        <v>14</v>
      </c>
      <c r="L1359">
        <v>1177</v>
      </c>
      <c r="M1359">
        <v>0</v>
      </c>
      <c r="N1359">
        <v>915</v>
      </c>
      <c r="O1359">
        <v>0</v>
      </c>
      <c r="P1359">
        <v>3</v>
      </c>
      <c r="Q1359">
        <v>0</v>
      </c>
      <c r="R1359">
        <v>1</v>
      </c>
      <c r="S1359">
        <v>0</v>
      </c>
      <c r="T1359">
        <v>10</v>
      </c>
      <c r="U1359">
        <v>1</v>
      </c>
      <c r="V1359">
        <v>0</v>
      </c>
      <c r="W1359">
        <v>31</v>
      </c>
      <c r="X1359">
        <v>0</v>
      </c>
      <c r="Y1359">
        <v>0</v>
      </c>
      <c r="Z1359">
        <v>0</v>
      </c>
      <c r="AA1359">
        <v>0</v>
      </c>
      <c r="AB1359">
        <v>1</v>
      </c>
      <c r="AC1359">
        <v>9</v>
      </c>
      <c r="AD1359">
        <v>0</v>
      </c>
      <c r="AE1359">
        <v>7</v>
      </c>
      <c r="AF1359">
        <v>5</v>
      </c>
      <c r="AG1359">
        <v>4</v>
      </c>
      <c r="AH1359">
        <v>8</v>
      </c>
      <c r="AI1359">
        <v>0</v>
      </c>
      <c r="AJ1359">
        <v>19</v>
      </c>
      <c r="AK1359">
        <v>0</v>
      </c>
      <c r="AL1359">
        <v>0</v>
      </c>
      <c r="AM1359">
        <v>50</v>
      </c>
      <c r="AN1359">
        <v>14</v>
      </c>
      <c r="AO1359">
        <v>29</v>
      </c>
      <c r="AQ1359" t="str">
        <f t="shared" si="21"/>
        <v>Defensive Forward</v>
      </c>
    </row>
    <row r="1360" spans="1:43" x14ac:dyDescent="0.35">
      <c r="A1360" t="s">
        <v>803</v>
      </c>
      <c r="B1360" t="s">
        <v>46</v>
      </c>
      <c r="C1360" t="s">
        <v>2226</v>
      </c>
      <c r="D1360">
        <v>1991</v>
      </c>
      <c r="E1360">
        <v>27</v>
      </c>
      <c r="F1360" t="s">
        <v>74</v>
      </c>
      <c r="G1360" t="s">
        <v>108</v>
      </c>
      <c r="H1360">
        <v>16200000</v>
      </c>
      <c r="I1360">
        <v>13500000</v>
      </c>
      <c r="J1360" t="s">
        <v>55</v>
      </c>
      <c r="K1360">
        <v>31</v>
      </c>
      <c r="L1360">
        <v>2198</v>
      </c>
      <c r="M1360">
        <v>1</v>
      </c>
      <c r="N1360">
        <v>1373</v>
      </c>
      <c r="O1360">
        <v>1</v>
      </c>
      <c r="P1360">
        <v>0</v>
      </c>
      <c r="Q1360">
        <v>0</v>
      </c>
      <c r="R1360">
        <v>7</v>
      </c>
      <c r="S1360">
        <v>11</v>
      </c>
      <c r="T1360">
        <v>24</v>
      </c>
      <c r="U1360">
        <v>5</v>
      </c>
      <c r="V1360">
        <v>2</v>
      </c>
      <c r="W1360">
        <v>4</v>
      </c>
      <c r="X1360">
        <v>0</v>
      </c>
      <c r="Y1360">
        <v>0</v>
      </c>
      <c r="Z1360">
        <v>0</v>
      </c>
      <c r="AA1360">
        <v>0</v>
      </c>
      <c r="AB1360">
        <v>7</v>
      </c>
      <c r="AC1360">
        <v>19</v>
      </c>
      <c r="AD1360">
        <v>5</v>
      </c>
      <c r="AE1360">
        <v>27</v>
      </c>
      <c r="AF1360">
        <v>5</v>
      </c>
      <c r="AG1360">
        <v>10</v>
      </c>
      <c r="AH1360">
        <v>9</v>
      </c>
      <c r="AI1360">
        <v>0</v>
      </c>
      <c r="AJ1360">
        <v>37</v>
      </c>
      <c r="AK1360">
        <v>0</v>
      </c>
      <c r="AL1360">
        <v>0</v>
      </c>
      <c r="AM1360">
        <v>11</v>
      </c>
      <c r="AN1360">
        <v>9</v>
      </c>
      <c r="AO1360">
        <v>15</v>
      </c>
      <c r="AQ1360" t="str">
        <f t="shared" si="21"/>
        <v>Midfielder</v>
      </c>
    </row>
    <row r="1361" spans="1:43" x14ac:dyDescent="0.35">
      <c r="A1361" t="s">
        <v>804</v>
      </c>
      <c r="B1361" t="s">
        <v>43</v>
      </c>
      <c r="C1361" t="s">
        <v>2227</v>
      </c>
      <c r="D1361">
        <v>1992</v>
      </c>
      <c r="E1361">
        <v>25</v>
      </c>
      <c r="F1361" t="s">
        <v>40</v>
      </c>
      <c r="G1361" t="s">
        <v>51</v>
      </c>
      <c r="H1361">
        <v>6600000</v>
      </c>
      <c r="I1361">
        <v>7700000</v>
      </c>
      <c r="J1361" t="s">
        <v>55</v>
      </c>
      <c r="K1361">
        <v>37</v>
      </c>
      <c r="L1361">
        <v>2569</v>
      </c>
      <c r="M1361">
        <v>0</v>
      </c>
      <c r="N1361">
        <v>1444</v>
      </c>
      <c r="O1361">
        <v>4</v>
      </c>
      <c r="P1361">
        <v>3</v>
      </c>
      <c r="Q1361">
        <v>0</v>
      </c>
      <c r="R1361">
        <v>9</v>
      </c>
      <c r="S1361">
        <v>8</v>
      </c>
      <c r="T1361">
        <v>20</v>
      </c>
      <c r="U1361">
        <v>3</v>
      </c>
      <c r="V1361">
        <v>2</v>
      </c>
      <c r="W1361">
        <v>5</v>
      </c>
      <c r="X1361">
        <v>0</v>
      </c>
      <c r="Y1361">
        <v>0</v>
      </c>
      <c r="Z1361">
        <v>0</v>
      </c>
      <c r="AA1361">
        <v>1</v>
      </c>
      <c r="AB1361">
        <v>3</v>
      </c>
      <c r="AC1361">
        <v>17</v>
      </c>
      <c r="AD1361">
        <v>70</v>
      </c>
      <c r="AE1361">
        <v>129</v>
      </c>
      <c r="AF1361">
        <v>8</v>
      </c>
      <c r="AG1361">
        <v>29</v>
      </c>
      <c r="AH1361">
        <v>23</v>
      </c>
      <c r="AI1361">
        <v>0</v>
      </c>
      <c r="AJ1361">
        <v>53</v>
      </c>
      <c r="AK1361">
        <v>1</v>
      </c>
      <c r="AL1361">
        <v>0</v>
      </c>
      <c r="AM1361">
        <v>15</v>
      </c>
      <c r="AN1361">
        <v>11</v>
      </c>
      <c r="AO1361">
        <v>21</v>
      </c>
      <c r="AQ1361" t="str">
        <f t="shared" si="21"/>
        <v>Midfielder</v>
      </c>
    </row>
    <row r="1362" spans="1:43" x14ac:dyDescent="0.35">
      <c r="A1362" t="s">
        <v>804</v>
      </c>
      <c r="B1362" t="s">
        <v>39</v>
      </c>
      <c r="C1362" t="s">
        <v>2228</v>
      </c>
      <c r="D1362">
        <v>1992</v>
      </c>
      <c r="E1362">
        <v>23</v>
      </c>
      <c r="F1362" t="s">
        <v>191</v>
      </c>
      <c r="G1362" t="s">
        <v>51</v>
      </c>
      <c r="H1362">
        <v>3300000</v>
      </c>
      <c r="I1362">
        <v>5500000</v>
      </c>
      <c r="J1362" t="s">
        <v>55</v>
      </c>
      <c r="K1362">
        <v>19</v>
      </c>
      <c r="L1362">
        <v>506</v>
      </c>
      <c r="M1362">
        <v>1</v>
      </c>
      <c r="N1362">
        <v>338</v>
      </c>
      <c r="O1362">
        <v>0</v>
      </c>
      <c r="P1362">
        <v>3</v>
      </c>
      <c r="Q1362">
        <v>0</v>
      </c>
      <c r="R1362">
        <v>15</v>
      </c>
      <c r="S1362">
        <v>3</v>
      </c>
      <c r="T1362">
        <v>5</v>
      </c>
      <c r="U1362">
        <v>3</v>
      </c>
      <c r="V1362">
        <v>0</v>
      </c>
      <c r="W1362">
        <v>2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2</v>
      </c>
      <c r="AE1362">
        <v>12</v>
      </c>
      <c r="AF1362">
        <v>1</v>
      </c>
      <c r="AG1362">
        <v>14</v>
      </c>
      <c r="AH1362">
        <v>8</v>
      </c>
      <c r="AI1362">
        <v>0</v>
      </c>
      <c r="AJ1362">
        <v>15</v>
      </c>
      <c r="AK1362">
        <v>0</v>
      </c>
      <c r="AL1362">
        <v>0</v>
      </c>
      <c r="AM1362">
        <v>4</v>
      </c>
      <c r="AN1362">
        <v>3</v>
      </c>
      <c r="AO1362">
        <v>8</v>
      </c>
      <c r="AQ1362" t="str">
        <f t="shared" si="21"/>
        <v>Midfielder</v>
      </c>
    </row>
    <row r="1363" spans="1:43" x14ac:dyDescent="0.35">
      <c r="A1363" t="s">
        <v>804</v>
      </c>
      <c r="B1363" t="s">
        <v>47</v>
      </c>
      <c r="C1363" t="s">
        <v>2229</v>
      </c>
      <c r="D1363">
        <v>1992</v>
      </c>
      <c r="E1363">
        <v>24</v>
      </c>
      <c r="F1363" t="s">
        <v>40</v>
      </c>
      <c r="G1363" t="s">
        <v>51</v>
      </c>
      <c r="H1363">
        <v>5500000</v>
      </c>
      <c r="I1363">
        <v>6600000</v>
      </c>
      <c r="J1363" t="s">
        <v>55</v>
      </c>
      <c r="K1363">
        <v>18</v>
      </c>
      <c r="L1363">
        <v>1389</v>
      </c>
      <c r="M1363">
        <v>1</v>
      </c>
      <c r="N1363">
        <v>796</v>
      </c>
      <c r="O1363">
        <v>2</v>
      </c>
      <c r="P1363">
        <v>1</v>
      </c>
      <c r="Q1363">
        <v>0</v>
      </c>
      <c r="R1363">
        <v>2</v>
      </c>
      <c r="S1363">
        <v>4</v>
      </c>
      <c r="T1363">
        <v>9</v>
      </c>
      <c r="U1363">
        <v>2</v>
      </c>
      <c r="V1363">
        <v>1</v>
      </c>
      <c r="W1363">
        <v>2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38</v>
      </c>
      <c r="AF1363">
        <v>3</v>
      </c>
      <c r="AG1363">
        <v>20</v>
      </c>
      <c r="AH1363">
        <v>13</v>
      </c>
      <c r="AI1363">
        <v>0</v>
      </c>
      <c r="AJ1363">
        <v>30</v>
      </c>
      <c r="AK1363">
        <v>0</v>
      </c>
      <c r="AL1363">
        <v>0</v>
      </c>
      <c r="AM1363">
        <v>8</v>
      </c>
      <c r="AN1363">
        <v>5</v>
      </c>
      <c r="AO1363">
        <v>10</v>
      </c>
      <c r="AQ1363" t="str">
        <f t="shared" si="21"/>
        <v>Midfielder</v>
      </c>
    </row>
    <row r="1364" spans="1:43" x14ac:dyDescent="0.35">
      <c r="A1364" t="s">
        <v>805</v>
      </c>
      <c r="B1364" t="s">
        <v>43</v>
      </c>
      <c r="C1364" t="s">
        <v>2230</v>
      </c>
      <c r="D1364">
        <v>1989</v>
      </c>
      <c r="E1364">
        <v>28</v>
      </c>
      <c r="F1364" t="s">
        <v>66</v>
      </c>
      <c r="G1364" t="s">
        <v>51</v>
      </c>
      <c r="H1364">
        <v>8800000</v>
      </c>
      <c r="I1364">
        <v>9900000</v>
      </c>
      <c r="J1364" t="s">
        <v>55</v>
      </c>
      <c r="K1364">
        <v>23</v>
      </c>
      <c r="L1364">
        <v>1905</v>
      </c>
      <c r="M1364">
        <v>1</v>
      </c>
      <c r="N1364">
        <v>1137</v>
      </c>
      <c r="O1364">
        <v>2</v>
      </c>
      <c r="P1364">
        <v>1</v>
      </c>
      <c r="Q1364">
        <v>1</v>
      </c>
      <c r="R1364">
        <v>1</v>
      </c>
      <c r="S1364">
        <v>4</v>
      </c>
      <c r="T1364">
        <v>16</v>
      </c>
      <c r="U1364">
        <v>3</v>
      </c>
      <c r="V1364">
        <v>0</v>
      </c>
      <c r="W1364">
        <v>6</v>
      </c>
      <c r="X1364">
        <v>0</v>
      </c>
      <c r="Y1364">
        <v>0</v>
      </c>
      <c r="Z1364">
        <v>0</v>
      </c>
      <c r="AA1364">
        <v>1</v>
      </c>
      <c r="AB1364">
        <v>2</v>
      </c>
      <c r="AC1364">
        <v>13</v>
      </c>
      <c r="AD1364">
        <v>47</v>
      </c>
      <c r="AE1364">
        <v>82</v>
      </c>
      <c r="AF1364">
        <v>1</v>
      </c>
      <c r="AG1364">
        <v>25</v>
      </c>
      <c r="AH1364">
        <v>33</v>
      </c>
      <c r="AI1364">
        <v>0</v>
      </c>
      <c r="AJ1364">
        <v>48</v>
      </c>
      <c r="AK1364">
        <v>0</v>
      </c>
      <c r="AL1364">
        <v>0</v>
      </c>
      <c r="AM1364">
        <v>19</v>
      </c>
      <c r="AN1364">
        <v>24</v>
      </c>
      <c r="AO1364">
        <v>42</v>
      </c>
      <c r="AQ1364" t="str">
        <f t="shared" si="21"/>
        <v>Midfielder</v>
      </c>
    </row>
    <row r="1365" spans="1:43" x14ac:dyDescent="0.35">
      <c r="A1365" t="s">
        <v>805</v>
      </c>
      <c r="B1365" t="s">
        <v>39</v>
      </c>
      <c r="C1365" t="s">
        <v>2231</v>
      </c>
      <c r="D1365">
        <v>1989</v>
      </c>
      <c r="E1365">
        <v>25</v>
      </c>
      <c r="F1365" t="s">
        <v>54</v>
      </c>
      <c r="G1365" t="s">
        <v>51</v>
      </c>
      <c r="H1365">
        <v>9900000</v>
      </c>
      <c r="I1365">
        <v>9900000</v>
      </c>
      <c r="J1365" t="s">
        <v>55</v>
      </c>
      <c r="K1365">
        <v>22</v>
      </c>
      <c r="L1365">
        <v>1613</v>
      </c>
      <c r="M1365">
        <v>2</v>
      </c>
      <c r="N1365">
        <v>885</v>
      </c>
      <c r="O1365">
        <v>4</v>
      </c>
      <c r="P1365">
        <v>1</v>
      </c>
      <c r="Q1365">
        <v>0</v>
      </c>
      <c r="R1365">
        <v>5</v>
      </c>
      <c r="S1365">
        <v>6</v>
      </c>
      <c r="T1365">
        <v>24</v>
      </c>
      <c r="U1365">
        <v>7</v>
      </c>
      <c r="V1365">
        <v>2</v>
      </c>
      <c r="W1365">
        <v>4</v>
      </c>
      <c r="X1365">
        <v>1</v>
      </c>
      <c r="Y1365">
        <v>0</v>
      </c>
      <c r="Z1365">
        <v>0</v>
      </c>
      <c r="AA1365">
        <v>1</v>
      </c>
      <c r="AB1365">
        <v>2</v>
      </c>
      <c r="AC1365">
        <v>1</v>
      </c>
      <c r="AD1365">
        <v>23</v>
      </c>
      <c r="AE1365">
        <v>64</v>
      </c>
      <c r="AF1365">
        <v>1</v>
      </c>
      <c r="AG1365">
        <v>19</v>
      </c>
      <c r="AH1365">
        <v>11</v>
      </c>
      <c r="AI1365">
        <v>0</v>
      </c>
      <c r="AJ1365">
        <v>47</v>
      </c>
      <c r="AK1365">
        <v>0</v>
      </c>
      <c r="AL1365">
        <v>0</v>
      </c>
      <c r="AM1365">
        <v>17</v>
      </c>
      <c r="AN1365">
        <v>19</v>
      </c>
      <c r="AO1365">
        <v>19</v>
      </c>
      <c r="AQ1365" t="str">
        <f t="shared" si="21"/>
        <v>Midfielder</v>
      </c>
    </row>
    <row r="1366" spans="1:43" x14ac:dyDescent="0.35">
      <c r="A1366" t="s">
        <v>805</v>
      </c>
      <c r="B1366" t="s">
        <v>47</v>
      </c>
      <c r="C1366" t="s">
        <v>2232</v>
      </c>
      <c r="D1366">
        <v>1989</v>
      </c>
      <c r="E1366">
        <v>26</v>
      </c>
      <c r="F1366" t="s">
        <v>66</v>
      </c>
      <c r="G1366" t="s">
        <v>51</v>
      </c>
      <c r="H1366">
        <v>9900000</v>
      </c>
      <c r="I1366">
        <v>8800000</v>
      </c>
      <c r="J1366" t="s">
        <v>55</v>
      </c>
      <c r="K1366">
        <v>27</v>
      </c>
      <c r="L1366">
        <v>1843</v>
      </c>
      <c r="M1366">
        <v>0</v>
      </c>
      <c r="N1366">
        <v>857</v>
      </c>
      <c r="O1366">
        <v>2</v>
      </c>
      <c r="P1366">
        <v>4</v>
      </c>
      <c r="Q1366">
        <v>0</v>
      </c>
      <c r="R1366">
        <v>7</v>
      </c>
      <c r="S1366">
        <v>4</v>
      </c>
      <c r="T1366">
        <v>10</v>
      </c>
      <c r="U1366">
        <v>4</v>
      </c>
      <c r="V1366">
        <v>1</v>
      </c>
      <c r="W1366">
        <v>6</v>
      </c>
      <c r="X1366">
        <v>0</v>
      </c>
      <c r="Y1366">
        <v>0</v>
      </c>
      <c r="Z1366">
        <v>0</v>
      </c>
      <c r="AA1366">
        <v>0</v>
      </c>
      <c r="AB1366">
        <v>2</v>
      </c>
      <c r="AC1366">
        <v>1</v>
      </c>
      <c r="AD1366">
        <v>46</v>
      </c>
      <c r="AE1366">
        <v>60</v>
      </c>
      <c r="AF1366">
        <v>6</v>
      </c>
      <c r="AG1366">
        <v>31</v>
      </c>
      <c r="AH1366">
        <v>23</v>
      </c>
      <c r="AI1366">
        <v>0</v>
      </c>
      <c r="AJ1366">
        <v>42</v>
      </c>
      <c r="AK1366">
        <v>0</v>
      </c>
      <c r="AL1366">
        <v>0</v>
      </c>
      <c r="AM1366">
        <v>21</v>
      </c>
      <c r="AN1366">
        <v>4</v>
      </c>
      <c r="AO1366">
        <v>21</v>
      </c>
      <c r="AQ1366" t="str">
        <f t="shared" si="21"/>
        <v>Midfielder</v>
      </c>
    </row>
    <row r="1367" spans="1:43" x14ac:dyDescent="0.35">
      <c r="A1367" t="s">
        <v>805</v>
      </c>
      <c r="B1367" t="s">
        <v>46</v>
      </c>
      <c r="C1367" t="s">
        <v>2233</v>
      </c>
      <c r="D1367">
        <v>1989</v>
      </c>
      <c r="E1367">
        <v>28</v>
      </c>
      <c r="F1367" t="s">
        <v>66</v>
      </c>
      <c r="G1367" t="s">
        <v>51</v>
      </c>
      <c r="H1367">
        <v>9900000</v>
      </c>
      <c r="I1367">
        <v>7700000</v>
      </c>
      <c r="J1367" t="s">
        <v>55</v>
      </c>
      <c r="K1367">
        <v>13</v>
      </c>
      <c r="L1367">
        <v>471</v>
      </c>
      <c r="M1367">
        <v>1</v>
      </c>
      <c r="N1367">
        <v>221</v>
      </c>
      <c r="O1367">
        <v>0</v>
      </c>
      <c r="P1367">
        <v>2</v>
      </c>
      <c r="Q1367">
        <v>0</v>
      </c>
      <c r="R1367">
        <v>9</v>
      </c>
      <c r="S1367">
        <v>1</v>
      </c>
      <c r="T1367">
        <v>4</v>
      </c>
      <c r="U1367">
        <v>2</v>
      </c>
      <c r="V1367">
        <v>1</v>
      </c>
      <c r="W1367">
        <v>6</v>
      </c>
      <c r="X1367">
        <v>0</v>
      </c>
      <c r="Y1367">
        <v>0</v>
      </c>
      <c r="Z1367">
        <v>0</v>
      </c>
      <c r="AA1367">
        <v>1</v>
      </c>
      <c r="AB1367">
        <v>0</v>
      </c>
      <c r="AC1367">
        <v>2</v>
      </c>
      <c r="AD1367">
        <v>2</v>
      </c>
      <c r="AE1367">
        <v>4</v>
      </c>
      <c r="AF1367">
        <v>0</v>
      </c>
      <c r="AG1367">
        <v>5</v>
      </c>
      <c r="AH1367">
        <v>8</v>
      </c>
      <c r="AI1367">
        <v>0</v>
      </c>
      <c r="AJ1367">
        <v>17</v>
      </c>
      <c r="AK1367">
        <v>0</v>
      </c>
      <c r="AL1367">
        <v>0</v>
      </c>
      <c r="AM1367">
        <v>11</v>
      </c>
      <c r="AN1367">
        <v>4</v>
      </c>
      <c r="AO1367">
        <v>10</v>
      </c>
      <c r="AQ1367" t="str">
        <f t="shared" si="21"/>
        <v>Midfielder</v>
      </c>
    </row>
    <row r="1368" spans="1:43" x14ac:dyDescent="0.35">
      <c r="A1368" t="s">
        <v>806</v>
      </c>
      <c r="B1368" t="s">
        <v>43</v>
      </c>
      <c r="C1368" t="s">
        <v>2234</v>
      </c>
      <c r="D1368">
        <v>1998</v>
      </c>
      <c r="E1368">
        <v>19</v>
      </c>
      <c r="F1368" t="s">
        <v>54</v>
      </c>
      <c r="G1368" t="s">
        <v>51</v>
      </c>
      <c r="H1368">
        <v>8800000</v>
      </c>
      <c r="I1368">
        <v>16500000</v>
      </c>
      <c r="J1368" t="s">
        <v>55</v>
      </c>
      <c r="K1368">
        <v>33</v>
      </c>
      <c r="L1368">
        <v>1901</v>
      </c>
      <c r="M1368">
        <v>2</v>
      </c>
      <c r="N1368">
        <v>691</v>
      </c>
      <c r="O1368">
        <v>1</v>
      </c>
      <c r="P1368">
        <v>7</v>
      </c>
      <c r="Q1368">
        <v>0</v>
      </c>
      <c r="R1368">
        <v>13</v>
      </c>
      <c r="S1368">
        <v>12</v>
      </c>
      <c r="T1368">
        <v>21</v>
      </c>
      <c r="U1368">
        <v>3</v>
      </c>
      <c r="V1368">
        <v>0</v>
      </c>
      <c r="W1368">
        <v>10</v>
      </c>
      <c r="X1368">
        <v>0</v>
      </c>
      <c r="Y1368">
        <v>0</v>
      </c>
      <c r="Z1368">
        <v>0</v>
      </c>
      <c r="AA1368">
        <v>3</v>
      </c>
      <c r="AB1368">
        <v>1</v>
      </c>
      <c r="AC1368">
        <v>18</v>
      </c>
      <c r="AD1368">
        <v>10</v>
      </c>
      <c r="AE1368">
        <v>17</v>
      </c>
      <c r="AF1368">
        <v>5</v>
      </c>
      <c r="AG1368">
        <v>24</v>
      </c>
      <c r="AH1368">
        <v>38</v>
      </c>
      <c r="AI1368">
        <v>0</v>
      </c>
      <c r="AJ1368">
        <v>30</v>
      </c>
      <c r="AK1368">
        <v>0</v>
      </c>
      <c r="AL1368">
        <v>0</v>
      </c>
      <c r="AM1368">
        <v>17</v>
      </c>
      <c r="AN1368">
        <v>19</v>
      </c>
      <c r="AO1368">
        <v>36</v>
      </c>
      <c r="AQ1368" t="str">
        <f t="shared" si="21"/>
        <v>Midfielder</v>
      </c>
    </row>
    <row r="1369" spans="1:43" x14ac:dyDescent="0.35">
      <c r="A1369" t="s">
        <v>806</v>
      </c>
      <c r="B1369" t="s">
        <v>47</v>
      </c>
      <c r="C1369" t="s">
        <v>2235</v>
      </c>
      <c r="D1369">
        <v>1998</v>
      </c>
      <c r="E1369">
        <v>18</v>
      </c>
      <c r="F1369" t="s">
        <v>54</v>
      </c>
      <c r="G1369" t="s">
        <v>51</v>
      </c>
      <c r="H1369">
        <v>550000</v>
      </c>
      <c r="I1369">
        <v>8800000</v>
      </c>
      <c r="J1369" t="s">
        <v>55</v>
      </c>
      <c r="K1369">
        <v>24</v>
      </c>
      <c r="L1369">
        <v>1543</v>
      </c>
      <c r="M1369">
        <v>2</v>
      </c>
      <c r="N1369">
        <v>783</v>
      </c>
      <c r="O1369">
        <v>3</v>
      </c>
      <c r="P1369">
        <v>4</v>
      </c>
      <c r="Q1369">
        <v>0</v>
      </c>
      <c r="R1369">
        <v>6</v>
      </c>
      <c r="S1369">
        <v>6</v>
      </c>
      <c r="T1369">
        <v>14</v>
      </c>
      <c r="U1369">
        <v>5</v>
      </c>
      <c r="V1369">
        <v>1</v>
      </c>
      <c r="W1369">
        <v>5</v>
      </c>
      <c r="X1369">
        <v>0</v>
      </c>
      <c r="Y1369">
        <v>0</v>
      </c>
      <c r="Z1369">
        <v>0</v>
      </c>
      <c r="AA1369">
        <v>4</v>
      </c>
      <c r="AB1369">
        <v>5</v>
      </c>
      <c r="AC1369">
        <v>1</v>
      </c>
      <c r="AD1369">
        <v>0</v>
      </c>
      <c r="AE1369">
        <v>11</v>
      </c>
      <c r="AF1369">
        <v>5</v>
      </c>
      <c r="AG1369">
        <v>18</v>
      </c>
      <c r="AH1369">
        <v>25</v>
      </c>
      <c r="AI1369">
        <v>0</v>
      </c>
      <c r="AJ1369">
        <v>36</v>
      </c>
      <c r="AK1369">
        <v>0</v>
      </c>
      <c r="AL1369">
        <v>0</v>
      </c>
      <c r="AM1369">
        <v>10</v>
      </c>
      <c r="AN1369">
        <v>10</v>
      </c>
      <c r="AO1369">
        <v>26</v>
      </c>
      <c r="AQ1369" t="str">
        <f t="shared" si="21"/>
        <v>Midfielder</v>
      </c>
    </row>
    <row r="1370" spans="1:43" x14ac:dyDescent="0.35">
      <c r="A1370" t="s">
        <v>806</v>
      </c>
      <c r="B1370" t="s">
        <v>46</v>
      </c>
      <c r="C1370" t="s">
        <v>2236</v>
      </c>
      <c r="D1370">
        <v>1998</v>
      </c>
      <c r="E1370">
        <v>20</v>
      </c>
      <c r="F1370" t="s">
        <v>54</v>
      </c>
      <c r="G1370" t="s">
        <v>51</v>
      </c>
      <c r="H1370">
        <v>16500000</v>
      </c>
      <c r="I1370">
        <v>16500000</v>
      </c>
      <c r="J1370" t="s">
        <v>55</v>
      </c>
      <c r="K1370">
        <v>16</v>
      </c>
      <c r="L1370">
        <v>976</v>
      </c>
      <c r="M1370">
        <v>0</v>
      </c>
      <c r="N1370">
        <v>506</v>
      </c>
      <c r="O1370">
        <v>0</v>
      </c>
      <c r="P1370">
        <v>3</v>
      </c>
      <c r="Q1370">
        <v>0</v>
      </c>
      <c r="R1370">
        <v>6</v>
      </c>
      <c r="S1370">
        <v>1</v>
      </c>
      <c r="T1370">
        <v>7</v>
      </c>
      <c r="U1370">
        <v>2</v>
      </c>
      <c r="V1370">
        <v>0</v>
      </c>
      <c r="W1370">
        <v>4</v>
      </c>
      <c r="X1370">
        <v>0</v>
      </c>
      <c r="Y1370">
        <v>0</v>
      </c>
      <c r="Z1370">
        <v>0</v>
      </c>
      <c r="AA1370">
        <v>1</v>
      </c>
      <c r="AB1370">
        <v>1</v>
      </c>
      <c r="AC1370">
        <v>5</v>
      </c>
      <c r="AD1370">
        <v>0</v>
      </c>
      <c r="AE1370">
        <v>6</v>
      </c>
      <c r="AF1370">
        <v>1</v>
      </c>
      <c r="AG1370">
        <v>16</v>
      </c>
      <c r="AH1370">
        <v>21</v>
      </c>
      <c r="AI1370">
        <v>0</v>
      </c>
      <c r="AJ1370">
        <v>27</v>
      </c>
      <c r="AK1370">
        <v>0</v>
      </c>
      <c r="AL1370">
        <v>0</v>
      </c>
      <c r="AM1370">
        <v>9</v>
      </c>
      <c r="AN1370">
        <v>8</v>
      </c>
      <c r="AO1370">
        <v>18</v>
      </c>
      <c r="AQ1370" t="str">
        <f t="shared" si="21"/>
        <v>Midfielder</v>
      </c>
    </row>
    <row r="1371" spans="1:43" x14ac:dyDescent="0.35">
      <c r="A1371" t="s">
        <v>807</v>
      </c>
      <c r="B1371" t="s">
        <v>47</v>
      </c>
      <c r="C1371" t="s">
        <v>2237</v>
      </c>
      <c r="D1371">
        <v>1986</v>
      </c>
      <c r="E1371">
        <v>29</v>
      </c>
      <c r="F1371" t="s">
        <v>71</v>
      </c>
      <c r="G1371" t="s">
        <v>51</v>
      </c>
      <c r="H1371">
        <v>5000000</v>
      </c>
      <c r="I1371">
        <v>5000000</v>
      </c>
      <c r="J1371" t="s">
        <v>55</v>
      </c>
      <c r="K1371">
        <v>31</v>
      </c>
      <c r="L1371">
        <v>2024</v>
      </c>
      <c r="M1371">
        <v>1</v>
      </c>
      <c r="N1371">
        <v>1238</v>
      </c>
      <c r="O1371">
        <v>0</v>
      </c>
      <c r="P1371">
        <v>5</v>
      </c>
      <c r="Q1371">
        <v>0</v>
      </c>
      <c r="R1371">
        <v>8</v>
      </c>
      <c r="S1371">
        <v>7</v>
      </c>
      <c r="T1371">
        <v>21</v>
      </c>
      <c r="U1371">
        <v>7</v>
      </c>
      <c r="V1371">
        <v>0</v>
      </c>
      <c r="W1371">
        <v>34</v>
      </c>
      <c r="X1371">
        <v>0</v>
      </c>
      <c r="Y1371">
        <v>1</v>
      </c>
      <c r="Z1371">
        <v>0</v>
      </c>
      <c r="AA1371">
        <v>1</v>
      </c>
      <c r="AB1371">
        <v>7</v>
      </c>
      <c r="AC1371">
        <v>0</v>
      </c>
      <c r="AD1371">
        <v>1</v>
      </c>
      <c r="AE1371">
        <v>14</v>
      </c>
      <c r="AF1371">
        <v>11</v>
      </c>
      <c r="AG1371">
        <v>50</v>
      </c>
      <c r="AH1371">
        <v>33</v>
      </c>
      <c r="AI1371">
        <v>0</v>
      </c>
      <c r="AJ1371">
        <v>34</v>
      </c>
      <c r="AK1371">
        <v>0</v>
      </c>
      <c r="AL1371">
        <v>1</v>
      </c>
      <c r="AM1371">
        <v>69</v>
      </c>
      <c r="AN1371">
        <v>22</v>
      </c>
      <c r="AO1371">
        <v>14</v>
      </c>
      <c r="AQ1371" t="str">
        <f t="shared" si="21"/>
        <v>Midfielder</v>
      </c>
    </row>
    <row r="1372" spans="1:43" x14ac:dyDescent="0.35">
      <c r="A1372" t="s">
        <v>808</v>
      </c>
      <c r="B1372" t="s">
        <v>43</v>
      </c>
      <c r="C1372" t="s">
        <v>2238</v>
      </c>
      <c r="D1372">
        <v>1992</v>
      </c>
      <c r="E1372">
        <v>25</v>
      </c>
      <c r="F1372" t="s">
        <v>58</v>
      </c>
      <c r="G1372" t="s">
        <v>51</v>
      </c>
      <c r="H1372">
        <v>7000000</v>
      </c>
      <c r="I1372">
        <v>10000000</v>
      </c>
      <c r="J1372" t="s">
        <v>55</v>
      </c>
      <c r="K1372">
        <v>33</v>
      </c>
      <c r="L1372">
        <v>2453</v>
      </c>
      <c r="M1372">
        <v>2</v>
      </c>
      <c r="N1372">
        <v>685</v>
      </c>
      <c r="O1372">
        <v>0</v>
      </c>
      <c r="P1372">
        <v>0</v>
      </c>
      <c r="Q1372">
        <v>0</v>
      </c>
      <c r="R1372">
        <v>6</v>
      </c>
      <c r="S1372">
        <v>10</v>
      </c>
      <c r="T1372">
        <v>70</v>
      </c>
      <c r="U1372">
        <v>20</v>
      </c>
      <c r="V1372">
        <v>2</v>
      </c>
      <c r="W1372">
        <v>1</v>
      </c>
      <c r="X1372">
        <v>0</v>
      </c>
      <c r="Y1372">
        <v>0</v>
      </c>
      <c r="Z1372">
        <v>0</v>
      </c>
      <c r="AA1372">
        <v>10</v>
      </c>
      <c r="AB1372">
        <v>2</v>
      </c>
      <c r="AC1372">
        <v>50</v>
      </c>
      <c r="AD1372">
        <v>36</v>
      </c>
      <c r="AE1372">
        <v>59</v>
      </c>
      <c r="AF1372">
        <v>0</v>
      </c>
      <c r="AG1372">
        <v>12</v>
      </c>
      <c r="AH1372">
        <v>22</v>
      </c>
      <c r="AI1372">
        <v>0</v>
      </c>
      <c r="AJ1372">
        <v>35</v>
      </c>
      <c r="AK1372">
        <v>0</v>
      </c>
      <c r="AL1372">
        <v>0</v>
      </c>
      <c r="AM1372">
        <v>11</v>
      </c>
      <c r="AN1372">
        <v>17</v>
      </c>
      <c r="AO1372">
        <v>44</v>
      </c>
      <c r="AQ1372" t="str">
        <f t="shared" si="21"/>
        <v>Midfielder</v>
      </c>
    </row>
    <row r="1373" spans="1:43" x14ac:dyDescent="0.35">
      <c r="A1373" t="s">
        <v>809</v>
      </c>
      <c r="B1373" t="s">
        <v>43</v>
      </c>
      <c r="C1373" t="s">
        <v>2239</v>
      </c>
      <c r="D1373">
        <v>1987</v>
      </c>
      <c r="E1373">
        <v>30</v>
      </c>
      <c r="F1373" t="s">
        <v>134</v>
      </c>
      <c r="G1373" t="s">
        <v>198</v>
      </c>
      <c r="H1373">
        <v>2250000</v>
      </c>
      <c r="I1373">
        <v>2250000</v>
      </c>
      <c r="J1373" t="s">
        <v>42</v>
      </c>
      <c r="K1373">
        <v>16</v>
      </c>
      <c r="L1373">
        <v>848</v>
      </c>
      <c r="M1373">
        <v>2</v>
      </c>
      <c r="N1373">
        <v>234</v>
      </c>
      <c r="O1373">
        <v>2</v>
      </c>
      <c r="P1373">
        <v>0</v>
      </c>
      <c r="Q1373">
        <v>0</v>
      </c>
      <c r="R1373">
        <v>7</v>
      </c>
      <c r="S1373">
        <v>6</v>
      </c>
      <c r="T1373">
        <v>17</v>
      </c>
      <c r="U1373">
        <v>7</v>
      </c>
      <c r="V1373">
        <v>1</v>
      </c>
      <c r="W1373">
        <v>8</v>
      </c>
      <c r="X1373">
        <v>1</v>
      </c>
      <c r="Y1373">
        <v>0</v>
      </c>
      <c r="Z1373">
        <v>0</v>
      </c>
      <c r="AA1373">
        <v>7</v>
      </c>
      <c r="AB1373">
        <v>0</v>
      </c>
      <c r="AC1373">
        <v>10</v>
      </c>
      <c r="AD1373">
        <v>0</v>
      </c>
      <c r="AE1373">
        <v>1</v>
      </c>
      <c r="AF1373">
        <v>1</v>
      </c>
      <c r="AG1373">
        <v>2</v>
      </c>
      <c r="AH1373">
        <v>10</v>
      </c>
      <c r="AI1373">
        <v>0</v>
      </c>
      <c r="AJ1373">
        <v>7</v>
      </c>
      <c r="AK1373">
        <v>0</v>
      </c>
      <c r="AL1373">
        <v>0</v>
      </c>
      <c r="AM1373">
        <v>12</v>
      </c>
      <c r="AN1373">
        <v>67</v>
      </c>
      <c r="AO1373">
        <v>88</v>
      </c>
      <c r="AQ1373" t="str">
        <f t="shared" si="21"/>
        <v>Forward</v>
      </c>
    </row>
    <row r="1374" spans="1:43" x14ac:dyDescent="0.35">
      <c r="A1374" t="s">
        <v>810</v>
      </c>
      <c r="B1374" t="s">
        <v>39</v>
      </c>
      <c r="C1374" t="s">
        <v>2240</v>
      </c>
      <c r="D1374">
        <v>1987</v>
      </c>
      <c r="E1374">
        <v>27</v>
      </c>
      <c r="F1374" t="s">
        <v>84</v>
      </c>
      <c r="G1374" t="s">
        <v>51</v>
      </c>
      <c r="H1374">
        <v>900000</v>
      </c>
      <c r="I1374">
        <v>2700000</v>
      </c>
      <c r="J1374" t="s">
        <v>52</v>
      </c>
      <c r="K1374">
        <v>12</v>
      </c>
      <c r="L1374">
        <v>1012</v>
      </c>
      <c r="M1374">
        <v>1</v>
      </c>
      <c r="N1374">
        <v>457</v>
      </c>
      <c r="O1374">
        <v>0</v>
      </c>
      <c r="P1374">
        <v>1</v>
      </c>
      <c r="Q1374">
        <v>0</v>
      </c>
      <c r="R1374">
        <v>1</v>
      </c>
      <c r="S1374">
        <v>0</v>
      </c>
      <c r="T1374">
        <v>4</v>
      </c>
      <c r="U1374">
        <v>0</v>
      </c>
      <c r="V1374">
        <v>0</v>
      </c>
      <c r="W1374">
        <v>30</v>
      </c>
      <c r="X1374">
        <v>1</v>
      </c>
      <c r="Y1374">
        <v>0</v>
      </c>
      <c r="Z1374">
        <v>0</v>
      </c>
      <c r="AA1374">
        <v>1</v>
      </c>
      <c r="AB1374">
        <v>0</v>
      </c>
      <c r="AC1374">
        <v>0</v>
      </c>
      <c r="AD1374">
        <v>0</v>
      </c>
      <c r="AE1374">
        <v>0</v>
      </c>
      <c r="AF1374">
        <v>1</v>
      </c>
      <c r="AG1374">
        <v>32</v>
      </c>
      <c r="AH1374">
        <v>10</v>
      </c>
      <c r="AI1374">
        <v>0</v>
      </c>
      <c r="AJ1374">
        <v>11</v>
      </c>
      <c r="AK1374">
        <v>0</v>
      </c>
      <c r="AL1374">
        <v>0</v>
      </c>
      <c r="AM1374">
        <v>52</v>
      </c>
      <c r="AN1374">
        <v>36</v>
      </c>
      <c r="AO1374">
        <v>18</v>
      </c>
      <c r="AQ1374" t="str">
        <f t="shared" si="21"/>
        <v>Defensive Forward</v>
      </c>
    </row>
    <row r="1375" spans="1:43" x14ac:dyDescent="0.35">
      <c r="A1375" t="s">
        <v>811</v>
      </c>
      <c r="B1375" t="s">
        <v>43</v>
      </c>
      <c r="C1375" t="s">
        <v>2241</v>
      </c>
      <c r="D1375">
        <v>1992</v>
      </c>
      <c r="E1375">
        <v>25</v>
      </c>
      <c r="F1375" t="s">
        <v>58</v>
      </c>
      <c r="G1375" t="s">
        <v>51</v>
      </c>
      <c r="H1375">
        <v>1800000</v>
      </c>
      <c r="I1375">
        <v>2700000</v>
      </c>
      <c r="J1375" t="s">
        <v>52</v>
      </c>
      <c r="K1375">
        <v>24</v>
      </c>
      <c r="L1375">
        <v>1908</v>
      </c>
      <c r="M1375">
        <v>0</v>
      </c>
      <c r="N1375">
        <v>792</v>
      </c>
      <c r="O1375">
        <v>1</v>
      </c>
      <c r="P1375">
        <v>7</v>
      </c>
      <c r="Q1375">
        <v>0</v>
      </c>
      <c r="R1375">
        <v>3</v>
      </c>
      <c r="S1375">
        <v>6</v>
      </c>
      <c r="T1375">
        <v>2</v>
      </c>
      <c r="U1375">
        <v>2</v>
      </c>
      <c r="V1375">
        <v>0</v>
      </c>
      <c r="W1375">
        <v>34</v>
      </c>
      <c r="X1375">
        <v>0</v>
      </c>
      <c r="Y1375">
        <v>0</v>
      </c>
      <c r="Z1375">
        <v>0</v>
      </c>
      <c r="AA1375">
        <v>3</v>
      </c>
      <c r="AB1375">
        <v>1</v>
      </c>
      <c r="AC1375">
        <v>0</v>
      </c>
      <c r="AD1375">
        <v>0</v>
      </c>
      <c r="AE1375">
        <v>64</v>
      </c>
      <c r="AF1375">
        <v>6</v>
      </c>
      <c r="AG1375">
        <v>26</v>
      </c>
      <c r="AH1375">
        <v>20</v>
      </c>
      <c r="AI1375">
        <v>1</v>
      </c>
      <c r="AJ1375">
        <v>38</v>
      </c>
      <c r="AK1375">
        <v>1</v>
      </c>
      <c r="AL1375">
        <v>0</v>
      </c>
      <c r="AM1375">
        <v>72</v>
      </c>
      <c r="AN1375">
        <v>18</v>
      </c>
      <c r="AO1375">
        <v>15</v>
      </c>
      <c r="AQ1375" t="str">
        <f t="shared" si="21"/>
        <v>Defensive Forward</v>
      </c>
    </row>
    <row r="1376" spans="1:43" x14ac:dyDescent="0.35">
      <c r="A1376" t="s">
        <v>811</v>
      </c>
      <c r="B1376" t="s">
        <v>46</v>
      </c>
      <c r="C1376" t="s">
        <v>2242</v>
      </c>
      <c r="D1376">
        <v>1992</v>
      </c>
      <c r="E1376">
        <v>26</v>
      </c>
      <c r="F1376" t="s">
        <v>58</v>
      </c>
      <c r="G1376" t="s">
        <v>51</v>
      </c>
      <c r="H1376">
        <v>2700000</v>
      </c>
      <c r="I1376">
        <v>2700000</v>
      </c>
      <c r="J1376" t="s">
        <v>52</v>
      </c>
      <c r="K1376">
        <v>15</v>
      </c>
      <c r="L1376">
        <v>1142</v>
      </c>
      <c r="M1376">
        <v>0</v>
      </c>
      <c r="N1376">
        <v>486</v>
      </c>
      <c r="O1376">
        <v>0</v>
      </c>
      <c r="P1376">
        <v>2</v>
      </c>
      <c r="Q1376">
        <v>1</v>
      </c>
      <c r="R1376">
        <v>2</v>
      </c>
      <c r="S1376">
        <v>1</v>
      </c>
      <c r="T1376">
        <v>3</v>
      </c>
      <c r="U1376">
        <v>0</v>
      </c>
      <c r="V1376">
        <v>0</v>
      </c>
      <c r="W1376">
        <v>5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3</v>
      </c>
      <c r="AD1376">
        <v>0</v>
      </c>
      <c r="AE1376">
        <v>24</v>
      </c>
      <c r="AF1376">
        <v>4</v>
      </c>
      <c r="AG1376">
        <v>18</v>
      </c>
      <c r="AH1376">
        <v>10</v>
      </c>
      <c r="AI1376">
        <v>0</v>
      </c>
      <c r="AJ1376">
        <v>26</v>
      </c>
      <c r="AK1376">
        <v>0</v>
      </c>
      <c r="AL1376">
        <v>0</v>
      </c>
      <c r="AM1376">
        <v>26</v>
      </c>
      <c r="AN1376">
        <v>14</v>
      </c>
      <c r="AO1376">
        <v>14</v>
      </c>
      <c r="AQ1376" t="str">
        <f t="shared" si="21"/>
        <v>Defensive Forward</v>
      </c>
    </row>
    <row r="1377" spans="1:43" x14ac:dyDescent="0.35">
      <c r="A1377" t="s">
        <v>812</v>
      </c>
      <c r="B1377" t="s">
        <v>46</v>
      </c>
      <c r="C1377" t="s">
        <v>2243</v>
      </c>
      <c r="D1377">
        <v>1998</v>
      </c>
      <c r="E1377">
        <v>20</v>
      </c>
      <c r="F1377" t="s">
        <v>80</v>
      </c>
      <c r="G1377" t="s">
        <v>51</v>
      </c>
      <c r="H1377">
        <v>22500000</v>
      </c>
      <c r="I1377">
        <v>72000000</v>
      </c>
      <c r="J1377" t="s">
        <v>52</v>
      </c>
      <c r="K1377">
        <v>29</v>
      </c>
      <c r="L1377">
        <v>2466</v>
      </c>
      <c r="M1377">
        <v>1</v>
      </c>
      <c r="N1377">
        <v>1697</v>
      </c>
      <c r="O1377">
        <v>12</v>
      </c>
      <c r="P1377">
        <v>3</v>
      </c>
      <c r="Q1377">
        <v>0</v>
      </c>
      <c r="R1377">
        <v>2</v>
      </c>
      <c r="S1377">
        <v>7</v>
      </c>
      <c r="T1377">
        <v>29</v>
      </c>
      <c r="U1377">
        <v>9</v>
      </c>
      <c r="V1377">
        <v>3</v>
      </c>
      <c r="W1377">
        <v>22</v>
      </c>
      <c r="X1377">
        <v>0</v>
      </c>
      <c r="Y1377">
        <v>0</v>
      </c>
      <c r="Z1377">
        <v>1</v>
      </c>
      <c r="AA1377">
        <v>4</v>
      </c>
      <c r="AB1377">
        <v>3</v>
      </c>
      <c r="AC1377">
        <v>20</v>
      </c>
      <c r="AD1377">
        <v>74</v>
      </c>
      <c r="AE1377">
        <v>201</v>
      </c>
      <c r="AF1377">
        <v>3</v>
      </c>
      <c r="AG1377">
        <v>35</v>
      </c>
      <c r="AH1377">
        <v>14</v>
      </c>
      <c r="AI1377">
        <v>0</v>
      </c>
      <c r="AJ1377">
        <v>61</v>
      </c>
      <c r="AK1377">
        <v>0</v>
      </c>
      <c r="AL1377">
        <v>0</v>
      </c>
      <c r="AM1377">
        <v>62</v>
      </c>
      <c r="AN1377">
        <v>9</v>
      </c>
      <c r="AO1377">
        <v>23</v>
      </c>
      <c r="AQ1377" t="str">
        <f t="shared" si="21"/>
        <v>Defensive Forward</v>
      </c>
    </row>
    <row r="1378" spans="1:43" x14ac:dyDescent="0.35">
      <c r="A1378" t="s">
        <v>812</v>
      </c>
      <c r="B1378" t="s">
        <v>43</v>
      </c>
      <c r="C1378" t="s">
        <v>2244</v>
      </c>
      <c r="D1378">
        <v>1998</v>
      </c>
      <c r="E1378">
        <v>19</v>
      </c>
      <c r="F1378" t="s">
        <v>80</v>
      </c>
      <c r="G1378" t="s">
        <v>51</v>
      </c>
      <c r="H1378">
        <v>1350000</v>
      </c>
      <c r="I1378">
        <v>22500000</v>
      </c>
      <c r="J1378" t="s">
        <v>52</v>
      </c>
      <c r="K1378">
        <v>19</v>
      </c>
      <c r="L1378">
        <v>1575</v>
      </c>
      <c r="M1378">
        <v>1</v>
      </c>
      <c r="N1378">
        <v>1007</v>
      </c>
      <c r="O1378">
        <v>1</v>
      </c>
      <c r="P1378">
        <v>3</v>
      </c>
      <c r="Q1378">
        <v>0</v>
      </c>
      <c r="R1378">
        <v>1</v>
      </c>
      <c r="S1378">
        <v>4</v>
      </c>
      <c r="T1378">
        <v>12</v>
      </c>
      <c r="U1378">
        <v>5</v>
      </c>
      <c r="V1378">
        <v>0</v>
      </c>
      <c r="W1378">
        <v>11</v>
      </c>
      <c r="X1378">
        <v>0</v>
      </c>
      <c r="Y1378">
        <v>0</v>
      </c>
      <c r="Z1378">
        <v>0</v>
      </c>
      <c r="AA1378">
        <v>3</v>
      </c>
      <c r="AB1378">
        <v>3</v>
      </c>
      <c r="AC1378">
        <v>7</v>
      </c>
      <c r="AD1378">
        <v>11</v>
      </c>
      <c r="AE1378">
        <v>102</v>
      </c>
      <c r="AF1378">
        <v>5</v>
      </c>
      <c r="AG1378">
        <v>28</v>
      </c>
      <c r="AH1378">
        <v>12</v>
      </c>
      <c r="AI1378">
        <v>0</v>
      </c>
      <c r="AJ1378">
        <v>37</v>
      </c>
      <c r="AK1378">
        <v>0</v>
      </c>
      <c r="AL1378">
        <v>0</v>
      </c>
      <c r="AM1378">
        <v>39</v>
      </c>
      <c r="AN1378">
        <v>5</v>
      </c>
      <c r="AO1378">
        <v>17</v>
      </c>
      <c r="AQ1378" t="str">
        <f t="shared" si="21"/>
        <v>Defensive Forward</v>
      </c>
    </row>
    <row r="1379" spans="1:43" x14ac:dyDescent="0.35">
      <c r="A1379" t="s">
        <v>813</v>
      </c>
      <c r="B1379" t="s">
        <v>39</v>
      </c>
      <c r="C1379" t="s">
        <v>2245</v>
      </c>
      <c r="D1379">
        <v>1988</v>
      </c>
      <c r="E1379">
        <v>27</v>
      </c>
      <c r="F1379" t="s">
        <v>66</v>
      </c>
      <c r="G1379" t="s">
        <v>51</v>
      </c>
      <c r="H1379">
        <v>8000000</v>
      </c>
      <c r="I1379">
        <v>9900000</v>
      </c>
      <c r="J1379" t="s">
        <v>42</v>
      </c>
      <c r="K1379">
        <v>38</v>
      </c>
      <c r="L1379">
        <v>3291</v>
      </c>
      <c r="M1379">
        <v>13</v>
      </c>
      <c r="N1379">
        <v>1289</v>
      </c>
      <c r="O1379">
        <v>7</v>
      </c>
      <c r="P1379">
        <v>6</v>
      </c>
      <c r="Q1379">
        <v>0</v>
      </c>
      <c r="R1379">
        <v>2</v>
      </c>
      <c r="S1379">
        <v>3</v>
      </c>
      <c r="T1379">
        <v>94</v>
      </c>
      <c r="U1379">
        <v>32</v>
      </c>
      <c r="V1379">
        <v>1</v>
      </c>
      <c r="W1379">
        <v>36</v>
      </c>
      <c r="X1379">
        <v>3</v>
      </c>
      <c r="Y1379">
        <v>6</v>
      </c>
      <c r="Z1379">
        <v>0</v>
      </c>
      <c r="AA1379">
        <v>18</v>
      </c>
      <c r="AB1379">
        <v>9</v>
      </c>
      <c r="AC1379">
        <v>3</v>
      </c>
      <c r="AD1379">
        <v>2</v>
      </c>
      <c r="AE1379">
        <v>27</v>
      </c>
      <c r="AF1379">
        <v>4</v>
      </c>
      <c r="AG1379">
        <v>17</v>
      </c>
      <c r="AH1379">
        <v>50</v>
      </c>
      <c r="AI1379">
        <v>0</v>
      </c>
      <c r="AJ1379">
        <v>49</v>
      </c>
      <c r="AK1379">
        <v>0</v>
      </c>
      <c r="AL1379">
        <v>1</v>
      </c>
      <c r="AM1379">
        <v>48</v>
      </c>
      <c r="AN1379">
        <v>235</v>
      </c>
      <c r="AO1379">
        <v>212</v>
      </c>
      <c r="AQ1379" t="str">
        <f t="shared" si="21"/>
        <v>Forward</v>
      </c>
    </row>
    <row r="1380" spans="1:43" x14ac:dyDescent="0.35">
      <c r="A1380" t="s">
        <v>813</v>
      </c>
      <c r="B1380" t="s">
        <v>47</v>
      </c>
      <c r="C1380" t="s">
        <v>2246</v>
      </c>
      <c r="D1380">
        <v>1988</v>
      </c>
      <c r="E1380">
        <v>28</v>
      </c>
      <c r="F1380" t="s">
        <v>66</v>
      </c>
      <c r="G1380" t="s">
        <v>51</v>
      </c>
      <c r="H1380">
        <v>9900000</v>
      </c>
      <c r="I1380">
        <v>9900000</v>
      </c>
      <c r="J1380" t="s">
        <v>42</v>
      </c>
      <c r="K1380">
        <v>37</v>
      </c>
      <c r="L1380">
        <v>2941</v>
      </c>
      <c r="M1380">
        <v>10</v>
      </c>
      <c r="N1380">
        <v>841</v>
      </c>
      <c r="O1380">
        <v>4</v>
      </c>
      <c r="P1380">
        <v>7</v>
      </c>
      <c r="Q1380">
        <v>0</v>
      </c>
      <c r="R1380">
        <v>6</v>
      </c>
      <c r="S1380">
        <v>3</v>
      </c>
      <c r="T1380">
        <v>42</v>
      </c>
      <c r="U1380">
        <v>18</v>
      </c>
      <c r="V1380">
        <v>0</v>
      </c>
      <c r="W1380">
        <v>37</v>
      </c>
      <c r="X1380">
        <v>2</v>
      </c>
      <c r="Y1380">
        <v>3</v>
      </c>
      <c r="Z1380">
        <v>0</v>
      </c>
      <c r="AA1380">
        <v>19</v>
      </c>
      <c r="AB1380">
        <v>5</v>
      </c>
      <c r="AC1380">
        <v>7</v>
      </c>
      <c r="AD1380">
        <v>2</v>
      </c>
      <c r="AE1380">
        <v>16</v>
      </c>
      <c r="AF1380">
        <v>4</v>
      </c>
      <c r="AG1380">
        <v>14</v>
      </c>
      <c r="AH1380">
        <v>43</v>
      </c>
      <c r="AI1380">
        <v>0</v>
      </c>
      <c r="AJ1380">
        <v>20</v>
      </c>
      <c r="AK1380">
        <v>0</v>
      </c>
      <c r="AL1380">
        <v>1</v>
      </c>
      <c r="AM1380">
        <v>50</v>
      </c>
      <c r="AN1380">
        <v>192</v>
      </c>
      <c r="AO1380">
        <v>268</v>
      </c>
      <c r="AQ1380" t="str">
        <f t="shared" si="21"/>
        <v>Forward</v>
      </c>
    </row>
    <row r="1381" spans="1:43" x14ac:dyDescent="0.35">
      <c r="A1381" t="s">
        <v>813</v>
      </c>
      <c r="B1381" t="s">
        <v>43</v>
      </c>
      <c r="C1381" t="s">
        <v>2247</v>
      </c>
      <c r="D1381">
        <v>1988</v>
      </c>
      <c r="E1381">
        <v>29</v>
      </c>
      <c r="F1381" t="s">
        <v>66</v>
      </c>
      <c r="G1381" t="s">
        <v>51</v>
      </c>
      <c r="H1381">
        <v>9900000</v>
      </c>
      <c r="I1381">
        <v>9000000</v>
      </c>
      <c r="J1381" t="s">
        <v>42</v>
      </c>
      <c r="K1381">
        <v>29</v>
      </c>
      <c r="L1381">
        <v>1841</v>
      </c>
      <c r="M1381">
        <v>5</v>
      </c>
      <c r="N1381">
        <v>542</v>
      </c>
      <c r="O1381">
        <v>2</v>
      </c>
      <c r="P1381">
        <v>1</v>
      </c>
      <c r="Q1381">
        <v>1</v>
      </c>
      <c r="R1381">
        <v>9</v>
      </c>
      <c r="S1381">
        <v>6</v>
      </c>
      <c r="T1381">
        <v>36</v>
      </c>
      <c r="U1381">
        <v>15</v>
      </c>
      <c r="V1381">
        <v>0</v>
      </c>
      <c r="W1381">
        <v>14</v>
      </c>
      <c r="X1381">
        <v>0</v>
      </c>
      <c r="Y1381">
        <v>3</v>
      </c>
      <c r="Z1381">
        <v>0</v>
      </c>
      <c r="AA1381">
        <v>16</v>
      </c>
      <c r="AB1381">
        <v>1</v>
      </c>
      <c r="AC1381">
        <v>21</v>
      </c>
      <c r="AD1381">
        <v>0</v>
      </c>
      <c r="AE1381">
        <v>7</v>
      </c>
      <c r="AF1381">
        <v>1</v>
      </c>
      <c r="AG1381">
        <v>5</v>
      </c>
      <c r="AH1381">
        <v>24</v>
      </c>
      <c r="AI1381">
        <v>0</v>
      </c>
      <c r="AJ1381">
        <v>15</v>
      </c>
      <c r="AK1381">
        <v>0</v>
      </c>
      <c r="AL1381">
        <v>0</v>
      </c>
      <c r="AM1381">
        <v>20</v>
      </c>
      <c r="AN1381">
        <v>135</v>
      </c>
      <c r="AO1381">
        <v>186</v>
      </c>
      <c r="AQ1381" t="str">
        <f t="shared" si="21"/>
        <v>Forward</v>
      </c>
    </row>
    <row r="1382" spans="1:43" x14ac:dyDescent="0.35">
      <c r="A1382" t="s">
        <v>813</v>
      </c>
      <c r="B1382" t="s">
        <v>46</v>
      </c>
      <c r="C1382" t="s">
        <v>2248</v>
      </c>
      <c r="D1382">
        <v>1988</v>
      </c>
      <c r="E1382">
        <v>30</v>
      </c>
      <c r="F1382" t="s">
        <v>66</v>
      </c>
      <c r="G1382" t="s">
        <v>51</v>
      </c>
      <c r="H1382">
        <v>9000000</v>
      </c>
      <c r="I1382">
        <v>9000000</v>
      </c>
      <c r="J1382" t="s">
        <v>42</v>
      </c>
      <c r="K1382">
        <v>32</v>
      </c>
      <c r="L1382">
        <v>2547</v>
      </c>
      <c r="M1382">
        <v>9</v>
      </c>
      <c r="N1382">
        <v>827</v>
      </c>
      <c r="O1382">
        <v>5</v>
      </c>
      <c r="P1382">
        <v>4</v>
      </c>
      <c r="Q1382">
        <v>1</v>
      </c>
      <c r="R1382">
        <v>4</v>
      </c>
      <c r="S1382">
        <v>6</v>
      </c>
      <c r="T1382">
        <v>64</v>
      </c>
      <c r="U1382">
        <v>30</v>
      </c>
      <c r="V1382">
        <v>1</v>
      </c>
      <c r="W1382">
        <v>23</v>
      </c>
      <c r="X1382">
        <v>3</v>
      </c>
      <c r="Y1382">
        <v>0</v>
      </c>
      <c r="Z1382">
        <v>0</v>
      </c>
      <c r="AA1382">
        <v>13</v>
      </c>
      <c r="AB1382">
        <v>6</v>
      </c>
      <c r="AC1382">
        <v>34</v>
      </c>
      <c r="AD1382">
        <v>1</v>
      </c>
      <c r="AE1382">
        <v>16</v>
      </c>
      <c r="AF1382">
        <v>4</v>
      </c>
      <c r="AG1382">
        <v>7</v>
      </c>
      <c r="AH1382">
        <v>42</v>
      </c>
      <c r="AI1382">
        <v>0</v>
      </c>
      <c r="AJ1382">
        <v>24</v>
      </c>
      <c r="AK1382">
        <v>0</v>
      </c>
      <c r="AL1382">
        <v>0</v>
      </c>
      <c r="AM1382">
        <v>28</v>
      </c>
      <c r="AN1382">
        <v>209</v>
      </c>
      <c r="AO1382">
        <v>228</v>
      </c>
      <c r="AQ1382" t="str">
        <f t="shared" si="21"/>
        <v>Forward</v>
      </c>
    </row>
    <row r="1383" spans="1:43" x14ac:dyDescent="0.35">
      <c r="A1383" t="s">
        <v>814</v>
      </c>
      <c r="B1383" t="s">
        <v>46</v>
      </c>
      <c r="C1383" t="s">
        <v>2249</v>
      </c>
      <c r="D1383">
        <v>1994</v>
      </c>
      <c r="E1383">
        <v>24</v>
      </c>
      <c r="F1383" t="s">
        <v>169</v>
      </c>
      <c r="G1383" t="s">
        <v>45</v>
      </c>
      <c r="H1383">
        <v>5400000</v>
      </c>
      <c r="I1383">
        <v>9000000</v>
      </c>
      <c r="J1383" t="s">
        <v>55</v>
      </c>
      <c r="K1383">
        <v>32</v>
      </c>
      <c r="L1383">
        <v>2578</v>
      </c>
      <c r="M1383">
        <v>5</v>
      </c>
      <c r="N1383">
        <v>885</v>
      </c>
      <c r="O1383">
        <v>4</v>
      </c>
      <c r="P1383">
        <v>0</v>
      </c>
      <c r="Q1383">
        <v>0</v>
      </c>
      <c r="R1383">
        <v>1</v>
      </c>
      <c r="S1383">
        <v>11</v>
      </c>
      <c r="T1383">
        <v>41</v>
      </c>
      <c r="U1383">
        <v>12</v>
      </c>
      <c r="V1383">
        <v>2</v>
      </c>
      <c r="W1383">
        <v>11</v>
      </c>
      <c r="X1383">
        <v>0</v>
      </c>
      <c r="Y1383">
        <v>1</v>
      </c>
      <c r="Z1383">
        <v>0</v>
      </c>
      <c r="AA1383">
        <v>1</v>
      </c>
      <c r="AB1383">
        <v>13</v>
      </c>
      <c r="AC1383">
        <v>29</v>
      </c>
      <c r="AD1383">
        <v>77</v>
      </c>
      <c r="AE1383">
        <v>121</v>
      </c>
      <c r="AF1383">
        <v>2</v>
      </c>
      <c r="AG1383">
        <v>33</v>
      </c>
      <c r="AH1383">
        <v>23</v>
      </c>
      <c r="AI1383">
        <v>0</v>
      </c>
      <c r="AJ1383">
        <v>28</v>
      </c>
      <c r="AK1383">
        <v>0</v>
      </c>
      <c r="AL1383">
        <v>0</v>
      </c>
      <c r="AM1383">
        <v>25</v>
      </c>
      <c r="AN1383">
        <v>20</v>
      </c>
      <c r="AO1383">
        <v>31</v>
      </c>
      <c r="AQ1383" t="str">
        <f t="shared" si="21"/>
        <v>Midfielder</v>
      </c>
    </row>
    <row r="1384" spans="1:43" x14ac:dyDescent="0.35">
      <c r="A1384" t="s">
        <v>815</v>
      </c>
      <c r="B1384" t="s">
        <v>39</v>
      </c>
      <c r="C1384" t="s">
        <v>2250</v>
      </c>
      <c r="D1384">
        <v>1989</v>
      </c>
      <c r="E1384">
        <v>26</v>
      </c>
      <c r="F1384" t="s">
        <v>123</v>
      </c>
      <c r="G1384" t="s">
        <v>95</v>
      </c>
      <c r="H1384">
        <v>4950000</v>
      </c>
      <c r="I1384">
        <v>5250000</v>
      </c>
      <c r="J1384" t="s">
        <v>55</v>
      </c>
      <c r="K1384">
        <v>10</v>
      </c>
      <c r="L1384">
        <v>275</v>
      </c>
      <c r="M1384">
        <v>0</v>
      </c>
      <c r="N1384">
        <v>135</v>
      </c>
      <c r="O1384">
        <v>2</v>
      </c>
      <c r="P1384">
        <v>2</v>
      </c>
      <c r="Q1384">
        <v>0</v>
      </c>
      <c r="R1384">
        <v>7</v>
      </c>
      <c r="S1384">
        <v>3</v>
      </c>
      <c r="T1384">
        <v>3</v>
      </c>
      <c r="U1384">
        <v>1</v>
      </c>
      <c r="V1384">
        <v>0</v>
      </c>
      <c r="W1384">
        <v>3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12</v>
      </c>
      <c r="AF1384">
        <v>0</v>
      </c>
      <c r="AG1384">
        <v>3</v>
      </c>
      <c r="AH1384">
        <v>5</v>
      </c>
      <c r="AI1384">
        <v>0</v>
      </c>
      <c r="AJ1384">
        <v>9</v>
      </c>
      <c r="AK1384">
        <v>0</v>
      </c>
      <c r="AL1384">
        <v>0</v>
      </c>
      <c r="AM1384">
        <v>5</v>
      </c>
      <c r="AN1384">
        <v>4</v>
      </c>
      <c r="AO1384">
        <v>6</v>
      </c>
      <c r="AQ1384" t="str">
        <f t="shared" si="21"/>
        <v>Midfielder</v>
      </c>
    </row>
    <row r="1385" spans="1:43" x14ac:dyDescent="0.35">
      <c r="A1385" t="s">
        <v>816</v>
      </c>
      <c r="B1385" t="s">
        <v>39</v>
      </c>
      <c r="C1385" t="s">
        <v>2251</v>
      </c>
      <c r="D1385">
        <v>1985</v>
      </c>
      <c r="E1385">
        <v>30</v>
      </c>
      <c r="F1385" t="s">
        <v>66</v>
      </c>
      <c r="G1385" t="s">
        <v>138</v>
      </c>
      <c r="H1385">
        <v>3850000</v>
      </c>
      <c r="I1385">
        <v>2750000</v>
      </c>
      <c r="J1385" t="s">
        <v>55</v>
      </c>
      <c r="K1385">
        <v>21</v>
      </c>
      <c r="L1385">
        <v>1280</v>
      </c>
      <c r="M1385">
        <v>0</v>
      </c>
      <c r="N1385">
        <v>508</v>
      </c>
      <c r="O1385">
        <v>0</v>
      </c>
      <c r="P1385">
        <v>3</v>
      </c>
      <c r="Q1385">
        <v>1</v>
      </c>
      <c r="R1385">
        <v>7</v>
      </c>
      <c r="S1385">
        <v>6</v>
      </c>
      <c r="T1385">
        <v>1</v>
      </c>
      <c r="U1385">
        <v>0</v>
      </c>
      <c r="V1385">
        <v>0</v>
      </c>
      <c r="W1385">
        <v>5</v>
      </c>
      <c r="X1385">
        <v>0</v>
      </c>
      <c r="Y1385">
        <v>0</v>
      </c>
      <c r="Z1385">
        <v>0</v>
      </c>
      <c r="AA1385">
        <v>0</v>
      </c>
      <c r="AB1385">
        <v>1</v>
      </c>
      <c r="AC1385">
        <v>0</v>
      </c>
      <c r="AD1385">
        <v>0</v>
      </c>
      <c r="AE1385">
        <v>3</v>
      </c>
      <c r="AF1385">
        <v>5</v>
      </c>
      <c r="AG1385">
        <v>49</v>
      </c>
      <c r="AH1385">
        <v>33</v>
      </c>
      <c r="AI1385">
        <v>0</v>
      </c>
      <c r="AJ1385">
        <v>66</v>
      </c>
      <c r="AK1385">
        <v>1</v>
      </c>
      <c r="AL1385">
        <v>0</v>
      </c>
      <c r="AM1385">
        <v>10</v>
      </c>
      <c r="AN1385">
        <v>12</v>
      </c>
      <c r="AO1385">
        <v>25</v>
      </c>
      <c r="AQ1385" t="str">
        <f t="shared" si="21"/>
        <v>Midfielder</v>
      </c>
    </row>
    <row r="1386" spans="1:43" x14ac:dyDescent="0.35">
      <c r="A1386" t="s">
        <v>816</v>
      </c>
      <c r="B1386" t="s">
        <v>47</v>
      </c>
      <c r="C1386" t="s">
        <v>2252</v>
      </c>
      <c r="D1386">
        <v>1985</v>
      </c>
      <c r="E1386">
        <v>31</v>
      </c>
      <c r="F1386" t="s">
        <v>66</v>
      </c>
      <c r="G1386" t="s">
        <v>138</v>
      </c>
      <c r="H1386">
        <v>2750000</v>
      </c>
      <c r="I1386">
        <v>2750000</v>
      </c>
      <c r="J1386" t="s">
        <v>55</v>
      </c>
      <c r="K1386">
        <v>27</v>
      </c>
      <c r="L1386">
        <v>2036</v>
      </c>
      <c r="M1386">
        <v>0</v>
      </c>
      <c r="N1386">
        <v>732</v>
      </c>
      <c r="O1386">
        <v>0</v>
      </c>
      <c r="P1386">
        <v>7</v>
      </c>
      <c r="Q1386">
        <v>0</v>
      </c>
      <c r="R1386">
        <v>1</v>
      </c>
      <c r="S1386">
        <v>9</v>
      </c>
      <c r="T1386">
        <v>6</v>
      </c>
      <c r="U1386">
        <v>0</v>
      </c>
      <c r="V1386">
        <v>0</v>
      </c>
      <c r="W1386">
        <v>8</v>
      </c>
      <c r="X1386">
        <v>0</v>
      </c>
      <c r="Y1386">
        <v>0</v>
      </c>
      <c r="Z1386">
        <v>0</v>
      </c>
      <c r="AA1386">
        <v>0</v>
      </c>
      <c r="AB1386">
        <v>1</v>
      </c>
      <c r="AC1386">
        <v>0</v>
      </c>
      <c r="AD1386">
        <v>0</v>
      </c>
      <c r="AE1386">
        <v>3</v>
      </c>
      <c r="AF1386">
        <v>12</v>
      </c>
      <c r="AG1386">
        <v>33</v>
      </c>
      <c r="AH1386">
        <v>30</v>
      </c>
      <c r="AI1386">
        <v>0</v>
      </c>
      <c r="AJ1386">
        <v>73</v>
      </c>
      <c r="AK1386">
        <v>0</v>
      </c>
      <c r="AL1386">
        <v>0</v>
      </c>
      <c r="AM1386">
        <v>22</v>
      </c>
      <c r="AN1386">
        <v>20</v>
      </c>
      <c r="AO1386">
        <v>14</v>
      </c>
      <c r="AQ1386" t="str">
        <f t="shared" si="21"/>
        <v>Midfielder</v>
      </c>
    </row>
    <row r="1387" spans="1:43" x14ac:dyDescent="0.35">
      <c r="A1387" t="s">
        <v>817</v>
      </c>
      <c r="B1387" t="s">
        <v>43</v>
      </c>
      <c r="C1387" t="s">
        <v>2253</v>
      </c>
      <c r="D1387">
        <v>1988</v>
      </c>
      <c r="E1387">
        <v>29</v>
      </c>
      <c r="F1387" t="s">
        <v>99</v>
      </c>
      <c r="G1387" t="s">
        <v>45</v>
      </c>
      <c r="H1387">
        <v>8100000</v>
      </c>
      <c r="I1387">
        <v>9000000</v>
      </c>
      <c r="J1387" t="s">
        <v>55</v>
      </c>
      <c r="K1387">
        <v>19</v>
      </c>
      <c r="L1387">
        <v>1415</v>
      </c>
      <c r="M1387">
        <v>3</v>
      </c>
      <c r="N1387">
        <v>857</v>
      </c>
      <c r="O1387">
        <v>0</v>
      </c>
      <c r="P1387">
        <v>0</v>
      </c>
      <c r="Q1387">
        <v>0</v>
      </c>
      <c r="R1387">
        <v>2</v>
      </c>
      <c r="S1387">
        <v>7</v>
      </c>
      <c r="T1387">
        <v>14</v>
      </c>
      <c r="U1387">
        <v>4</v>
      </c>
      <c r="V1387">
        <v>0</v>
      </c>
      <c r="W1387">
        <v>30</v>
      </c>
      <c r="X1387">
        <v>2</v>
      </c>
      <c r="Y1387">
        <v>0</v>
      </c>
      <c r="Z1387">
        <v>0</v>
      </c>
      <c r="AA1387">
        <v>2</v>
      </c>
      <c r="AB1387">
        <v>2</v>
      </c>
      <c r="AC1387">
        <v>10</v>
      </c>
      <c r="AD1387">
        <v>0</v>
      </c>
      <c r="AE1387">
        <v>1</v>
      </c>
      <c r="AF1387">
        <v>11</v>
      </c>
      <c r="AG1387">
        <v>19</v>
      </c>
      <c r="AH1387">
        <v>19</v>
      </c>
      <c r="AI1387">
        <v>0</v>
      </c>
      <c r="AJ1387">
        <v>23</v>
      </c>
      <c r="AK1387">
        <v>0</v>
      </c>
      <c r="AL1387">
        <v>0</v>
      </c>
      <c r="AM1387">
        <v>49</v>
      </c>
      <c r="AN1387">
        <v>0</v>
      </c>
      <c r="AO1387">
        <v>34</v>
      </c>
      <c r="AQ1387" t="str">
        <f t="shared" si="21"/>
        <v>Midfielder</v>
      </c>
    </row>
    <row r="1388" spans="1:43" x14ac:dyDescent="0.35">
      <c r="A1388" t="s">
        <v>818</v>
      </c>
      <c r="B1388" t="s">
        <v>39</v>
      </c>
      <c r="C1388" t="s">
        <v>2254</v>
      </c>
      <c r="D1388">
        <v>1988</v>
      </c>
      <c r="E1388">
        <v>27</v>
      </c>
      <c r="F1388" t="s">
        <v>103</v>
      </c>
      <c r="G1388" t="s">
        <v>105</v>
      </c>
      <c r="H1388">
        <v>3850000</v>
      </c>
      <c r="I1388">
        <v>1800000</v>
      </c>
      <c r="J1388" t="s">
        <v>42</v>
      </c>
      <c r="K1388">
        <v>10</v>
      </c>
      <c r="L1388">
        <v>365</v>
      </c>
      <c r="M1388">
        <v>0</v>
      </c>
      <c r="N1388">
        <v>108</v>
      </c>
      <c r="O1388">
        <v>0</v>
      </c>
      <c r="P1388">
        <v>0</v>
      </c>
      <c r="Q1388">
        <v>0</v>
      </c>
      <c r="R1388">
        <v>7</v>
      </c>
      <c r="S1388">
        <v>2</v>
      </c>
      <c r="T1388">
        <v>13</v>
      </c>
      <c r="U1388">
        <v>4</v>
      </c>
      <c r="V1388">
        <v>2</v>
      </c>
      <c r="W1388">
        <v>7</v>
      </c>
      <c r="X1388">
        <v>0</v>
      </c>
      <c r="Y1388">
        <v>0</v>
      </c>
      <c r="Z1388">
        <v>0</v>
      </c>
      <c r="AA1388">
        <v>4</v>
      </c>
      <c r="AB1388">
        <v>1</v>
      </c>
      <c r="AC1388">
        <v>1</v>
      </c>
      <c r="AD1388">
        <v>0</v>
      </c>
      <c r="AE1388">
        <v>2</v>
      </c>
      <c r="AF1388">
        <v>0</v>
      </c>
      <c r="AG1388">
        <v>2</v>
      </c>
      <c r="AH1388">
        <v>2</v>
      </c>
      <c r="AI1388">
        <v>0</v>
      </c>
      <c r="AJ1388">
        <v>2</v>
      </c>
      <c r="AK1388">
        <v>0</v>
      </c>
      <c r="AL1388">
        <v>0</v>
      </c>
      <c r="AM1388">
        <v>8</v>
      </c>
      <c r="AN1388">
        <v>28</v>
      </c>
      <c r="AO1388">
        <v>19</v>
      </c>
      <c r="AQ1388" t="str">
        <f t="shared" si="21"/>
        <v>Forward</v>
      </c>
    </row>
    <row r="1389" spans="1:43" x14ac:dyDescent="0.35">
      <c r="A1389" t="s">
        <v>818</v>
      </c>
      <c r="B1389" t="s">
        <v>47</v>
      </c>
      <c r="C1389" t="s">
        <v>2255</v>
      </c>
      <c r="D1389">
        <v>1988</v>
      </c>
      <c r="E1389">
        <v>28</v>
      </c>
      <c r="F1389" t="s">
        <v>78</v>
      </c>
      <c r="G1389" t="s">
        <v>105</v>
      </c>
      <c r="H1389">
        <v>1800000</v>
      </c>
      <c r="I1389">
        <v>1350000</v>
      </c>
      <c r="J1389" t="s">
        <v>42</v>
      </c>
      <c r="K1389">
        <v>18</v>
      </c>
      <c r="L1389">
        <v>1216</v>
      </c>
      <c r="M1389">
        <v>3</v>
      </c>
      <c r="N1389">
        <v>366</v>
      </c>
      <c r="O1389">
        <v>0</v>
      </c>
      <c r="P1389">
        <v>2</v>
      </c>
      <c r="Q1389">
        <v>0</v>
      </c>
      <c r="R1389">
        <v>4</v>
      </c>
      <c r="S1389">
        <v>2</v>
      </c>
      <c r="T1389">
        <v>30</v>
      </c>
      <c r="U1389">
        <v>9</v>
      </c>
      <c r="V1389">
        <v>1</v>
      </c>
      <c r="W1389">
        <v>23</v>
      </c>
      <c r="X1389">
        <v>0</v>
      </c>
      <c r="Y1389">
        <v>0</v>
      </c>
      <c r="Z1389">
        <v>0</v>
      </c>
      <c r="AA1389">
        <v>6</v>
      </c>
      <c r="AB1389">
        <v>0</v>
      </c>
      <c r="AC1389">
        <v>1</v>
      </c>
      <c r="AD1389">
        <v>0</v>
      </c>
      <c r="AE1389">
        <v>37</v>
      </c>
      <c r="AF1389">
        <v>1</v>
      </c>
      <c r="AG1389">
        <v>8</v>
      </c>
      <c r="AH1389">
        <v>27</v>
      </c>
      <c r="AI1389">
        <v>0</v>
      </c>
      <c r="AJ1389">
        <v>9</v>
      </c>
      <c r="AK1389">
        <v>0</v>
      </c>
      <c r="AL1389">
        <v>0</v>
      </c>
      <c r="AM1389">
        <v>30</v>
      </c>
      <c r="AN1389">
        <v>79</v>
      </c>
      <c r="AO1389">
        <v>50</v>
      </c>
      <c r="AQ1389" t="str">
        <f t="shared" si="21"/>
        <v>Forward</v>
      </c>
    </row>
    <row r="1390" spans="1:43" x14ac:dyDescent="0.35">
      <c r="A1390" t="s">
        <v>819</v>
      </c>
      <c r="B1390" t="s">
        <v>46</v>
      </c>
      <c r="C1390" t="s">
        <v>2256</v>
      </c>
      <c r="D1390">
        <v>1994</v>
      </c>
      <c r="E1390">
        <v>24</v>
      </c>
      <c r="F1390" t="s">
        <v>129</v>
      </c>
      <c r="G1390" t="s">
        <v>484</v>
      </c>
      <c r="H1390">
        <v>27000000</v>
      </c>
      <c r="I1390">
        <v>38500000</v>
      </c>
      <c r="J1390" t="s">
        <v>52</v>
      </c>
      <c r="K1390">
        <v>30</v>
      </c>
      <c r="L1390">
        <v>2602</v>
      </c>
      <c r="M1390">
        <v>1</v>
      </c>
      <c r="N1390">
        <v>1490</v>
      </c>
      <c r="O1390">
        <v>1</v>
      </c>
      <c r="P1390">
        <v>0</v>
      </c>
      <c r="Q1390">
        <v>0</v>
      </c>
      <c r="R1390">
        <v>1</v>
      </c>
      <c r="S1390">
        <v>2</v>
      </c>
      <c r="T1390">
        <v>8</v>
      </c>
      <c r="U1390">
        <v>1</v>
      </c>
      <c r="V1390">
        <v>0</v>
      </c>
      <c r="W1390">
        <v>63</v>
      </c>
      <c r="X1390">
        <v>0</v>
      </c>
      <c r="Y1390">
        <v>0</v>
      </c>
      <c r="Z1390">
        <v>0</v>
      </c>
      <c r="AA1390">
        <v>0</v>
      </c>
      <c r="AB1390">
        <v>1</v>
      </c>
      <c r="AC1390">
        <v>7</v>
      </c>
      <c r="AD1390">
        <v>0</v>
      </c>
      <c r="AE1390">
        <v>1</v>
      </c>
      <c r="AF1390">
        <v>12</v>
      </c>
      <c r="AG1390">
        <v>24</v>
      </c>
      <c r="AH1390">
        <v>19</v>
      </c>
      <c r="AI1390">
        <v>1</v>
      </c>
      <c r="AJ1390">
        <v>40</v>
      </c>
      <c r="AK1390">
        <v>0</v>
      </c>
      <c r="AL1390">
        <v>1</v>
      </c>
      <c r="AM1390">
        <v>118</v>
      </c>
      <c r="AN1390">
        <v>69</v>
      </c>
      <c r="AO1390">
        <v>41</v>
      </c>
      <c r="AQ1390" t="str">
        <f t="shared" si="21"/>
        <v>Defensive Forward</v>
      </c>
    </row>
    <row r="1391" spans="1:43" x14ac:dyDescent="0.35">
      <c r="A1391" t="s">
        <v>819</v>
      </c>
      <c r="B1391" t="s">
        <v>43</v>
      </c>
      <c r="C1391" t="s">
        <v>2257</v>
      </c>
      <c r="D1391">
        <v>1994</v>
      </c>
      <c r="E1391">
        <v>23</v>
      </c>
      <c r="F1391" t="s">
        <v>129</v>
      </c>
      <c r="G1391" t="s">
        <v>484</v>
      </c>
      <c r="H1391">
        <v>24200000</v>
      </c>
      <c r="I1391">
        <v>27000000</v>
      </c>
      <c r="J1391" t="s">
        <v>52</v>
      </c>
      <c r="K1391">
        <v>17</v>
      </c>
      <c r="L1391">
        <v>1284</v>
      </c>
      <c r="M1391">
        <v>0</v>
      </c>
      <c r="N1391">
        <v>751</v>
      </c>
      <c r="O1391">
        <v>0</v>
      </c>
      <c r="P1391">
        <v>1</v>
      </c>
      <c r="Q1391">
        <v>0</v>
      </c>
      <c r="R1391">
        <v>4</v>
      </c>
      <c r="S1391">
        <v>0</v>
      </c>
      <c r="T1391">
        <v>0</v>
      </c>
      <c r="U1391">
        <v>0</v>
      </c>
      <c r="V1391">
        <v>0</v>
      </c>
      <c r="W1391">
        <v>36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1</v>
      </c>
      <c r="AF1391">
        <v>11</v>
      </c>
      <c r="AG1391">
        <v>13</v>
      </c>
      <c r="AH1391">
        <v>10</v>
      </c>
      <c r="AI1391">
        <v>0</v>
      </c>
      <c r="AJ1391">
        <v>17</v>
      </c>
      <c r="AK1391">
        <v>1</v>
      </c>
      <c r="AL1391">
        <v>0</v>
      </c>
      <c r="AM1391">
        <v>64</v>
      </c>
      <c r="AN1391">
        <v>22</v>
      </c>
      <c r="AO1391">
        <v>25</v>
      </c>
      <c r="AQ1391" t="str">
        <f t="shared" si="21"/>
        <v>Defensive Forward</v>
      </c>
    </row>
    <row r="1392" spans="1:43" x14ac:dyDescent="0.35">
      <c r="A1392" t="s">
        <v>820</v>
      </c>
      <c r="B1392" t="s">
        <v>39</v>
      </c>
      <c r="C1392" t="s">
        <v>2258</v>
      </c>
      <c r="D1392">
        <v>1990</v>
      </c>
      <c r="E1392">
        <v>24</v>
      </c>
      <c r="F1392" t="s">
        <v>50</v>
      </c>
      <c r="G1392" t="s">
        <v>105</v>
      </c>
      <c r="H1392">
        <v>6300000</v>
      </c>
      <c r="I1392">
        <v>6300000</v>
      </c>
      <c r="J1392" t="s">
        <v>42</v>
      </c>
      <c r="K1392">
        <v>21</v>
      </c>
      <c r="L1392">
        <v>981</v>
      </c>
      <c r="M1392">
        <v>1</v>
      </c>
      <c r="N1392">
        <v>280</v>
      </c>
      <c r="O1392">
        <v>2</v>
      </c>
      <c r="P1392">
        <v>0</v>
      </c>
      <c r="Q1392">
        <v>0</v>
      </c>
      <c r="R1392">
        <v>8</v>
      </c>
      <c r="S1392">
        <v>11</v>
      </c>
      <c r="T1392">
        <v>22</v>
      </c>
      <c r="U1392">
        <v>4</v>
      </c>
      <c r="V1392">
        <v>1</v>
      </c>
      <c r="W1392">
        <v>3</v>
      </c>
      <c r="X1392">
        <v>0</v>
      </c>
      <c r="Y1392">
        <v>0</v>
      </c>
      <c r="Z1392">
        <v>0</v>
      </c>
      <c r="AA1392">
        <v>6</v>
      </c>
      <c r="AB1392">
        <v>1</v>
      </c>
      <c r="AC1392">
        <v>3</v>
      </c>
      <c r="AD1392">
        <v>6</v>
      </c>
      <c r="AE1392">
        <v>35</v>
      </c>
      <c r="AF1392">
        <v>0</v>
      </c>
      <c r="AG1392">
        <v>10</v>
      </c>
      <c r="AH1392">
        <v>17</v>
      </c>
      <c r="AI1392">
        <v>0</v>
      </c>
      <c r="AJ1392">
        <v>13</v>
      </c>
      <c r="AK1392">
        <v>0</v>
      </c>
      <c r="AL1392">
        <v>0</v>
      </c>
      <c r="AM1392">
        <v>3</v>
      </c>
      <c r="AN1392">
        <v>7</v>
      </c>
      <c r="AO1392">
        <v>14</v>
      </c>
      <c r="AQ1392" t="str">
        <f t="shared" si="21"/>
        <v>Forward</v>
      </c>
    </row>
    <row r="1393" spans="1:43" x14ac:dyDescent="0.35">
      <c r="A1393" t="s">
        <v>820</v>
      </c>
      <c r="B1393" t="s">
        <v>47</v>
      </c>
      <c r="C1393" t="s">
        <v>2259</v>
      </c>
      <c r="D1393">
        <v>1990</v>
      </c>
      <c r="E1393">
        <v>25</v>
      </c>
      <c r="F1393" t="s">
        <v>44</v>
      </c>
      <c r="G1393" t="s">
        <v>105</v>
      </c>
      <c r="H1393">
        <v>6300000</v>
      </c>
      <c r="I1393">
        <v>16200000</v>
      </c>
      <c r="J1393" t="s">
        <v>42</v>
      </c>
      <c r="K1393">
        <v>34</v>
      </c>
      <c r="L1393">
        <v>2494</v>
      </c>
      <c r="M1393">
        <v>3</v>
      </c>
      <c r="N1393">
        <v>1010</v>
      </c>
      <c r="O1393">
        <v>2</v>
      </c>
      <c r="P1393">
        <v>4</v>
      </c>
      <c r="Q1393">
        <v>0</v>
      </c>
      <c r="R1393">
        <v>5</v>
      </c>
      <c r="S1393">
        <v>20</v>
      </c>
      <c r="T1393">
        <v>45</v>
      </c>
      <c r="U1393">
        <v>15</v>
      </c>
      <c r="V1393">
        <v>2</v>
      </c>
      <c r="W1393">
        <v>30</v>
      </c>
      <c r="X1393">
        <v>0</v>
      </c>
      <c r="Y1393">
        <v>0</v>
      </c>
      <c r="Z1393">
        <v>0</v>
      </c>
      <c r="AA1393">
        <v>3</v>
      </c>
      <c r="AB1393">
        <v>3</v>
      </c>
      <c r="AC1393">
        <v>2</v>
      </c>
      <c r="AD1393">
        <v>10</v>
      </c>
      <c r="AE1393">
        <v>120</v>
      </c>
      <c r="AF1393">
        <v>7</v>
      </c>
      <c r="AG1393">
        <v>41</v>
      </c>
      <c r="AH1393">
        <v>28</v>
      </c>
      <c r="AI1393">
        <v>0</v>
      </c>
      <c r="AJ1393">
        <v>47</v>
      </c>
      <c r="AK1393">
        <v>0</v>
      </c>
      <c r="AL1393">
        <v>0</v>
      </c>
      <c r="AM1393">
        <v>48</v>
      </c>
      <c r="AN1393">
        <v>35</v>
      </c>
      <c r="AO1393">
        <v>57</v>
      </c>
      <c r="AQ1393" t="str">
        <f t="shared" si="21"/>
        <v>Forward</v>
      </c>
    </row>
    <row r="1394" spans="1:43" x14ac:dyDescent="0.35">
      <c r="A1394" t="s">
        <v>820</v>
      </c>
      <c r="B1394" t="s">
        <v>43</v>
      </c>
      <c r="C1394" t="s">
        <v>2260</v>
      </c>
      <c r="D1394">
        <v>1990</v>
      </c>
      <c r="E1394">
        <v>27</v>
      </c>
      <c r="F1394" t="s">
        <v>44</v>
      </c>
      <c r="G1394" t="s">
        <v>105</v>
      </c>
      <c r="H1394">
        <v>16200000</v>
      </c>
      <c r="I1394">
        <v>18000000</v>
      </c>
      <c r="J1394" t="s">
        <v>55</v>
      </c>
      <c r="K1394">
        <v>28</v>
      </c>
      <c r="L1394">
        <v>2118</v>
      </c>
      <c r="M1394">
        <v>3</v>
      </c>
      <c r="N1394">
        <v>833</v>
      </c>
      <c r="O1394">
        <v>3</v>
      </c>
      <c r="P1394">
        <v>3</v>
      </c>
      <c r="Q1394">
        <v>0</v>
      </c>
      <c r="R1394">
        <v>3</v>
      </c>
      <c r="S1394">
        <v>11</v>
      </c>
      <c r="T1394">
        <v>35</v>
      </c>
      <c r="U1394">
        <v>11</v>
      </c>
      <c r="V1394">
        <v>0</v>
      </c>
      <c r="W1394">
        <v>20</v>
      </c>
      <c r="X1394">
        <v>0</v>
      </c>
      <c r="Y1394">
        <v>0</v>
      </c>
      <c r="Z1394">
        <v>0</v>
      </c>
      <c r="AA1394">
        <v>9</v>
      </c>
      <c r="AB1394">
        <v>2</v>
      </c>
      <c r="AC1394">
        <v>24</v>
      </c>
      <c r="AD1394">
        <v>0</v>
      </c>
      <c r="AE1394">
        <v>90</v>
      </c>
      <c r="AF1394">
        <v>4</v>
      </c>
      <c r="AG1394">
        <v>15</v>
      </c>
      <c r="AH1394">
        <v>23</v>
      </c>
      <c r="AI1394">
        <v>0</v>
      </c>
      <c r="AJ1394">
        <v>37</v>
      </c>
      <c r="AK1394">
        <v>0</v>
      </c>
      <c r="AL1394">
        <v>0</v>
      </c>
      <c r="AM1394">
        <v>31</v>
      </c>
      <c r="AN1394">
        <v>28</v>
      </c>
      <c r="AO1394">
        <v>42</v>
      </c>
      <c r="AQ1394" t="str">
        <f t="shared" si="21"/>
        <v>Midfielder</v>
      </c>
    </row>
    <row r="1395" spans="1:43" x14ac:dyDescent="0.35">
      <c r="A1395" t="s">
        <v>821</v>
      </c>
      <c r="B1395" t="s">
        <v>39</v>
      </c>
      <c r="C1395" t="s">
        <v>2261</v>
      </c>
      <c r="D1395">
        <v>1991</v>
      </c>
      <c r="E1395">
        <v>24</v>
      </c>
      <c r="F1395" t="s">
        <v>220</v>
      </c>
      <c r="G1395" t="s">
        <v>822</v>
      </c>
      <c r="H1395">
        <v>16500000</v>
      </c>
      <c r="I1395">
        <v>16500000</v>
      </c>
      <c r="J1395" t="s">
        <v>55</v>
      </c>
      <c r="K1395">
        <v>30</v>
      </c>
      <c r="L1395">
        <v>2500</v>
      </c>
      <c r="M1395">
        <v>1</v>
      </c>
      <c r="N1395">
        <v>1352</v>
      </c>
      <c r="O1395">
        <v>0</v>
      </c>
      <c r="P1395">
        <v>4</v>
      </c>
      <c r="Q1395">
        <v>3</v>
      </c>
      <c r="R1395">
        <v>0</v>
      </c>
      <c r="S1395">
        <v>3</v>
      </c>
      <c r="T1395">
        <v>31</v>
      </c>
      <c r="U1395">
        <v>5</v>
      </c>
      <c r="V1395">
        <v>0</v>
      </c>
      <c r="W1395">
        <v>28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7</v>
      </c>
      <c r="AF1395">
        <v>6</v>
      </c>
      <c r="AG1395">
        <v>68</v>
      </c>
      <c r="AH1395">
        <v>50</v>
      </c>
      <c r="AI1395">
        <v>0</v>
      </c>
      <c r="AJ1395">
        <v>94</v>
      </c>
      <c r="AK1395">
        <v>1</v>
      </c>
      <c r="AL1395">
        <v>0</v>
      </c>
      <c r="AM1395">
        <v>62</v>
      </c>
      <c r="AN1395">
        <v>64</v>
      </c>
      <c r="AO1395">
        <v>68</v>
      </c>
      <c r="AQ1395" t="str">
        <f t="shared" si="21"/>
        <v>Midfielder</v>
      </c>
    </row>
    <row r="1396" spans="1:43" x14ac:dyDescent="0.35">
      <c r="A1396" t="s">
        <v>821</v>
      </c>
      <c r="B1396" t="s">
        <v>47</v>
      </c>
      <c r="C1396" t="s">
        <v>2262</v>
      </c>
      <c r="D1396">
        <v>1991</v>
      </c>
      <c r="E1396">
        <v>25</v>
      </c>
      <c r="F1396" t="s">
        <v>191</v>
      </c>
      <c r="G1396" t="s">
        <v>822</v>
      </c>
      <c r="H1396">
        <v>16500000</v>
      </c>
      <c r="I1396">
        <v>27500000</v>
      </c>
      <c r="J1396" t="s">
        <v>55</v>
      </c>
      <c r="K1396">
        <v>36</v>
      </c>
      <c r="L1396">
        <v>3015</v>
      </c>
      <c r="M1396">
        <v>4</v>
      </c>
      <c r="N1396">
        <v>1971</v>
      </c>
      <c r="O1396">
        <v>1</v>
      </c>
      <c r="P1396">
        <v>10</v>
      </c>
      <c r="Q1396">
        <v>0</v>
      </c>
      <c r="R1396">
        <v>0</v>
      </c>
      <c r="S1396">
        <v>5</v>
      </c>
      <c r="T1396">
        <v>40</v>
      </c>
      <c r="U1396">
        <v>13</v>
      </c>
      <c r="V1396">
        <v>0</v>
      </c>
      <c r="W1396">
        <v>38</v>
      </c>
      <c r="X1396">
        <v>3</v>
      </c>
      <c r="Y1396">
        <v>0</v>
      </c>
      <c r="Z1396">
        <v>0</v>
      </c>
      <c r="AA1396">
        <v>0</v>
      </c>
      <c r="AB1396">
        <v>1</v>
      </c>
      <c r="AC1396">
        <v>3</v>
      </c>
      <c r="AD1396">
        <v>0</v>
      </c>
      <c r="AE1396">
        <v>14</v>
      </c>
      <c r="AF1396">
        <v>9</v>
      </c>
      <c r="AG1396">
        <v>40</v>
      </c>
      <c r="AH1396">
        <v>66</v>
      </c>
      <c r="AI1396">
        <v>0</v>
      </c>
      <c r="AJ1396">
        <v>90</v>
      </c>
      <c r="AK1396">
        <v>0</v>
      </c>
      <c r="AL1396">
        <v>0</v>
      </c>
      <c r="AM1396">
        <v>69</v>
      </c>
      <c r="AN1396">
        <v>62</v>
      </c>
      <c r="AO1396">
        <v>61</v>
      </c>
      <c r="AQ1396" t="str">
        <f t="shared" si="21"/>
        <v>Midfielder</v>
      </c>
    </row>
    <row r="1397" spans="1:43" x14ac:dyDescent="0.35">
      <c r="A1397" t="s">
        <v>821</v>
      </c>
      <c r="B1397" t="s">
        <v>43</v>
      </c>
      <c r="C1397" t="s">
        <v>2263</v>
      </c>
      <c r="D1397">
        <v>1991</v>
      </c>
      <c r="E1397">
        <v>26</v>
      </c>
      <c r="F1397" t="s">
        <v>191</v>
      </c>
      <c r="G1397" t="s">
        <v>822</v>
      </c>
      <c r="H1397">
        <v>27500000</v>
      </c>
      <c r="I1397">
        <v>33000000</v>
      </c>
      <c r="J1397" t="s">
        <v>55</v>
      </c>
      <c r="K1397">
        <v>18</v>
      </c>
      <c r="L1397">
        <v>839</v>
      </c>
      <c r="M1397">
        <v>1</v>
      </c>
      <c r="N1397">
        <v>617</v>
      </c>
      <c r="O1397">
        <v>0</v>
      </c>
      <c r="P1397">
        <v>2</v>
      </c>
      <c r="Q1397">
        <v>0</v>
      </c>
      <c r="R1397">
        <v>10</v>
      </c>
      <c r="S1397">
        <v>2</v>
      </c>
      <c r="T1397">
        <v>12</v>
      </c>
      <c r="U1397">
        <v>3</v>
      </c>
      <c r="V1397">
        <v>0</v>
      </c>
      <c r="W1397">
        <v>13</v>
      </c>
      <c r="X1397">
        <v>0</v>
      </c>
      <c r="Y1397">
        <v>0</v>
      </c>
      <c r="Z1397">
        <v>0</v>
      </c>
      <c r="AA1397">
        <v>0</v>
      </c>
      <c r="AB1397">
        <v>1</v>
      </c>
      <c r="AC1397">
        <v>9</v>
      </c>
      <c r="AD1397">
        <v>0</v>
      </c>
      <c r="AE1397">
        <v>2</v>
      </c>
      <c r="AF1397">
        <v>3</v>
      </c>
      <c r="AG1397">
        <v>10</v>
      </c>
      <c r="AH1397">
        <v>13</v>
      </c>
      <c r="AI1397">
        <v>0</v>
      </c>
      <c r="AJ1397">
        <v>30</v>
      </c>
      <c r="AK1397">
        <v>1</v>
      </c>
      <c r="AL1397">
        <v>0</v>
      </c>
      <c r="AM1397">
        <v>20</v>
      </c>
      <c r="AN1397">
        <v>18</v>
      </c>
      <c r="AO1397">
        <v>15</v>
      </c>
      <c r="AQ1397" t="str">
        <f t="shared" si="21"/>
        <v>Midfielder</v>
      </c>
    </row>
    <row r="1398" spans="1:43" x14ac:dyDescent="0.35">
      <c r="A1398" t="s">
        <v>821</v>
      </c>
      <c r="B1398" t="s">
        <v>46</v>
      </c>
      <c r="C1398" t="s">
        <v>2264</v>
      </c>
      <c r="D1398">
        <v>1991</v>
      </c>
      <c r="E1398">
        <v>27</v>
      </c>
      <c r="F1398" t="s">
        <v>191</v>
      </c>
      <c r="G1398" t="s">
        <v>822</v>
      </c>
      <c r="H1398">
        <v>33000000</v>
      </c>
      <c r="I1398">
        <v>22000000</v>
      </c>
      <c r="J1398" t="s">
        <v>55</v>
      </c>
      <c r="K1398">
        <v>13</v>
      </c>
      <c r="L1398">
        <v>513</v>
      </c>
      <c r="M1398">
        <v>1</v>
      </c>
      <c r="N1398">
        <v>326</v>
      </c>
      <c r="O1398">
        <v>0</v>
      </c>
      <c r="P1398">
        <v>2</v>
      </c>
      <c r="Q1398">
        <v>0</v>
      </c>
      <c r="R1398">
        <v>9</v>
      </c>
      <c r="S1398">
        <v>2</v>
      </c>
      <c r="T1398">
        <v>7</v>
      </c>
      <c r="U1398">
        <v>2</v>
      </c>
      <c r="V1398">
        <v>0</v>
      </c>
      <c r="W1398">
        <v>5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5</v>
      </c>
      <c r="AD1398">
        <v>0</v>
      </c>
      <c r="AE1398">
        <v>3</v>
      </c>
      <c r="AF1398">
        <v>3</v>
      </c>
      <c r="AG1398">
        <v>7</v>
      </c>
      <c r="AH1398">
        <v>10</v>
      </c>
      <c r="AI1398">
        <v>0</v>
      </c>
      <c r="AJ1398">
        <v>13</v>
      </c>
      <c r="AK1398">
        <v>0</v>
      </c>
      <c r="AL1398">
        <v>0</v>
      </c>
      <c r="AM1398">
        <v>9</v>
      </c>
      <c r="AN1398">
        <v>14</v>
      </c>
      <c r="AO1398">
        <v>14</v>
      </c>
      <c r="AQ1398" t="str">
        <f t="shared" si="21"/>
        <v>Midfielder</v>
      </c>
    </row>
    <row r="1399" spans="1:43" x14ac:dyDescent="0.35">
      <c r="A1399" t="s">
        <v>823</v>
      </c>
      <c r="B1399" t="s">
        <v>47</v>
      </c>
      <c r="C1399" t="s">
        <v>2265</v>
      </c>
      <c r="D1399">
        <v>1994</v>
      </c>
      <c r="E1399">
        <v>22</v>
      </c>
      <c r="F1399" t="s">
        <v>48</v>
      </c>
      <c r="G1399" t="s">
        <v>152</v>
      </c>
      <c r="H1399">
        <v>5500000</v>
      </c>
      <c r="I1399">
        <v>5500000</v>
      </c>
      <c r="J1399" t="s">
        <v>55</v>
      </c>
      <c r="K1399">
        <v>13</v>
      </c>
      <c r="L1399">
        <v>438</v>
      </c>
      <c r="M1399">
        <v>0</v>
      </c>
      <c r="N1399">
        <v>146</v>
      </c>
      <c r="O1399">
        <v>3</v>
      </c>
      <c r="P1399">
        <v>0</v>
      </c>
      <c r="Q1399">
        <v>0</v>
      </c>
      <c r="R1399">
        <v>7</v>
      </c>
      <c r="S1399">
        <v>5</v>
      </c>
      <c r="T1399">
        <v>12</v>
      </c>
      <c r="U1399">
        <v>2</v>
      </c>
      <c r="V1399">
        <v>1</v>
      </c>
      <c r="W1399">
        <v>0</v>
      </c>
      <c r="X1399">
        <v>0</v>
      </c>
      <c r="Y1399">
        <v>0</v>
      </c>
      <c r="Z1399">
        <v>0</v>
      </c>
      <c r="AA1399">
        <v>3</v>
      </c>
      <c r="AB1399">
        <v>0</v>
      </c>
      <c r="AC1399">
        <v>0</v>
      </c>
      <c r="AD1399">
        <v>11</v>
      </c>
      <c r="AE1399">
        <v>16</v>
      </c>
      <c r="AF1399">
        <v>0</v>
      </c>
      <c r="AG1399">
        <v>0</v>
      </c>
      <c r="AH1399">
        <v>1</v>
      </c>
      <c r="AI1399">
        <v>0</v>
      </c>
      <c r="AJ1399">
        <v>3</v>
      </c>
      <c r="AK1399">
        <v>0</v>
      </c>
      <c r="AL1399">
        <v>0</v>
      </c>
      <c r="AM1399">
        <v>1</v>
      </c>
      <c r="AN1399">
        <v>3</v>
      </c>
      <c r="AO1399">
        <v>4</v>
      </c>
      <c r="AQ1399" t="str">
        <f t="shared" si="21"/>
        <v>Midfielder</v>
      </c>
    </row>
    <row r="1400" spans="1:43" x14ac:dyDescent="0.35">
      <c r="A1400" t="s">
        <v>824</v>
      </c>
      <c r="B1400" t="s">
        <v>47</v>
      </c>
      <c r="C1400" t="s">
        <v>2266</v>
      </c>
      <c r="D1400">
        <v>1994</v>
      </c>
      <c r="E1400">
        <v>22</v>
      </c>
      <c r="F1400" t="s">
        <v>191</v>
      </c>
      <c r="G1400" t="s">
        <v>216</v>
      </c>
      <c r="H1400">
        <v>11700000</v>
      </c>
      <c r="I1400">
        <v>11700000</v>
      </c>
      <c r="J1400" t="s">
        <v>42</v>
      </c>
      <c r="K1400">
        <v>27</v>
      </c>
      <c r="L1400">
        <v>832</v>
      </c>
      <c r="M1400">
        <v>2</v>
      </c>
      <c r="N1400">
        <v>225</v>
      </c>
      <c r="O1400">
        <v>2</v>
      </c>
      <c r="P1400">
        <v>0</v>
      </c>
      <c r="Q1400">
        <v>0</v>
      </c>
      <c r="R1400">
        <v>20</v>
      </c>
      <c r="S1400">
        <v>4</v>
      </c>
      <c r="T1400">
        <v>30</v>
      </c>
      <c r="U1400">
        <v>14</v>
      </c>
      <c r="V1400">
        <v>1</v>
      </c>
      <c r="W1400">
        <v>2</v>
      </c>
      <c r="X1400">
        <v>0</v>
      </c>
      <c r="Y1400">
        <v>1</v>
      </c>
      <c r="Z1400">
        <v>0</v>
      </c>
      <c r="AA1400">
        <v>8</v>
      </c>
      <c r="AB1400">
        <v>1</v>
      </c>
      <c r="AC1400">
        <v>5</v>
      </c>
      <c r="AD1400">
        <v>0</v>
      </c>
      <c r="AE1400">
        <v>10</v>
      </c>
      <c r="AF1400">
        <v>0</v>
      </c>
      <c r="AG1400">
        <v>2</v>
      </c>
      <c r="AH1400">
        <v>31</v>
      </c>
      <c r="AI1400">
        <v>0</v>
      </c>
      <c r="AJ1400">
        <v>15</v>
      </c>
      <c r="AK1400">
        <v>0</v>
      </c>
      <c r="AL1400">
        <v>0</v>
      </c>
      <c r="AM1400">
        <v>2</v>
      </c>
      <c r="AN1400">
        <v>3</v>
      </c>
      <c r="AO1400">
        <v>14</v>
      </c>
      <c r="AQ1400" t="str">
        <f t="shared" si="21"/>
        <v>Forward</v>
      </c>
    </row>
    <row r="1401" spans="1:43" x14ac:dyDescent="0.35">
      <c r="A1401" t="s">
        <v>825</v>
      </c>
      <c r="B1401" t="s">
        <v>39</v>
      </c>
      <c r="C1401" t="s">
        <v>2267</v>
      </c>
      <c r="D1401">
        <v>1986</v>
      </c>
      <c r="E1401">
        <v>29</v>
      </c>
      <c r="F1401" t="s">
        <v>114</v>
      </c>
      <c r="G1401" t="s">
        <v>95</v>
      </c>
      <c r="H1401">
        <v>27000000</v>
      </c>
      <c r="I1401">
        <v>27000000</v>
      </c>
      <c r="J1401" t="s">
        <v>52</v>
      </c>
      <c r="K1401">
        <v>14</v>
      </c>
      <c r="L1401">
        <v>1179</v>
      </c>
      <c r="M1401">
        <v>2</v>
      </c>
      <c r="N1401">
        <v>678</v>
      </c>
      <c r="O1401">
        <v>0</v>
      </c>
      <c r="P1401">
        <v>5</v>
      </c>
      <c r="Q1401">
        <v>0</v>
      </c>
      <c r="R1401">
        <v>1</v>
      </c>
      <c r="S1401">
        <v>1</v>
      </c>
      <c r="T1401">
        <v>11</v>
      </c>
      <c r="U1401">
        <v>3</v>
      </c>
      <c r="V1401">
        <v>0</v>
      </c>
      <c r="W1401">
        <v>45</v>
      </c>
      <c r="X1401">
        <v>2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4</v>
      </c>
      <c r="AG1401">
        <v>23</v>
      </c>
      <c r="AH1401">
        <v>15</v>
      </c>
      <c r="AI1401">
        <v>0</v>
      </c>
      <c r="AJ1401">
        <v>20</v>
      </c>
      <c r="AK1401">
        <v>0</v>
      </c>
      <c r="AL1401">
        <v>0</v>
      </c>
      <c r="AM1401">
        <v>78</v>
      </c>
      <c r="AN1401">
        <v>35</v>
      </c>
      <c r="AO1401">
        <v>6</v>
      </c>
      <c r="AQ1401" t="str">
        <f t="shared" si="21"/>
        <v>Defensive Forward</v>
      </c>
    </row>
    <row r="1402" spans="1:43" x14ac:dyDescent="0.35">
      <c r="A1402" t="s">
        <v>825</v>
      </c>
      <c r="B1402" t="s">
        <v>43</v>
      </c>
      <c r="C1402" t="s">
        <v>2268</v>
      </c>
      <c r="D1402">
        <v>1986</v>
      </c>
      <c r="E1402">
        <v>31</v>
      </c>
      <c r="F1402" t="s">
        <v>114</v>
      </c>
      <c r="G1402" t="s">
        <v>95</v>
      </c>
      <c r="H1402">
        <v>19800000</v>
      </c>
      <c r="I1402">
        <v>9000000</v>
      </c>
      <c r="J1402" t="s">
        <v>52</v>
      </c>
      <c r="K1402">
        <v>17</v>
      </c>
      <c r="L1402">
        <v>1396</v>
      </c>
      <c r="M1402">
        <v>1</v>
      </c>
      <c r="N1402">
        <v>1429</v>
      </c>
      <c r="O1402">
        <v>1</v>
      </c>
      <c r="P1402">
        <v>6</v>
      </c>
      <c r="Q1402">
        <v>0</v>
      </c>
      <c r="R1402">
        <v>0</v>
      </c>
      <c r="S1402">
        <v>3</v>
      </c>
      <c r="T1402">
        <v>9</v>
      </c>
      <c r="U1402">
        <v>2</v>
      </c>
      <c r="V1402">
        <v>0</v>
      </c>
      <c r="W1402">
        <v>39</v>
      </c>
      <c r="X1402">
        <v>1</v>
      </c>
      <c r="Y1402">
        <v>0</v>
      </c>
      <c r="Z1402">
        <v>0</v>
      </c>
      <c r="AA1402">
        <v>0</v>
      </c>
      <c r="AB1402">
        <v>1</v>
      </c>
      <c r="AC1402">
        <v>7</v>
      </c>
      <c r="AD1402">
        <v>0</v>
      </c>
      <c r="AE1402">
        <v>0</v>
      </c>
      <c r="AF1402">
        <v>8</v>
      </c>
      <c r="AG1402">
        <v>16</v>
      </c>
      <c r="AH1402">
        <v>18</v>
      </c>
      <c r="AI1402">
        <v>1</v>
      </c>
      <c r="AJ1402">
        <v>20</v>
      </c>
      <c r="AK1402">
        <v>0</v>
      </c>
      <c r="AL1402">
        <v>0</v>
      </c>
      <c r="AM1402">
        <v>71</v>
      </c>
      <c r="AN1402">
        <v>42</v>
      </c>
      <c r="AO1402">
        <v>12</v>
      </c>
      <c r="AQ1402" t="str">
        <f t="shared" si="21"/>
        <v>Defensive Forward</v>
      </c>
    </row>
    <row r="1403" spans="1:43" x14ac:dyDescent="0.35">
      <c r="A1403" t="s">
        <v>825</v>
      </c>
      <c r="B1403" t="s">
        <v>46</v>
      </c>
      <c r="C1403" t="s">
        <v>2269</v>
      </c>
      <c r="D1403">
        <v>1986</v>
      </c>
      <c r="E1403">
        <v>32</v>
      </c>
      <c r="F1403" t="s">
        <v>114</v>
      </c>
      <c r="G1403" t="s">
        <v>95</v>
      </c>
      <c r="H1403">
        <v>9000000</v>
      </c>
      <c r="I1403">
        <v>7200000</v>
      </c>
      <c r="J1403" t="s">
        <v>52</v>
      </c>
      <c r="K1403">
        <v>17</v>
      </c>
      <c r="L1403">
        <v>1223</v>
      </c>
      <c r="M1403">
        <v>1</v>
      </c>
      <c r="N1403">
        <v>1227</v>
      </c>
      <c r="O1403">
        <v>0</v>
      </c>
      <c r="P1403">
        <v>6</v>
      </c>
      <c r="Q1403">
        <v>0</v>
      </c>
      <c r="R1403">
        <v>4</v>
      </c>
      <c r="S1403">
        <v>3</v>
      </c>
      <c r="T1403">
        <v>5</v>
      </c>
      <c r="U1403">
        <v>1</v>
      </c>
      <c r="V1403">
        <v>0</v>
      </c>
      <c r="W1403">
        <v>38</v>
      </c>
      <c r="X1403">
        <v>0</v>
      </c>
      <c r="Y1403">
        <v>0</v>
      </c>
      <c r="Z1403">
        <v>0</v>
      </c>
      <c r="AA1403">
        <v>1</v>
      </c>
      <c r="AB1403">
        <v>0</v>
      </c>
      <c r="AC1403">
        <v>4</v>
      </c>
      <c r="AD1403">
        <v>0</v>
      </c>
      <c r="AE1403">
        <v>0</v>
      </c>
      <c r="AF1403">
        <v>8</v>
      </c>
      <c r="AG1403">
        <v>16</v>
      </c>
      <c r="AH1403">
        <v>17</v>
      </c>
      <c r="AI1403">
        <v>0</v>
      </c>
      <c r="AJ1403">
        <v>16</v>
      </c>
      <c r="AK1403">
        <v>0</v>
      </c>
      <c r="AL1403">
        <v>0</v>
      </c>
      <c r="AM1403">
        <v>55</v>
      </c>
      <c r="AN1403">
        <v>36</v>
      </c>
      <c r="AO1403">
        <v>17</v>
      </c>
      <c r="AQ1403" t="str">
        <f t="shared" si="21"/>
        <v>Defensive Forward</v>
      </c>
    </row>
    <row r="1404" spans="1:43" x14ac:dyDescent="0.35">
      <c r="A1404" t="s">
        <v>825</v>
      </c>
      <c r="B1404" t="s">
        <v>47</v>
      </c>
      <c r="C1404" t="s">
        <v>2270</v>
      </c>
      <c r="D1404">
        <v>1986</v>
      </c>
      <c r="E1404">
        <v>30</v>
      </c>
      <c r="F1404" t="s">
        <v>114</v>
      </c>
      <c r="G1404" t="s">
        <v>95</v>
      </c>
      <c r="H1404">
        <v>27000000</v>
      </c>
      <c r="I1404">
        <v>19800000</v>
      </c>
      <c r="J1404" t="s">
        <v>52</v>
      </c>
      <c r="K1404">
        <v>11</v>
      </c>
      <c r="L1404">
        <v>823</v>
      </c>
      <c r="M1404">
        <v>3</v>
      </c>
      <c r="N1404">
        <v>557</v>
      </c>
      <c r="O1404">
        <v>0</v>
      </c>
      <c r="P1404">
        <v>5</v>
      </c>
      <c r="Q1404">
        <v>0</v>
      </c>
      <c r="R1404">
        <v>1</v>
      </c>
      <c r="S1404">
        <v>3</v>
      </c>
      <c r="T1404">
        <v>9</v>
      </c>
      <c r="U1404">
        <v>3</v>
      </c>
      <c r="V1404">
        <v>0</v>
      </c>
      <c r="W1404">
        <v>28</v>
      </c>
      <c r="X1404">
        <v>2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1</v>
      </c>
      <c r="AF1404">
        <v>3</v>
      </c>
      <c r="AG1404">
        <v>16</v>
      </c>
      <c r="AH1404">
        <v>19</v>
      </c>
      <c r="AI1404">
        <v>0</v>
      </c>
      <c r="AJ1404">
        <v>15</v>
      </c>
      <c r="AK1404">
        <v>0</v>
      </c>
      <c r="AL1404">
        <v>0</v>
      </c>
      <c r="AM1404">
        <v>42</v>
      </c>
      <c r="AN1404">
        <v>19</v>
      </c>
      <c r="AO1404">
        <v>9</v>
      </c>
      <c r="AQ1404" t="str">
        <f t="shared" si="21"/>
        <v>Defensive Forward</v>
      </c>
    </row>
    <row r="1405" spans="1:43" x14ac:dyDescent="0.35">
      <c r="A1405" t="s">
        <v>826</v>
      </c>
      <c r="B1405" t="s">
        <v>47</v>
      </c>
      <c r="C1405" t="s">
        <v>2271</v>
      </c>
      <c r="D1405">
        <v>1991</v>
      </c>
      <c r="E1405">
        <v>25</v>
      </c>
      <c r="F1405" t="s">
        <v>220</v>
      </c>
      <c r="G1405" t="s">
        <v>216</v>
      </c>
      <c r="H1405">
        <v>10800000</v>
      </c>
      <c r="I1405">
        <v>27000000</v>
      </c>
      <c r="J1405" t="s">
        <v>52</v>
      </c>
      <c r="K1405">
        <v>21</v>
      </c>
      <c r="L1405">
        <v>1854</v>
      </c>
      <c r="M1405">
        <v>1</v>
      </c>
      <c r="N1405">
        <v>980</v>
      </c>
      <c r="O1405">
        <v>0</v>
      </c>
      <c r="P1405">
        <v>3</v>
      </c>
      <c r="Q1405">
        <v>0</v>
      </c>
      <c r="R1405">
        <v>0</v>
      </c>
      <c r="S1405">
        <v>0</v>
      </c>
      <c r="T1405">
        <v>17</v>
      </c>
      <c r="U1405">
        <v>5</v>
      </c>
      <c r="V1405">
        <v>2</v>
      </c>
      <c r="W1405">
        <v>87</v>
      </c>
      <c r="X1405">
        <v>1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15</v>
      </c>
      <c r="AG1405">
        <v>54</v>
      </c>
      <c r="AH1405">
        <v>18</v>
      </c>
      <c r="AI1405">
        <v>0</v>
      </c>
      <c r="AJ1405">
        <v>39</v>
      </c>
      <c r="AK1405">
        <v>0</v>
      </c>
      <c r="AL1405">
        <v>0</v>
      </c>
      <c r="AM1405">
        <v>142</v>
      </c>
      <c r="AN1405">
        <v>98</v>
      </c>
      <c r="AO1405">
        <v>32</v>
      </c>
      <c r="AQ1405" t="str">
        <f t="shared" si="21"/>
        <v>Defensive Forward</v>
      </c>
    </row>
    <row r="1406" spans="1:43" x14ac:dyDescent="0.35">
      <c r="A1406" t="s">
        <v>826</v>
      </c>
      <c r="B1406" t="s">
        <v>46</v>
      </c>
      <c r="C1406" t="s">
        <v>2272</v>
      </c>
      <c r="D1406">
        <v>1991</v>
      </c>
      <c r="E1406">
        <v>27</v>
      </c>
      <c r="F1406" t="s">
        <v>80</v>
      </c>
      <c r="G1406" t="s">
        <v>216</v>
      </c>
      <c r="H1406">
        <v>45000000</v>
      </c>
      <c r="I1406">
        <v>81000000</v>
      </c>
      <c r="J1406" t="s">
        <v>52</v>
      </c>
      <c r="K1406">
        <v>38</v>
      </c>
      <c r="L1406">
        <v>3385</v>
      </c>
      <c r="M1406">
        <v>4</v>
      </c>
      <c r="N1406">
        <v>3037</v>
      </c>
      <c r="O1406">
        <v>2</v>
      </c>
      <c r="P1406">
        <v>0</v>
      </c>
      <c r="Q1406">
        <v>0</v>
      </c>
      <c r="R1406">
        <v>0</v>
      </c>
      <c r="S1406">
        <v>1</v>
      </c>
      <c r="T1406">
        <v>31</v>
      </c>
      <c r="U1406">
        <v>8</v>
      </c>
      <c r="V1406">
        <v>4</v>
      </c>
      <c r="W1406">
        <v>112</v>
      </c>
      <c r="X1406">
        <v>3</v>
      </c>
      <c r="Y1406">
        <v>0</v>
      </c>
      <c r="Z1406">
        <v>0</v>
      </c>
      <c r="AA1406">
        <v>1</v>
      </c>
      <c r="AB1406">
        <v>0</v>
      </c>
      <c r="AC1406">
        <v>23</v>
      </c>
      <c r="AD1406">
        <v>0</v>
      </c>
      <c r="AE1406">
        <v>0</v>
      </c>
      <c r="AF1406">
        <v>18</v>
      </c>
      <c r="AG1406">
        <v>40</v>
      </c>
      <c r="AH1406">
        <v>12</v>
      </c>
      <c r="AI1406">
        <v>0</v>
      </c>
      <c r="AJ1406">
        <v>38</v>
      </c>
      <c r="AK1406">
        <v>0</v>
      </c>
      <c r="AL1406">
        <v>0</v>
      </c>
      <c r="AM1406">
        <v>199</v>
      </c>
      <c r="AN1406">
        <v>181</v>
      </c>
      <c r="AO1406">
        <v>63</v>
      </c>
      <c r="AQ1406" t="str">
        <f t="shared" si="21"/>
        <v>Defensive Forward</v>
      </c>
    </row>
    <row r="1407" spans="1:43" x14ac:dyDescent="0.35">
      <c r="A1407" t="s">
        <v>826</v>
      </c>
      <c r="B1407" t="s">
        <v>39</v>
      </c>
      <c r="C1407" t="s">
        <v>2273</v>
      </c>
      <c r="D1407">
        <v>1991</v>
      </c>
      <c r="E1407">
        <v>24</v>
      </c>
      <c r="F1407" t="s">
        <v>220</v>
      </c>
      <c r="G1407" t="s">
        <v>216</v>
      </c>
      <c r="H1407">
        <v>9000000</v>
      </c>
      <c r="I1407">
        <v>10800000</v>
      </c>
      <c r="J1407" t="s">
        <v>52</v>
      </c>
      <c r="K1407">
        <v>34</v>
      </c>
      <c r="L1407">
        <v>3060</v>
      </c>
      <c r="M1407">
        <v>3</v>
      </c>
      <c r="N1407">
        <v>1388</v>
      </c>
      <c r="O1407">
        <v>0</v>
      </c>
      <c r="P1407">
        <v>2</v>
      </c>
      <c r="Q1407">
        <v>0</v>
      </c>
      <c r="R1407">
        <v>0</v>
      </c>
      <c r="S1407">
        <v>0</v>
      </c>
      <c r="T1407">
        <v>30</v>
      </c>
      <c r="U1407">
        <v>10</v>
      </c>
      <c r="V1407">
        <v>5</v>
      </c>
      <c r="W1407">
        <v>160</v>
      </c>
      <c r="X1407">
        <v>0</v>
      </c>
      <c r="Y1407">
        <v>0</v>
      </c>
      <c r="Z1407">
        <v>0</v>
      </c>
      <c r="AA1407">
        <v>2</v>
      </c>
      <c r="AB1407">
        <v>0</v>
      </c>
      <c r="AC1407">
        <v>2</v>
      </c>
      <c r="AD1407">
        <v>0</v>
      </c>
      <c r="AE1407">
        <v>2</v>
      </c>
      <c r="AF1407">
        <v>22</v>
      </c>
      <c r="AG1407">
        <v>96</v>
      </c>
      <c r="AH1407">
        <v>28</v>
      </c>
      <c r="AI1407">
        <v>1</v>
      </c>
      <c r="AJ1407">
        <v>59</v>
      </c>
      <c r="AK1407">
        <v>0</v>
      </c>
      <c r="AL1407">
        <v>0</v>
      </c>
      <c r="AM1407">
        <v>260</v>
      </c>
      <c r="AN1407">
        <v>163</v>
      </c>
      <c r="AO1407">
        <v>58</v>
      </c>
      <c r="AQ1407" t="str">
        <f t="shared" si="21"/>
        <v>Defensive Forward</v>
      </c>
    </row>
    <row r="1408" spans="1:43" x14ac:dyDescent="0.35">
      <c r="A1408" t="s">
        <v>826</v>
      </c>
      <c r="B1408" t="s">
        <v>43</v>
      </c>
      <c r="C1408" t="s">
        <v>2274</v>
      </c>
      <c r="D1408">
        <v>1991</v>
      </c>
      <c r="E1408">
        <v>26</v>
      </c>
      <c r="F1408" t="s">
        <v>80</v>
      </c>
      <c r="G1408" t="s">
        <v>216</v>
      </c>
      <c r="H1408">
        <v>27000000</v>
      </c>
      <c r="I1408">
        <v>45000000</v>
      </c>
      <c r="J1408" t="s">
        <v>52</v>
      </c>
      <c r="K1408">
        <v>26</v>
      </c>
      <c r="L1408">
        <v>2253</v>
      </c>
      <c r="M1408">
        <v>0</v>
      </c>
      <c r="N1408">
        <v>1770</v>
      </c>
      <c r="O1408">
        <v>0</v>
      </c>
      <c r="P1408">
        <v>1</v>
      </c>
      <c r="Q1408">
        <v>0</v>
      </c>
      <c r="R1408">
        <v>1</v>
      </c>
      <c r="S1408">
        <v>0</v>
      </c>
      <c r="T1408">
        <v>27</v>
      </c>
      <c r="U1408">
        <v>6</v>
      </c>
      <c r="V1408">
        <v>0</v>
      </c>
      <c r="W1408">
        <v>96</v>
      </c>
      <c r="X1408">
        <v>0</v>
      </c>
      <c r="Y1408">
        <v>0</v>
      </c>
      <c r="Z1408">
        <v>0</v>
      </c>
      <c r="AA1408">
        <v>0</v>
      </c>
      <c r="AB1408">
        <v>3</v>
      </c>
      <c r="AC1408">
        <v>21</v>
      </c>
      <c r="AD1408">
        <v>0</v>
      </c>
      <c r="AE1408">
        <v>1</v>
      </c>
      <c r="AF1408">
        <v>15</v>
      </c>
      <c r="AG1408">
        <v>47</v>
      </c>
      <c r="AH1408">
        <v>14</v>
      </c>
      <c r="AI1408">
        <v>0</v>
      </c>
      <c r="AJ1408">
        <v>25</v>
      </c>
      <c r="AK1408">
        <v>0</v>
      </c>
      <c r="AL1408">
        <v>0</v>
      </c>
      <c r="AM1408">
        <v>157</v>
      </c>
      <c r="AN1408">
        <v>139</v>
      </c>
      <c r="AO1408">
        <v>51</v>
      </c>
      <c r="AQ1408" t="str">
        <f t="shared" si="21"/>
        <v>Defensive Forward</v>
      </c>
    </row>
    <row r="1409" spans="1:43" x14ac:dyDescent="0.35">
      <c r="A1409" t="s">
        <v>827</v>
      </c>
      <c r="B1409" t="s">
        <v>39</v>
      </c>
      <c r="C1409" t="s">
        <v>2275</v>
      </c>
      <c r="D1409">
        <v>1989</v>
      </c>
      <c r="E1409">
        <v>26</v>
      </c>
      <c r="F1409" t="s">
        <v>117</v>
      </c>
      <c r="G1409" t="s">
        <v>216</v>
      </c>
      <c r="H1409">
        <v>3600000</v>
      </c>
      <c r="I1409">
        <v>3600000</v>
      </c>
      <c r="J1409" t="s">
        <v>55</v>
      </c>
      <c r="K1409">
        <v>28</v>
      </c>
      <c r="L1409">
        <v>2106</v>
      </c>
      <c r="M1409">
        <v>1</v>
      </c>
      <c r="N1409">
        <v>990</v>
      </c>
      <c r="O1409">
        <v>3</v>
      </c>
      <c r="P1409">
        <v>6</v>
      </c>
      <c r="Q1409">
        <v>0</v>
      </c>
      <c r="R1409">
        <v>4</v>
      </c>
      <c r="S1409">
        <v>10</v>
      </c>
      <c r="T1409">
        <v>8</v>
      </c>
      <c r="U1409">
        <v>2</v>
      </c>
      <c r="V1409">
        <v>0</v>
      </c>
      <c r="W1409">
        <v>18</v>
      </c>
      <c r="X1409">
        <v>0</v>
      </c>
      <c r="Y1409">
        <v>0</v>
      </c>
      <c r="Z1409">
        <v>0</v>
      </c>
      <c r="AA1409">
        <v>0</v>
      </c>
      <c r="AB1409">
        <v>2</v>
      </c>
      <c r="AC1409">
        <v>0</v>
      </c>
      <c r="AD1409">
        <v>0</v>
      </c>
      <c r="AE1409">
        <v>28</v>
      </c>
      <c r="AF1409">
        <v>8</v>
      </c>
      <c r="AG1409">
        <v>56</v>
      </c>
      <c r="AH1409">
        <v>29</v>
      </c>
      <c r="AI1409">
        <v>0</v>
      </c>
      <c r="AJ1409">
        <v>74</v>
      </c>
      <c r="AK1409">
        <v>0</v>
      </c>
      <c r="AL1409">
        <v>0</v>
      </c>
      <c r="AM1409">
        <v>40</v>
      </c>
      <c r="AN1409">
        <v>16</v>
      </c>
      <c r="AO1409">
        <v>21</v>
      </c>
      <c r="AQ1409" t="str">
        <f t="shared" si="21"/>
        <v>Midfielder</v>
      </c>
    </row>
    <row r="1410" spans="1:43" x14ac:dyDescent="0.35">
      <c r="A1410" t="s">
        <v>828</v>
      </c>
      <c r="B1410" t="s">
        <v>39</v>
      </c>
      <c r="C1410" t="s">
        <v>2276</v>
      </c>
      <c r="D1410">
        <v>1991</v>
      </c>
      <c r="E1410">
        <v>24</v>
      </c>
      <c r="F1410" t="s">
        <v>78</v>
      </c>
      <c r="G1410" t="s">
        <v>829</v>
      </c>
      <c r="H1410">
        <v>7700000</v>
      </c>
      <c r="I1410">
        <v>8100000</v>
      </c>
      <c r="J1410" t="s">
        <v>42</v>
      </c>
      <c r="K1410">
        <v>14</v>
      </c>
      <c r="L1410">
        <v>1077</v>
      </c>
      <c r="M1410">
        <v>2</v>
      </c>
      <c r="N1410">
        <v>327</v>
      </c>
      <c r="O1410">
        <v>1</v>
      </c>
      <c r="P1410">
        <v>3</v>
      </c>
      <c r="Q1410">
        <v>0</v>
      </c>
      <c r="R1410">
        <v>1</v>
      </c>
      <c r="S1410">
        <v>7</v>
      </c>
      <c r="T1410">
        <v>24</v>
      </c>
      <c r="U1410">
        <v>0</v>
      </c>
      <c r="V1410">
        <v>2</v>
      </c>
      <c r="W1410">
        <v>1</v>
      </c>
      <c r="X1410">
        <v>0</v>
      </c>
      <c r="Y1410">
        <v>0</v>
      </c>
      <c r="Z1410">
        <v>1</v>
      </c>
      <c r="AA1410">
        <v>4</v>
      </c>
      <c r="AB1410">
        <v>1</v>
      </c>
      <c r="AC1410">
        <v>0</v>
      </c>
      <c r="AD1410">
        <v>57</v>
      </c>
      <c r="AE1410">
        <v>88</v>
      </c>
      <c r="AF1410">
        <v>0</v>
      </c>
      <c r="AG1410">
        <v>14</v>
      </c>
      <c r="AH1410">
        <v>18</v>
      </c>
      <c r="AI1410">
        <v>0</v>
      </c>
      <c r="AJ1410">
        <v>27</v>
      </c>
      <c r="AK1410">
        <v>0</v>
      </c>
      <c r="AL1410">
        <v>0</v>
      </c>
      <c r="AM1410">
        <v>8</v>
      </c>
      <c r="AN1410">
        <v>5</v>
      </c>
      <c r="AO1410">
        <v>14</v>
      </c>
      <c r="AQ1410" t="str">
        <f t="shared" ref="AQ1410:AQ1470" si="22">IF(J1410 = "FW", REPLACE(J1410,1,2,"Forward"),IF(J1410 = "DF", "Defensive Forward", "Midfielder"))</f>
        <v>Forward</v>
      </c>
    </row>
    <row r="1411" spans="1:43" x14ac:dyDescent="0.35">
      <c r="A1411" t="s">
        <v>828</v>
      </c>
      <c r="B1411" t="s">
        <v>47</v>
      </c>
      <c r="C1411" t="s">
        <v>2277</v>
      </c>
      <c r="D1411">
        <v>1991</v>
      </c>
      <c r="E1411">
        <v>25</v>
      </c>
      <c r="F1411" t="s">
        <v>78</v>
      </c>
      <c r="G1411" t="s">
        <v>829</v>
      </c>
      <c r="H1411">
        <v>8100000</v>
      </c>
      <c r="I1411">
        <v>6300000</v>
      </c>
      <c r="J1411" t="s">
        <v>55</v>
      </c>
      <c r="K1411">
        <v>21</v>
      </c>
      <c r="L1411">
        <v>838</v>
      </c>
      <c r="M1411">
        <v>1</v>
      </c>
      <c r="N1411">
        <v>318</v>
      </c>
      <c r="O1411">
        <v>0</v>
      </c>
      <c r="P1411">
        <v>6</v>
      </c>
      <c r="Q1411">
        <v>0</v>
      </c>
      <c r="R1411">
        <v>14</v>
      </c>
      <c r="S1411">
        <v>3</v>
      </c>
      <c r="T1411">
        <v>23</v>
      </c>
      <c r="U1411">
        <v>10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7</v>
      </c>
      <c r="AB1411">
        <v>4</v>
      </c>
      <c r="AC1411">
        <v>1</v>
      </c>
      <c r="AD1411">
        <v>41</v>
      </c>
      <c r="AE1411">
        <v>67</v>
      </c>
      <c r="AF1411">
        <v>0</v>
      </c>
      <c r="AG1411">
        <v>8</v>
      </c>
      <c r="AH1411">
        <v>20</v>
      </c>
      <c r="AI1411">
        <v>0</v>
      </c>
      <c r="AJ1411">
        <v>10</v>
      </c>
      <c r="AK1411">
        <v>0</v>
      </c>
      <c r="AL1411">
        <v>0</v>
      </c>
      <c r="AM1411">
        <v>2</v>
      </c>
      <c r="AN1411">
        <v>4</v>
      </c>
      <c r="AO1411">
        <v>9</v>
      </c>
      <c r="AQ1411" t="str">
        <f t="shared" si="22"/>
        <v>Midfielder</v>
      </c>
    </row>
    <row r="1412" spans="1:43" x14ac:dyDescent="0.35">
      <c r="A1412" t="s">
        <v>830</v>
      </c>
      <c r="B1412" t="s">
        <v>39</v>
      </c>
      <c r="C1412" t="s">
        <v>2278</v>
      </c>
      <c r="D1412">
        <v>1985</v>
      </c>
      <c r="E1412">
        <v>29</v>
      </c>
      <c r="F1412" t="s">
        <v>129</v>
      </c>
      <c r="G1412" t="s">
        <v>51</v>
      </c>
      <c r="H1412">
        <v>40000000</v>
      </c>
      <c r="I1412">
        <v>31500000</v>
      </c>
      <c r="J1412" t="s">
        <v>42</v>
      </c>
      <c r="K1412">
        <v>28</v>
      </c>
      <c r="L1412">
        <v>2410</v>
      </c>
      <c r="M1412">
        <v>8</v>
      </c>
      <c r="N1412">
        <v>1144</v>
      </c>
      <c r="O1412">
        <v>6</v>
      </c>
      <c r="P1412">
        <v>4</v>
      </c>
      <c r="Q1412">
        <v>0</v>
      </c>
      <c r="R1412">
        <v>1</v>
      </c>
      <c r="S1412">
        <v>4</v>
      </c>
      <c r="T1412">
        <v>72</v>
      </c>
      <c r="U1412">
        <v>25</v>
      </c>
      <c r="V1412">
        <v>0</v>
      </c>
      <c r="W1412">
        <v>7</v>
      </c>
      <c r="X1412">
        <v>0</v>
      </c>
      <c r="Y1412">
        <v>1</v>
      </c>
      <c r="Z1412">
        <v>0</v>
      </c>
      <c r="AA1412">
        <v>15</v>
      </c>
      <c r="AB1412">
        <v>4</v>
      </c>
      <c r="AC1412">
        <v>3</v>
      </c>
      <c r="AD1412">
        <v>5</v>
      </c>
      <c r="AE1412">
        <v>51</v>
      </c>
      <c r="AF1412">
        <v>7</v>
      </c>
      <c r="AG1412">
        <v>9</v>
      </c>
      <c r="AH1412">
        <v>28</v>
      </c>
      <c r="AI1412">
        <v>0</v>
      </c>
      <c r="AJ1412">
        <v>29</v>
      </c>
      <c r="AK1412">
        <v>0</v>
      </c>
      <c r="AL1412">
        <v>0</v>
      </c>
      <c r="AM1412">
        <v>15</v>
      </c>
      <c r="AN1412">
        <v>25</v>
      </c>
      <c r="AO1412">
        <v>57</v>
      </c>
      <c r="AQ1412" t="str">
        <f t="shared" si="22"/>
        <v>Forward</v>
      </c>
    </row>
    <row r="1413" spans="1:43" x14ac:dyDescent="0.35">
      <c r="A1413" t="s">
        <v>830</v>
      </c>
      <c r="B1413" t="s">
        <v>47</v>
      </c>
      <c r="C1413" t="s">
        <v>2279</v>
      </c>
      <c r="D1413">
        <v>1985</v>
      </c>
      <c r="E1413">
        <v>30</v>
      </c>
      <c r="F1413" t="s">
        <v>129</v>
      </c>
      <c r="G1413" t="s">
        <v>51</v>
      </c>
      <c r="H1413">
        <v>31500000</v>
      </c>
      <c r="I1413">
        <v>13500000</v>
      </c>
      <c r="J1413" t="s">
        <v>42</v>
      </c>
      <c r="K1413">
        <v>25</v>
      </c>
      <c r="L1413">
        <v>1539</v>
      </c>
      <c r="M1413">
        <v>5</v>
      </c>
      <c r="N1413">
        <v>779</v>
      </c>
      <c r="O1413">
        <v>5</v>
      </c>
      <c r="P1413">
        <v>8</v>
      </c>
      <c r="Q1413">
        <v>0</v>
      </c>
      <c r="R1413">
        <v>10</v>
      </c>
      <c r="S1413">
        <v>9</v>
      </c>
      <c r="T1413">
        <v>52</v>
      </c>
      <c r="U1413">
        <v>19</v>
      </c>
      <c r="V1413">
        <v>1</v>
      </c>
      <c r="W1413">
        <v>6</v>
      </c>
      <c r="X1413">
        <v>1</v>
      </c>
      <c r="Y1413">
        <v>1</v>
      </c>
      <c r="Z1413">
        <v>1</v>
      </c>
      <c r="AA1413">
        <v>7</v>
      </c>
      <c r="AB1413">
        <v>4</v>
      </c>
      <c r="AC1413">
        <v>6</v>
      </c>
      <c r="AD1413">
        <v>50</v>
      </c>
      <c r="AE1413">
        <v>97</v>
      </c>
      <c r="AF1413">
        <v>3</v>
      </c>
      <c r="AG1413">
        <v>17</v>
      </c>
      <c r="AH1413">
        <v>23</v>
      </c>
      <c r="AI1413">
        <v>0</v>
      </c>
      <c r="AJ1413">
        <v>21</v>
      </c>
      <c r="AK1413">
        <v>0</v>
      </c>
      <c r="AL1413">
        <v>0</v>
      </c>
      <c r="AM1413">
        <v>10</v>
      </c>
      <c r="AN1413">
        <v>12</v>
      </c>
      <c r="AO1413">
        <v>36</v>
      </c>
      <c r="AQ1413" t="str">
        <f t="shared" si="22"/>
        <v>Forward</v>
      </c>
    </row>
    <row r="1414" spans="1:43" x14ac:dyDescent="0.35">
      <c r="A1414" t="s">
        <v>830</v>
      </c>
      <c r="B1414" t="s">
        <v>43</v>
      </c>
      <c r="C1414" t="s">
        <v>2280</v>
      </c>
      <c r="D1414">
        <v>1985</v>
      </c>
      <c r="E1414">
        <v>32</v>
      </c>
      <c r="F1414" t="s">
        <v>54</v>
      </c>
      <c r="G1414" t="s">
        <v>51</v>
      </c>
      <c r="H1414">
        <v>13500000</v>
      </c>
      <c r="I1414">
        <v>9000000</v>
      </c>
      <c r="J1414" t="s">
        <v>42</v>
      </c>
      <c r="K1414">
        <v>31</v>
      </c>
      <c r="L1414">
        <v>2282</v>
      </c>
      <c r="M1414">
        <v>10</v>
      </c>
      <c r="N1414">
        <v>1162</v>
      </c>
      <c r="O1414">
        <v>2</v>
      </c>
      <c r="P1414">
        <v>5</v>
      </c>
      <c r="Q1414">
        <v>0</v>
      </c>
      <c r="R1414">
        <v>4</v>
      </c>
      <c r="S1414">
        <v>20</v>
      </c>
      <c r="T1414">
        <v>45</v>
      </c>
      <c r="U1414">
        <v>17</v>
      </c>
      <c r="V1414">
        <v>1</v>
      </c>
      <c r="W1414">
        <v>16</v>
      </c>
      <c r="X1414">
        <v>2</v>
      </c>
      <c r="Y1414">
        <v>3</v>
      </c>
      <c r="Z1414">
        <v>0</v>
      </c>
      <c r="AA1414">
        <v>8</v>
      </c>
      <c r="AB1414">
        <v>9</v>
      </c>
      <c r="AC1414">
        <v>28</v>
      </c>
      <c r="AD1414">
        <v>30</v>
      </c>
      <c r="AE1414">
        <v>62</v>
      </c>
      <c r="AF1414">
        <v>6</v>
      </c>
      <c r="AG1414">
        <v>16</v>
      </c>
      <c r="AH1414">
        <v>35</v>
      </c>
      <c r="AI1414">
        <v>0</v>
      </c>
      <c r="AJ1414">
        <v>28</v>
      </c>
      <c r="AK1414">
        <v>0</v>
      </c>
      <c r="AL1414">
        <v>0</v>
      </c>
      <c r="AM1414">
        <v>36</v>
      </c>
      <c r="AN1414">
        <v>25</v>
      </c>
      <c r="AO1414">
        <v>34</v>
      </c>
      <c r="AQ1414" t="str">
        <f t="shared" si="22"/>
        <v>Forward</v>
      </c>
    </row>
    <row r="1415" spans="1:43" x14ac:dyDescent="0.35">
      <c r="A1415" t="s">
        <v>831</v>
      </c>
      <c r="B1415" t="s">
        <v>43</v>
      </c>
      <c r="C1415" t="s">
        <v>2281</v>
      </c>
      <c r="D1415">
        <v>1985</v>
      </c>
      <c r="E1415">
        <v>32</v>
      </c>
      <c r="F1415" t="s">
        <v>40</v>
      </c>
      <c r="G1415" t="s">
        <v>51</v>
      </c>
      <c r="H1415">
        <v>2750000</v>
      </c>
      <c r="I1415">
        <v>1650000</v>
      </c>
      <c r="J1415" t="s">
        <v>55</v>
      </c>
      <c r="K1415">
        <v>15</v>
      </c>
      <c r="L1415">
        <v>423</v>
      </c>
      <c r="M1415">
        <v>0</v>
      </c>
      <c r="N1415">
        <v>160</v>
      </c>
      <c r="O1415">
        <v>0</v>
      </c>
      <c r="P1415">
        <v>1</v>
      </c>
      <c r="Q1415">
        <v>0</v>
      </c>
      <c r="R1415">
        <v>11</v>
      </c>
      <c r="S1415">
        <v>3</v>
      </c>
      <c r="T1415">
        <v>2</v>
      </c>
      <c r="U1415">
        <v>2</v>
      </c>
      <c r="V1415">
        <v>0</v>
      </c>
      <c r="W1415">
        <v>1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3</v>
      </c>
      <c r="AE1415">
        <v>15</v>
      </c>
      <c r="AF1415">
        <v>0</v>
      </c>
      <c r="AG1415">
        <v>2</v>
      </c>
      <c r="AH1415">
        <v>9</v>
      </c>
      <c r="AI1415">
        <v>0</v>
      </c>
      <c r="AJ1415">
        <v>10</v>
      </c>
      <c r="AK1415">
        <v>0</v>
      </c>
      <c r="AL1415">
        <v>0</v>
      </c>
      <c r="AM1415">
        <v>4</v>
      </c>
      <c r="AN1415">
        <v>5</v>
      </c>
      <c r="AO1415">
        <v>9</v>
      </c>
      <c r="AQ1415" t="str">
        <f t="shared" si="22"/>
        <v>Midfielder</v>
      </c>
    </row>
    <row r="1416" spans="1:43" x14ac:dyDescent="0.35">
      <c r="A1416" t="s">
        <v>831</v>
      </c>
      <c r="B1416" t="s">
        <v>39</v>
      </c>
      <c r="C1416" t="s">
        <v>2282</v>
      </c>
      <c r="D1416">
        <v>1985</v>
      </c>
      <c r="E1416">
        <v>30</v>
      </c>
      <c r="F1416" t="s">
        <v>40</v>
      </c>
      <c r="G1416" t="s">
        <v>51</v>
      </c>
      <c r="H1416">
        <v>3300000</v>
      </c>
      <c r="I1416">
        <v>3300000</v>
      </c>
      <c r="J1416" t="s">
        <v>55</v>
      </c>
      <c r="K1416">
        <v>28</v>
      </c>
      <c r="L1416">
        <v>1680</v>
      </c>
      <c r="M1416">
        <v>2</v>
      </c>
      <c r="N1416">
        <v>651</v>
      </c>
      <c r="O1416">
        <v>1</v>
      </c>
      <c r="P1416">
        <v>3</v>
      </c>
      <c r="Q1416">
        <v>0</v>
      </c>
      <c r="R1416">
        <v>6</v>
      </c>
      <c r="S1416">
        <v>17</v>
      </c>
      <c r="T1416">
        <v>18</v>
      </c>
      <c r="U1416">
        <v>9</v>
      </c>
      <c r="V1416">
        <v>0</v>
      </c>
      <c r="W1416">
        <v>3</v>
      </c>
      <c r="X1416">
        <v>0</v>
      </c>
      <c r="Y1416">
        <v>0</v>
      </c>
      <c r="Z1416">
        <v>0</v>
      </c>
      <c r="AA1416">
        <v>7</v>
      </c>
      <c r="AB1416">
        <v>3</v>
      </c>
      <c r="AC1416">
        <v>2</v>
      </c>
      <c r="AD1416">
        <v>5</v>
      </c>
      <c r="AE1416">
        <v>67</v>
      </c>
      <c r="AF1416">
        <v>1</v>
      </c>
      <c r="AG1416">
        <v>12</v>
      </c>
      <c r="AH1416">
        <v>30</v>
      </c>
      <c r="AI1416">
        <v>0</v>
      </c>
      <c r="AJ1416">
        <v>23</v>
      </c>
      <c r="AK1416">
        <v>0</v>
      </c>
      <c r="AL1416">
        <v>0</v>
      </c>
      <c r="AM1416">
        <v>9</v>
      </c>
      <c r="AN1416">
        <v>5</v>
      </c>
      <c r="AO1416">
        <v>34</v>
      </c>
      <c r="AQ1416" t="str">
        <f t="shared" si="22"/>
        <v>Midfielder</v>
      </c>
    </row>
    <row r="1417" spans="1:43" x14ac:dyDescent="0.35">
      <c r="A1417" t="s">
        <v>831</v>
      </c>
      <c r="B1417" t="s">
        <v>47</v>
      </c>
      <c r="C1417" t="s">
        <v>2283</v>
      </c>
      <c r="D1417">
        <v>1985</v>
      </c>
      <c r="E1417">
        <v>31</v>
      </c>
      <c r="F1417" t="s">
        <v>40</v>
      </c>
      <c r="G1417" t="s">
        <v>51</v>
      </c>
      <c r="H1417">
        <v>3300000</v>
      </c>
      <c r="I1417">
        <v>2750000</v>
      </c>
      <c r="J1417" t="s">
        <v>55</v>
      </c>
      <c r="K1417">
        <v>27</v>
      </c>
      <c r="L1417">
        <v>1927</v>
      </c>
      <c r="M1417">
        <v>3</v>
      </c>
      <c r="N1417">
        <v>561</v>
      </c>
      <c r="O1417">
        <v>1</v>
      </c>
      <c r="P1417">
        <v>1</v>
      </c>
      <c r="Q1417">
        <v>0</v>
      </c>
      <c r="R1417">
        <v>3</v>
      </c>
      <c r="S1417">
        <v>17</v>
      </c>
      <c r="T1417">
        <v>19</v>
      </c>
      <c r="U1417">
        <v>9</v>
      </c>
      <c r="V1417">
        <v>0</v>
      </c>
      <c r="W1417">
        <v>8</v>
      </c>
      <c r="X1417">
        <v>1</v>
      </c>
      <c r="Y1417">
        <v>0</v>
      </c>
      <c r="Z1417">
        <v>0</v>
      </c>
      <c r="AA1417">
        <v>9</v>
      </c>
      <c r="AB1417">
        <v>0</v>
      </c>
      <c r="AC1417">
        <v>4</v>
      </c>
      <c r="AD1417">
        <v>3</v>
      </c>
      <c r="AE1417">
        <v>82</v>
      </c>
      <c r="AF1417">
        <v>0</v>
      </c>
      <c r="AG1417">
        <v>15</v>
      </c>
      <c r="AH1417">
        <v>28</v>
      </c>
      <c r="AI1417">
        <v>0</v>
      </c>
      <c r="AJ1417">
        <v>22</v>
      </c>
      <c r="AK1417">
        <v>1</v>
      </c>
      <c r="AL1417">
        <v>0</v>
      </c>
      <c r="AM1417">
        <v>19</v>
      </c>
      <c r="AN1417">
        <v>12</v>
      </c>
      <c r="AO1417">
        <v>43</v>
      </c>
      <c r="AQ1417" t="str">
        <f t="shared" si="22"/>
        <v>Midfielder</v>
      </c>
    </row>
    <row r="1418" spans="1:43" x14ac:dyDescent="0.35">
      <c r="A1418" t="s">
        <v>832</v>
      </c>
      <c r="B1418" t="s">
        <v>39</v>
      </c>
      <c r="C1418" t="s">
        <v>2284</v>
      </c>
      <c r="D1418">
        <v>1982</v>
      </c>
      <c r="E1418">
        <v>33</v>
      </c>
      <c r="F1418" t="s">
        <v>123</v>
      </c>
      <c r="G1418" t="s">
        <v>260</v>
      </c>
      <c r="H1418">
        <v>900000</v>
      </c>
      <c r="I1418">
        <v>1800000</v>
      </c>
      <c r="J1418" t="s">
        <v>55</v>
      </c>
      <c r="K1418">
        <v>30</v>
      </c>
      <c r="L1418">
        <v>2005</v>
      </c>
      <c r="M1418">
        <v>4</v>
      </c>
      <c r="N1418">
        <v>1113</v>
      </c>
      <c r="O1418">
        <v>8</v>
      </c>
      <c r="P1418">
        <v>1</v>
      </c>
      <c r="Q1418">
        <v>0</v>
      </c>
      <c r="R1418">
        <v>5</v>
      </c>
      <c r="S1418">
        <v>20</v>
      </c>
      <c r="T1418">
        <v>26</v>
      </c>
      <c r="U1418">
        <v>8</v>
      </c>
      <c r="V1418">
        <v>0</v>
      </c>
      <c r="W1418">
        <v>0</v>
      </c>
      <c r="X1418">
        <v>0</v>
      </c>
      <c r="Y1418">
        <v>1</v>
      </c>
      <c r="Z1418">
        <v>0</v>
      </c>
      <c r="AA1418">
        <v>5</v>
      </c>
      <c r="AB1418">
        <v>6</v>
      </c>
      <c r="AC1418">
        <v>2</v>
      </c>
      <c r="AD1418">
        <v>10</v>
      </c>
      <c r="AE1418">
        <v>54</v>
      </c>
      <c r="AF1418">
        <v>0</v>
      </c>
      <c r="AG1418">
        <v>15</v>
      </c>
      <c r="AH1418">
        <v>19</v>
      </c>
      <c r="AI1418">
        <v>0</v>
      </c>
      <c r="AJ1418">
        <v>27</v>
      </c>
      <c r="AK1418">
        <v>0</v>
      </c>
      <c r="AL1418">
        <v>0</v>
      </c>
      <c r="AM1418">
        <v>1</v>
      </c>
      <c r="AN1418">
        <v>3</v>
      </c>
      <c r="AO1418">
        <v>14</v>
      </c>
      <c r="AQ1418" t="str">
        <f t="shared" si="22"/>
        <v>Midfielder</v>
      </c>
    </row>
    <row r="1419" spans="1:43" x14ac:dyDescent="0.35">
      <c r="A1419" t="s">
        <v>833</v>
      </c>
      <c r="B1419" t="s">
        <v>46</v>
      </c>
      <c r="C1419" t="s">
        <v>2285</v>
      </c>
      <c r="D1419">
        <v>1984</v>
      </c>
      <c r="E1419">
        <v>34</v>
      </c>
      <c r="F1419" t="s">
        <v>99</v>
      </c>
      <c r="G1419" t="s">
        <v>97</v>
      </c>
      <c r="H1419">
        <v>2700000</v>
      </c>
      <c r="I1419">
        <v>1800000</v>
      </c>
      <c r="J1419" t="s">
        <v>52</v>
      </c>
      <c r="K1419">
        <v>22</v>
      </c>
      <c r="L1419">
        <v>1926</v>
      </c>
      <c r="M1419">
        <v>3</v>
      </c>
      <c r="N1419">
        <v>892</v>
      </c>
      <c r="O1419">
        <v>0</v>
      </c>
      <c r="P1419">
        <v>1</v>
      </c>
      <c r="Q1419">
        <v>2</v>
      </c>
      <c r="R1419">
        <v>1</v>
      </c>
      <c r="S1419">
        <v>0</v>
      </c>
      <c r="T1419">
        <v>14</v>
      </c>
      <c r="U1419">
        <v>5</v>
      </c>
      <c r="V1419">
        <v>0</v>
      </c>
      <c r="W1419">
        <v>67</v>
      </c>
      <c r="X1419">
        <v>2</v>
      </c>
      <c r="Y1419">
        <v>0</v>
      </c>
      <c r="Z1419">
        <v>0</v>
      </c>
      <c r="AA1419">
        <v>3</v>
      </c>
      <c r="AB1419">
        <v>0</v>
      </c>
      <c r="AC1419">
        <v>9</v>
      </c>
      <c r="AD1419">
        <v>0</v>
      </c>
      <c r="AE1419">
        <v>0</v>
      </c>
      <c r="AF1419">
        <v>10</v>
      </c>
      <c r="AG1419">
        <v>32</v>
      </c>
      <c r="AH1419">
        <v>18</v>
      </c>
      <c r="AI1419">
        <v>0</v>
      </c>
      <c r="AJ1419">
        <v>27</v>
      </c>
      <c r="AK1419">
        <v>0</v>
      </c>
      <c r="AL1419">
        <v>0</v>
      </c>
      <c r="AM1419">
        <v>104</v>
      </c>
      <c r="AN1419">
        <v>91</v>
      </c>
      <c r="AO1419">
        <v>43</v>
      </c>
      <c r="AQ1419" t="str">
        <f t="shared" si="22"/>
        <v>Defensive Forward</v>
      </c>
    </row>
    <row r="1420" spans="1:43" x14ac:dyDescent="0.35">
      <c r="A1420" t="s">
        <v>833</v>
      </c>
      <c r="B1420" t="s">
        <v>43</v>
      </c>
      <c r="C1420" t="s">
        <v>2286</v>
      </c>
      <c r="D1420">
        <v>1984</v>
      </c>
      <c r="E1420">
        <v>33</v>
      </c>
      <c r="F1420" t="s">
        <v>99</v>
      </c>
      <c r="G1420" t="s">
        <v>97</v>
      </c>
      <c r="H1420">
        <v>2700000</v>
      </c>
      <c r="I1420">
        <v>2700000</v>
      </c>
      <c r="J1420" t="s">
        <v>52</v>
      </c>
      <c r="K1420">
        <v>32</v>
      </c>
      <c r="L1420">
        <v>2818</v>
      </c>
      <c r="M1420">
        <v>0</v>
      </c>
      <c r="N1420">
        <v>913</v>
      </c>
      <c r="O1420">
        <v>0</v>
      </c>
      <c r="P1420">
        <v>4</v>
      </c>
      <c r="Q1420">
        <v>0</v>
      </c>
      <c r="R1420">
        <v>0</v>
      </c>
      <c r="S1420">
        <v>1</v>
      </c>
      <c r="T1420">
        <v>13</v>
      </c>
      <c r="U1420">
        <v>3</v>
      </c>
      <c r="V1420">
        <v>0</v>
      </c>
      <c r="W1420">
        <v>79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10</v>
      </c>
      <c r="AD1420">
        <v>0</v>
      </c>
      <c r="AE1420">
        <v>0</v>
      </c>
      <c r="AF1420">
        <v>27</v>
      </c>
      <c r="AG1420">
        <v>31</v>
      </c>
      <c r="AH1420">
        <v>31</v>
      </c>
      <c r="AI1420">
        <v>0</v>
      </c>
      <c r="AJ1420">
        <v>35</v>
      </c>
      <c r="AK1420">
        <v>0</v>
      </c>
      <c r="AL1420">
        <v>0</v>
      </c>
      <c r="AM1420">
        <v>143</v>
      </c>
      <c r="AN1420">
        <v>93</v>
      </c>
      <c r="AO1420">
        <v>58</v>
      </c>
      <c r="AQ1420" t="str">
        <f t="shared" si="22"/>
        <v>Defensive Forward</v>
      </c>
    </row>
    <row r="1421" spans="1:43" x14ac:dyDescent="0.35">
      <c r="A1421" t="s">
        <v>833</v>
      </c>
      <c r="B1421" t="s">
        <v>39</v>
      </c>
      <c r="C1421" t="s">
        <v>2287</v>
      </c>
      <c r="D1421">
        <v>1984</v>
      </c>
      <c r="E1421">
        <v>31</v>
      </c>
      <c r="F1421" t="s">
        <v>99</v>
      </c>
      <c r="G1421" t="s">
        <v>97</v>
      </c>
      <c r="H1421">
        <v>1350000</v>
      </c>
      <c r="I1421">
        <v>3150000</v>
      </c>
      <c r="J1421" t="s">
        <v>52</v>
      </c>
      <c r="K1421">
        <v>38</v>
      </c>
      <c r="L1421">
        <v>3420</v>
      </c>
      <c r="M1421">
        <v>2</v>
      </c>
      <c r="N1421">
        <v>818</v>
      </c>
      <c r="O1421">
        <v>0</v>
      </c>
      <c r="P1421">
        <v>3</v>
      </c>
      <c r="Q1421">
        <v>0</v>
      </c>
      <c r="R1421">
        <v>0</v>
      </c>
      <c r="S1421">
        <v>0</v>
      </c>
      <c r="T1421">
        <v>21</v>
      </c>
      <c r="U1421">
        <v>6</v>
      </c>
      <c r="V1421">
        <v>0</v>
      </c>
      <c r="W1421">
        <v>123</v>
      </c>
      <c r="X1421">
        <v>2</v>
      </c>
      <c r="Y1421">
        <v>0</v>
      </c>
      <c r="Z1421">
        <v>0</v>
      </c>
      <c r="AA1421">
        <v>0</v>
      </c>
      <c r="AB1421">
        <v>2</v>
      </c>
      <c r="AC1421">
        <v>5</v>
      </c>
      <c r="AD1421">
        <v>0</v>
      </c>
      <c r="AE1421">
        <v>0</v>
      </c>
      <c r="AF1421">
        <v>40</v>
      </c>
      <c r="AG1421">
        <v>95</v>
      </c>
      <c r="AH1421">
        <v>27</v>
      </c>
      <c r="AI1421">
        <v>0</v>
      </c>
      <c r="AJ1421">
        <v>51</v>
      </c>
      <c r="AK1421">
        <v>1</v>
      </c>
      <c r="AL1421">
        <v>0</v>
      </c>
      <c r="AM1421">
        <v>216</v>
      </c>
      <c r="AN1421">
        <v>93</v>
      </c>
      <c r="AO1421">
        <v>64</v>
      </c>
      <c r="AQ1421" t="str">
        <f t="shared" si="22"/>
        <v>Defensive Forward</v>
      </c>
    </row>
    <row r="1422" spans="1:43" x14ac:dyDescent="0.35">
      <c r="A1422" t="s">
        <v>833</v>
      </c>
      <c r="B1422" t="s">
        <v>47</v>
      </c>
      <c r="C1422" t="s">
        <v>2288</v>
      </c>
      <c r="D1422">
        <v>1984</v>
      </c>
      <c r="E1422">
        <v>32</v>
      </c>
      <c r="F1422" t="s">
        <v>99</v>
      </c>
      <c r="G1422" t="s">
        <v>97</v>
      </c>
      <c r="H1422">
        <v>3150000</v>
      </c>
      <c r="I1422">
        <v>2700000</v>
      </c>
      <c r="J1422" t="s">
        <v>52</v>
      </c>
      <c r="K1422">
        <v>27</v>
      </c>
      <c r="L1422">
        <v>2430</v>
      </c>
      <c r="M1422">
        <v>0</v>
      </c>
      <c r="N1422">
        <v>653</v>
      </c>
      <c r="O1422">
        <v>0</v>
      </c>
      <c r="P1422">
        <v>3</v>
      </c>
      <c r="Q1422">
        <v>0</v>
      </c>
      <c r="R1422">
        <v>0</v>
      </c>
      <c r="S1422">
        <v>0</v>
      </c>
      <c r="T1422">
        <v>14</v>
      </c>
      <c r="U1422">
        <v>3</v>
      </c>
      <c r="V1422">
        <v>0</v>
      </c>
      <c r="W1422">
        <v>84</v>
      </c>
      <c r="X1422">
        <v>0</v>
      </c>
      <c r="Y1422">
        <v>0</v>
      </c>
      <c r="Z1422">
        <v>0</v>
      </c>
      <c r="AA1422">
        <v>1</v>
      </c>
      <c r="AB1422">
        <v>0</v>
      </c>
      <c r="AC1422">
        <v>2</v>
      </c>
      <c r="AD1422">
        <v>0</v>
      </c>
      <c r="AE1422">
        <v>0</v>
      </c>
      <c r="AF1422">
        <v>25</v>
      </c>
      <c r="AG1422">
        <v>52</v>
      </c>
      <c r="AH1422">
        <v>20</v>
      </c>
      <c r="AI1422">
        <v>0</v>
      </c>
      <c r="AJ1422">
        <v>27</v>
      </c>
      <c r="AK1422">
        <v>0</v>
      </c>
      <c r="AL1422">
        <v>0</v>
      </c>
      <c r="AM1422">
        <v>141</v>
      </c>
      <c r="AN1422">
        <v>65</v>
      </c>
      <c r="AO1422">
        <v>45</v>
      </c>
      <c r="AQ1422" t="str">
        <f t="shared" si="22"/>
        <v>Defensive Forward</v>
      </c>
    </row>
    <row r="1423" spans="1:43" x14ac:dyDescent="0.35">
      <c r="A1423" t="s">
        <v>834</v>
      </c>
      <c r="B1423" t="s">
        <v>46</v>
      </c>
      <c r="C1423" t="s">
        <v>2289</v>
      </c>
      <c r="D1423">
        <v>1994</v>
      </c>
      <c r="E1423">
        <v>24</v>
      </c>
      <c r="F1423" t="s">
        <v>220</v>
      </c>
      <c r="G1423" t="s">
        <v>216</v>
      </c>
      <c r="H1423">
        <v>13500000</v>
      </c>
      <c r="I1423">
        <v>10800000</v>
      </c>
      <c r="J1423" t="s">
        <v>52</v>
      </c>
      <c r="K1423">
        <v>13</v>
      </c>
      <c r="L1423">
        <v>1170</v>
      </c>
      <c r="M1423">
        <v>0</v>
      </c>
      <c r="N1423">
        <v>621</v>
      </c>
      <c r="O1423">
        <v>0</v>
      </c>
      <c r="P1423">
        <v>2</v>
      </c>
      <c r="Q1423">
        <v>0</v>
      </c>
      <c r="R1423">
        <v>0</v>
      </c>
      <c r="S1423">
        <v>0</v>
      </c>
      <c r="T1423">
        <v>6</v>
      </c>
      <c r="U1423">
        <v>1</v>
      </c>
      <c r="V1423">
        <v>0</v>
      </c>
      <c r="W1423">
        <v>37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5</v>
      </c>
      <c r="AD1423">
        <v>0</v>
      </c>
      <c r="AE1423">
        <v>2</v>
      </c>
      <c r="AF1423">
        <v>13</v>
      </c>
      <c r="AG1423">
        <v>23</v>
      </c>
      <c r="AH1423">
        <v>15</v>
      </c>
      <c r="AI1423">
        <v>2</v>
      </c>
      <c r="AJ1423">
        <v>28</v>
      </c>
      <c r="AK1423">
        <v>0</v>
      </c>
      <c r="AL1423">
        <v>2</v>
      </c>
      <c r="AM1423">
        <v>76</v>
      </c>
      <c r="AN1423">
        <v>33</v>
      </c>
      <c r="AO1423">
        <v>24</v>
      </c>
      <c r="AQ1423" t="str">
        <f t="shared" si="22"/>
        <v>Defensive Forward</v>
      </c>
    </row>
    <row r="1424" spans="1:43" x14ac:dyDescent="0.35">
      <c r="A1424" t="s">
        <v>834</v>
      </c>
      <c r="B1424" t="s">
        <v>43</v>
      </c>
      <c r="C1424" t="s">
        <v>2290</v>
      </c>
      <c r="D1424">
        <v>1994</v>
      </c>
      <c r="E1424">
        <v>23</v>
      </c>
      <c r="F1424" t="s">
        <v>220</v>
      </c>
      <c r="G1424" t="s">
        <v>216</v>
      </c>
      <c r="H1424">
        <v>6750000</v>
      </c>
      <c r="I1424">
        <v>13500000</v>
      </c>
      <c r="J1424" t="s">
        <v>52</v>
      </c>
      <c r="K1424">
        <v>28</v>
      </c>
      <c r="L1424">
        <v>2520</v>
      </c>
      <c r="M1424">
        <v>0</v>
      </c>
      <c r="N1424">
        <v>1323</v>
      </c>
      <c r="O1424">
        <v>1</v>
      </c>
      <c r="P1424">
        <v>7</v>
      </c>
      <c r="Q1424">
        <v>0</v>
      </c>
      <c r="R1424">
        <v>0</v>
      </c>
      <c r="S1424">
        <v>0</v>
      </c>
      <c r="T1424">
        <v>15</v>
      </c>
      <c r="U1424">
        <v>2</v>
      </c>
      <c r="V1424">
        <v>2</v>
      </c>
      <c r="W1424">
        <v>82</v>
      </c>
      <c r="X1424">
        <v>0</v>
      </c>
      <c r="Y1424">
        <v>0</v>
      </c>
      <c r="Z1424">
        <v>0</v>
      </c>
      <c r="AA1424">
        <v>0</v>
      </c>
      <c r="AB1424">
        <v>1</v>
      </c>
      <c r="AC1424">
        <v>13</v>
      </c>
      <c r="AD1424">
        <v>0</v>
      </c>
      <c r="AE1424">
        <v>6</v>
      </c>
      <c r="AF1424">
        <v>17</v>
      </c>
      <c r="AG1424">
        <v>40</v>
      </c>
      <c r="AH1424">
        <v>22</v>
      </c>
      <c r="AI1424">
        <v>1</v>
      </c>
      <c r="AJ1424">
        <v>60</v>
      </c>
      <c r="AK1424">
        <v>2</v>
      </c>
      <c r="AL1424">
        <v>0</v>
      </c>
      <c r="AM1424">
        <v>172</v>
      </c>
      <c r="AN1424">
        <v>61</v>
      </c>
      <c r="AO1424">
        <v>53</v>
      </c>
      <c r="AQ1424" t="str">
        <f t="shared" si="22"/>
        <v>Defensive Forward</v>
      </c>
    </row>
    <row r="1425" spans="1:43" x14ac:dyDescent="0.35">
      <c r="A1425" t="s">
        <v>835</v>
      </c>
      <c r="B1425" t="s">
        <v>43</v>
      </c>
      <c r="C1425" t="s">
        <v>2291</v>
      </c>
      <c r="D1425">
        <v>1996</v>
      </c>
      <c r="E1425">
        <v>20</v>
      </c>
      <c r="F1425" t="s">
        <v>99</v>
      </c>
      <c r="G1425" t="s">
        <v>105</v>
      </c>
      <c r="H1425">
        <v>12600000</v>
      </c>
      <c r="I1425">
        <v>22500000</v>
      </c>
      <c r="J1425" t="s">
        <v>52</v>
      </c>
      <c r="K1425">
        <v>33</v>
      </c>
      <c r="L1425">
        <v>2899</v>
      </c>
      <c r="M1425">
        <v>0</v>
      </c>
      <c r="N1425">
        <v>1684</v>
      </c>
      <c r="O1425">
        <v>3</v>
      </c>
      <c r="P1425">
        <v>6</v>
      </c>
      <c r="Q1425">
        <v>2</v>
      </c>
      <c r="R1425">
        <v>0</v>
      </c>
      <c r="S1425">
        <v>1</v>
      </c>
      <c r="T1425">
        <v>41</v>
      </c>
      <c r="U1425">
        <v>6</v>
      </c>
      <c r="V1425">
        <v>2</v>
      </c>
      <c r="W1425">
        <v>47</v>
      </c>
      <c r="X1425">
        <v>0</v>
      </c>
      <c r="Y1425">
        <v>0</v>
      </c>
      <c r="Z1425">
        <v>0</v>
      </c>
      <c r="AA1425">
        <v>0</v>
      </c>
      <c r="AB1425">
        <v>7</v>
      </c>
      <c r="AC1425">
        <v>35</v>
      </c>
      <c r="AD1425">
        <v>0</v>
      </c>
      <c r="AE1425">
        <v>9</v>
      </c>
      <c r="AF1425">
        <v>10</v>
      </c>
      <c r="AG1425">
        <v>50</v>
      </c>
      <c r="AH1425">
        <v>60</v>
      </c>
      <c r="AI1425">
        <v>0</v>
      </c>
      <c r="AJ1425">
        <v>138</v>
      </c>
      <c r="AK1425">
        <v>0</v>
      </c>
      <c r="AL1425">
        <v>0</v>
      </c>
      <c r="AM1425">
        <v>95</v>
      </c>
      <c r="AN1425">
        <v>117</v>
      </c>
      <c r="AO1425">
        <v>75</v>
      </c>
      <c r="AQ1425" t="str">
        <f t="shared" si="22"/>
        <v>Defensive Forward</v>
      </c>
    </row>
    <row r="1426" spans="1:43" x14ac:dyDescent="0.35">
      <c r="A1426" t="s">
        <v>835</v>
      </c>
      <c r="B1426" t="s">
        <v>46</v>
      </c>
      <c r="C1426" t="s">
        <v>2292</v>
      </c>
      <c r="D1426">
        <v>1996</v>
      </c>
      <c r="E1426">
        <v>21</v>
      </c>
      <c r="F1426" t="s">
        <v>99</v>
      </c>
      <c r="G1426" t="s">
        <v>105</v>
      </c>
      <c r="H1426">
        <v>22500000</v>
      </c>
      <c r="I1426">
        <v>31500000</v>
      </c>
      <c r="J1426" t="s">
        <v>52</v>
      </c>
      <c r="K1426">
        <v>38</v>
      </c>
      <c r="L1426">
        <v>3298</v>
      </c>
      <c r="M1426">
        <v>2</v>
      </c>
      <c r="N1426">
        <v>1984</v>
      </c>
      <c r="O1426">
        <v>0</v>
      </c>
      <c r="P1426">
        <v>8</v>
      </c>
      <c r="Q1426">
        <v>0</v>
      </c>
      <c r="R1426">
        <v>1</v>
      </c>
      <c r="S1426">
        <v>4</v>
      </c>
      <c r="T1426">
        <v>55</v>
      </c>
      <c r="U1426">
        <v>9</v>
      </c>
      <c r="V1426">
        <v>2</v>
      </c>
      <c r="W1426">
        <v>41</v>
      </c>
      <c r="X1426">
        <v>0</v>
      </c>
      <c r="Y1426">
        <v>0</v>
      </c>
      <c r="Z1426">
        <v>0</v>
      </c>
      <c r="AA1426">
        <v>2</v>
      </c>
      <c r="AB1426">
        <v>6</v>
      </c>
      <c r="AC1426">
        <v>46</v>
      </c>
      <c r="AD1426">
        <v>0</v>
      </c>
      <c r="AE1426">
        <v>12</v>
      </c>
      <c r="AF1426">
        <v>9</v>
      </c>
      <c r="AG1426">
        <v>83</v>
      </c>
      <c r="AH1426">
        <v>46</v>
      </c>
      <c r="AI1426">
        <v>0</v>
      </c>
      <c r="AJ1426">
        <v>143</v>
      </c>
      <c r="AK1426">
        <v>0</v>
      </c>
      <c r="AL1426">
        <v>0</v>
      </c>
      <c r="AM1426">
        <v>80</v>
      </c>
      <c r="AN1426">
        <v>131</v>
      </c>
      <c r="AO1426">
        <v>106</v>
      </c>
      <c r="AQ1426" t="str">
        <f t="shared" si="22"/>
        <v>Defensive Forward</v>
      </c>
    </row>
    <row r="1427" spans="1:43" x14ac:dyDescent="0.35">
      <c r="A1427" t="s">
        <v>835</v>
      </c>
      <c r="B1427" t="s">
        <v>47</v>
      </c>
      <c r="C1427" t="s">
        <v>2293</v>
      </c>
      <c r="D1427">
        <v>1996</v>
      </c>
      <c r="E1427">
        <v>19</v>
      </c>
      <c r="F1427" t="s">
        <v>99</v>
      </c>
      <c r="G1427" t="s">
        <v>105</v>
      </c>
      <c r="H1427">
        <v>5400000</v>
      </c>
      <c r="I1427">
        <v>12600000</v>
      </c>
      <c r="J1427" t="s">
        <v>52</v>
      </c>
      <c r="K1427">
        <v>17</v>
      </c>
      <c r="L1427">
        <v>1522</v>
      </c>
      <c r="M1427">
        <v>2</v>
      </c>
      <c r="N1427">
        <v>689</v>
      </c>
      <c r="O1427">
        <v>1</v>
      </c>
      <c r="P1427">
        <v>0</v>
      </c>
      <c r="Q1427">
        <v>0</v>
      </c>
      <c r="R1427">
        <v>0</v>
      </c>
      <c r="S1427">
        <v>1</v>
      </c>
      <c r="T1427">
        <v>31</v>
      </c>
      <c r="U1427">
        <v>6</v>
      </c>
      <c r="V1427">
        <v>0</v>
      </c>
      <c r="W1427">
        <v>29</v>
      </c>
      <c r="X1427">
        <v>0</v>
      </c>
      <c r="Y1427">
        <v>0</v>
      </c>
      <c r="Z1427">
        <v>0</v>
      </c>
      <c r="AA1427">
        <v>1</v>
      </c>
      <c r="AB1427">
        <v>0</v>
      </c>
      <c r="AC1427">
        <v>1</v>
      </c>
      <c r="AD1427">
        <v>0</v>
      </c>
      <c r="AE1427">
        <v>3</v>
      </c>
      <c r="AF1427">
        <v>5</v>
      </c>
      <c r="AG1427">
        <v>36</v>
      </c>
      <c r="AH1427">
        <v>27</v>
      </c>
      <c r="AI1427">
        <v>0</v>
      </c>
      <c r="AJ1427">
        <v>68</v>
      </c>
      <c r="AK1427">
        <v>0</v>
      </c>
      <c r="AL1427">
        <v>0</v>
      </c>
      <c r="AM1427">
        <v>55</v>
      </c>
      <c r="AN1427">
        <v>59</v>
      </c>
      <c r="AO1427">
        <v>77</v>
      </c>
      <c r="AQ1427" t="str">
        <f t="shared" si="22"/>
        <v>Defensive Forward</v>
      </c>
    </row>
    <row r="1428" spans="1:43" x14ac:dyDescent="0.35">
      <c r="A1428" t="s">
        <v>836</v>
      </c>
      <c r="B1428" t="s">
        <v>39</v>
      </c>
      <c r="C1428" t="s">
        <v>2294</v>
      </c>
      <c r="D1428">
        <v>1988</v>
      </c>
      <c r="E1428">
        <v>26</v>
      </c>
      <c r="F1428" t="s">
        <v>114</v>
      </c>
      <c r="G1428" t="s">
        <v>172</v>
      </c>
      <c r="H1428">
        <v>22500000</v>
      </c>
      <c r="I1428">
        <v>19800000</v>
      </c>
      <c r="J1428" t="s">
        <v>42</v>
      </c>
      <c r="K1428">
        <v>26</v>
      </c>
      <c r="L1428">
        <v>1223</v>
      </c>
      <c r="M1428">
        <v>4</v>
      </c>
      <c r="N1428">
        <v>408</v>
      </c>
      <c r="O1428">
        <v>3</v>
      </c>
      <c r="P1428">
        <v>1</v>
      </c>
      <c r="Q1428">
        <v>0</v>
      </c>
      <c r="R1428">
        <v>13</v>
      </c>
      <c r="S1428">
        <v>9</v>
      </c>
      <c r="T1428">
        <v>60</v>
      </c>
      <c r="U1428">
        <v>17</v>
      </c>
      <c r="V1428">
        <v>1</v>
      </c>
      <c r="W1428">
        <v>6</v>
      </c>
      <c r="X1428">
        <v>2</v>
      </c>
      <c r="Y1428">
        <v>0</v>
      </c>
      <c r="Z1428">
        <v>0</v>
      </c>
      <c r="AA1428">
        <v>7</v>
      </c>
      <c r="AB1428">
        <v>6</v>
      </c>
      <c r="AC1428">
        <v>4</v>
      </c>
      <c r="AD1428">
        <v>0</v>
      </c>
      <c r="AE1428">
        <v>1</v>
      </c>
      <c r="AF1428">
        <v>1</v>
      </c>
      <c r="AG1428">
        <v>2</v>
      </c>
      <c r="AH1428">
        <v>17</v>
      </c>
      <c r="AI1428">
        <v>0</v>
      </c>
      <c r="AJ1428">
        <v>9</v>
      </c>
      <c r="AK1428">
        <v>0</v>
      </c>
      <c r="AL1428">
        <v>0</v>
      </c>
      <c r="AM1428">
        <v>8</v>
      </c>
      <c r="AN1428">
        <v>48</v>
      </c>
      <c r="AO1428">
        <v>46</v>
      </c>
      <c r="AQ1428" t="str">
        <f t="shared" si="22"/>
        <v>Forward</v>
      </c>
    </row>
    <row r="1429" spans="1:43" x14ac:dyDescent="0.35">
      <c r="A1429" t="s">
        <v>836</v>
      </c>
      <c r="B1429" t="s">
        <v>47</v>
      </c>
      <c r="C1429" t="s">
        <v>2295</v>
      </c>
      <c r="D1429">
        <v>1988</v>
      </c>
      <c r="E1429">
        <v>27</v>
      </c>
      <c r="F1429" t="s">
        <v>184</v>
      </c>
      <c r="G1429" t="s">
        <v>172</v>
      </c>
      <c r="H1429">
        <v>19800000</v>
      </c>
      <c r="I1429">
        <v>16200000</v>
      </c>
      <c r="J1429" t="s">
        <v>42</v>
      </c>
      <c r="K1429">
        <v>10</v>
      </c>
      <c r="L1429">
        <v>690</v>
      </c>
      <c r="M1429">
        <v>2</v>
      </c>
      <c r="N1429">
        <v>212</v>
      </c>
      <c r="O1429">
        <v>0</v>
      </c>
      <c r="P1429">
        <v>1</v>
      </c>
      <c r="Q1429">
        <v>0</v>
      </c>
      <c r="R1429">
        <v>1</v>
      </c>
      <c r="S1429">
        <v>7</v>
      </c>
      <c r="T1429">
        <v>21</v>
      </c>
      <c r="U1429">
        <v>5</v>
      </c>
      <c r="V1429">
        <v>0</v>
      </c>
      <c r="W1429">
        <v>10</v>
      </c>
      <c r="X1429">
        <v>1</v>
      </c>
      <c r="Y1429">
        <v>0</v>
      </c>
      <c r="Z1429">
        <v>0</v>
      </c>
      <c r="AA1429">
        <v>2</v>
      </c>
      <c r="AB1429">
        <v>0</v>
      </c>
      <c r="AC1429">
        <v>1</v>
      </c>
      <c r="AD1429">
        <v>0</v>
      </c>
      <c r="AE1429">
        <v>1</v>
      </c>
      <c r="AF1429">
        <v>1</v>
      </c>
      <c r="AG1429">
        <v>3</v>
      </c>
      <c r="AH1429">
        <v>11</v>
      </c>
      <c r="AI1429">
        <v>0</v>
      </c>
      <c r="AJ1429">
        <v>5</v>
      </c>
      <c r="AK1429">
        <v>0</v>
      </c>
      <c r="AL1429">
        <v>0</v>
      </c>
      <c r="AM1429">
        <v>10</v>
      </c>
      <c r="AN1429">
        <v>24</v>
      </c>
      <c r="AO1429">
        <v>34</v>
      </c>
      <c r="AQ1429" t="str">
        <f t="shared" si="22"/>
        <v>Forward</v>
      </c>
    </row>
    <row r="1430" spans="1:43" x14ac:dyDescent="0.35">
      <c r="A1430" t="s">
        <v>836</v>
      </c>
      <c r="B1430" t="s">
        <v>43</v>
      </c>
      <c r="C1430" t="s">
        <v>2296</v>
      </c>
      <c r="D1430">
        <v>1988</v>
      </c>
      <c r="E1430">
        <v>29</v>
      </c>
      <c r="F1430" t="s">
        <v>40</v>
      </c>
      <c r="G1430" t="s">
        <v>172</v>
      </c>
      <c r="H1430">
        <v>16200000</v>
      </c>
      <c r="I1430">
        <v>9000000</v>
      </c>
      <c r="J1430" t="s">
        <v>42</v>
      </c>
      <c r="K1430">
        <v>15</v>
      </c>
      <c r="L1430">
        <v>704</v>
      </c>
      <c r="M1430">
        <v>2</v>
      </c>
      <c r="N1430">
        <v>208</v>
      </c>
      <c r="O1430">
        <v>0</v>
      </c>
      <c r="P1430">
        <v>2</v>
      </c>
      <c r="Q1430">
        <v>0</v>
      </c>
      <c r="R1430">
        <v>7</v>
      </c>
      <c r="S1430">
        <v>4</v>
      </c>
      <c r="T1430">
        <v>20</v>
      </c>
      <c r="U1430">
        <v>7</v>
      </c>
      <c r="V1430">
        <v>0</v>
      </c>
      <c r="W1430">
        <v>10</v>
      </c>
      <c r="X1430">
        <v>0</v>
      </c>
      <c r="Y1430">
        <v>0</v>
      </c>
      <c r="Z1430">
        <v>0</v>
      </c>
      <c r="AA1430">
        <v>2</v>
      </c>
      <c r="AB1430">
        <v>0</v>
      </c>
      <c r="AC1430">
        <v>13</v>
      </c>
      <c r="AD1430">
        <v>0</v>
      </c>
      <c r="AE1430">
        <v>0</v>
      </c>
      <c r="AF1430">
        <v>1</v>
      </c>
      <c r="AG1430">
        <v>2</v>
      </c>
      <c r="AH1430">
        <v>7</v>
      </c>
      <c r="AI1430">
        <v>0</v>
      </c>
      <c r="AJ1430">
        <v>5</v>
      </c>
      <c r="AK1430">
        <v>0</v>
      </c>
      <c r="AL1430">
        <v>0</v>
      </c>
      <c r="AM1430">
        <v>15</v>
      </c>
      <c r="AN1430">
        <v>44</v>
      </c>
      <c r="AO1430">
        <v>59</v>
      </c>
      <c r="AQ1430" t="str">
        <f t="shared" si="22"/>
        <v>Forward</v>
      </c>
    </row>
    <row r="1431" spans="1:43" x14ac:dyDescent="0.35">
      <c r="A1431" t="s">
        <v>837</v>
      </c>
      <c r="B1431" t="s">
        <v>39</v>
      </c>
      <c r="C1431" t="s">
        <v>2297</v>
      </c>
      <c r="D1431">
        <v>1992</v>
      </c>
      <c r="E1431">
        <v>22</v>
      </c>
      <c r="F1431" t="s">
        <v>64</v>
      </c>
      <c r="G1431" t="s">
        <v>172</v>
      </c>
      <c r="H1431">
        <v>6600000</v>
      </c>
      <c r="I1431">
        <v>8100000</v>
      </c>
      <c r="J1431" t="s">
        <v>42</v>
      </c>
      <c r="K1431">
        <v>34</v>
      </c>
      <c r="L1431">
        <v>2492</v>
      </c>
      <c r="M1431">
        <v>2</v>
      </c>
      <c r="N1431">
        <v>554</v>
      </c>
      <c r="O1431">
        <v>0</v>
      </c>
      <c r="P1431">
        <v>5</v>
      </c>
      <c r="Q1431">
        <v>0</v>
      </c>
      <c r="R1431">
        <v>4</v>
      </c>
      <c r="S1431">
        <v>12</v>
      </c>
      <c r="T1431">
        <v>32</v>
      </c>
      <c r="U1431">
        <v>9</v>
      </c>
      <c r="V1431">
        <v>0</v>
      </c>
      <c r="W1431">
        <v>2</v>
      </c>
      <c r="X1431">
        <v>0</v>
      </c>
      <c r="Y1431">
        <v>0</v>
      </c>
      <c r="Z1431">
        <v>0</v>
      </c>
      <c r="AA1431">
        <v>8</v>
      </c>
      <c r="AB1431">
        <v>3</v>
      </c>
      <c r="AC1431">
        <v>3</v>
      </c>
      <c r="AD1431">
        <v>3</v>
      </c>
      <c r="AE1431">
        <v>118</v>
      </c>
      <c r="AF1431">
        <v>0</v>
      </c>
      <c r="AG1431">
        <v>26</v>
      </c>
      <c r="AH1431">
        <v>40</v>
      </c>
      <c r="AI1431">
        <v>0</v>
      </c>
      <c r="AJ1431">
        <v>46</v>
      </c>
      <c r="AK1431">
        <v>0</v>
      </c>
      <c r="AL1431">
        <v>0</v>
      </c>
      <c r="AM1431">
        <v>7</v>
      </c>
      <c r="AN1431">
        <v>11</v>
      </c>
      <c r="AO1431">
        <v>19</v>
      </c>
      <c r="AQ1431" t="str">
        <f t="shared" si="22"/>
        <v>Forward</v>
      </c>
    </row>
    <row r="1432" spans="1:43" x14ac:dyDescent="0.35">
      <c r="A1432" t="s">
        <v>837</v>
      </c>
      <c r="B1432" t="s">
        <v>47</v>
      </c>
      <c r="C1432" t="s">
        <v>2298</v>
      </c>
      <c r="D1432">
        <v>1992</v>
      </c>
      <c r="E1432">
        <v>23</v>
      </c>
      <c r="F1432" t="s">
        <v>64</v>
      </c>
      <c r="G1432" t="s">
        <v>172</v>
      </c>
      <c r="H1432">
        <v>8100000</v>
      </c>
      <c r="I1432">
        <v>16200000</v>
      </c>
      <c r="J1432" t="s">
        <v>42</v>
      </c>
      <c r="K1432">
        <v>35</v>
      </c>
      <c r="L1432">
        <v>3025</v>
      </c>
      <c r="M1432">
        <v>7</v>
      </c>
      <c r="N1432">
        <v>696</v>
      </c>
      <c r="O1432">
        <v>9</v>
      </c>
      <c r="P1432">
        <v>8</v>
      </c>
      <c r="Q1432">
        <v>0</v>
      </c>
      <c r="R1432">
        <v>0</v>
      </c>
      <c r="S1432">
        <v>7</v>
      </c>
      <c r="T1432">
        <v>49</v>
      </c>
      <c r="U1432">
        <v>18</v>
      </c>
      <c r="V1432">
        <v>2</v>
      </c>
      <c r="W1432">
        <v>2</v>
      </c>
      <c r="X1432">
        <v>0</v>
      </c>
      <c r="Y1432">
        <v>0</v>
      </c>
      <c r="Z1432">
        <v>0</v>
      </c>
      <c r="AA1432">
        <v>6</v>
      </c>
      <c r="AB1432">
        <v>4</v>
      </c>
      <c r="AC1432">
        <v>6</v>
      </c>
      <c r="AD1432">
        <v>1</v>
      </c>
      <c r="AE1432">
        <v>105</v>
      </c>
      <c r="AF1432">
        <v>0</v>
      </c>
      <c r="AG1432">
        <v>34</v>
      </c>
      <c r="AH1432">
        <v>55</v>
      </c>
      <c r="AI1432">
        <v>0</v>
      </c>
      <c r="AJ1432">
        <v>76</v>
      </c>
      <c r="AK1432">
        <v>0</v>
      </c>
      <c r="AL1432">
        <v>0</v>
      </c>
      <c r="AM1432">
        <v>11</v>
      </c>
      <c r="AN1432">
        <v>13</v>
      </c>
      <c r="AO1432">
        <v>24</v>
      </c>
      <c r="AQ1432" t="str">
        <f t="shared" si="22"/>
        <v>Forward</v>
      </c>
    </row>
    <row r="1433" spans="1:43" x14ac:dyDescent="0.35">
      <c r="A1433" t="s">
        <v>837</v>
      </c>
      <c r="B1433" t="s">
        <v>43</v>
      </c>
      <c r="C1433" t="s">
        <v>2299</v>
      </c>
      <c r="D1433">
        <v>1992</v>
      </c>
      <c r="E1433">
        <v>25</v>
      </c>
      <c r="F1433" t="s">
        <v>64</v>
      </c>
      <c r="G1433" t="s">
        <v>172</v>
      </c>
      <c r="H1433">
        <v>16200000</v>
      </c>
      <c r="I1433">
        <v>27000000</v>
      </c>
      <c r="J1433" t="s">
        <v>42</v>
      </c>
      <c r="K1433">
        <v>29</v>
      </c>
      <c r="L1433">
        <v>2551</v>
      </c>
      <c r="M1433">
        <v>9</v>
      </c>
      <c r="N1433">
        <v>623</v>
      </c>
      <c r="O1433">
        <v>3</v>
      </c>
      <c r="P1433">
        <v>5</v>
      </c>
      <c r="Q1433">
        <v>0</v>
      </c>
      <c r="R1433">
        <v>1</v>
      </c>
      <c r="S1433">
        <v>2</v>
      </c>
      <c r="T1433">
        <v>64</v>
      </c>
      <c r="U1433">
        <v>26</v>
      </c>
      <c r="V1433">
        <v>0</v>
      </c>
      <c r="W1433">
        <v>0</v>
      </c>
      <c r="X1433">
        <v>1</v>
      </c>
      <c r="Y1433">
        <v>0</v>
      </c>
      <c r="Z1433">
        <v>0</v>
      </c>
      <c r="AA1433">
        <v>19</v>
      </c>
      <c r="AB1433">
        <v>6</v>
      </c>
      <c r="AC1433">
        <v>38</v>
      </c>
      <c r="AD1433">
        <v>0</v>
      </c>
      <c r="AE1433">
        <v>76</v>
      </c>
      <c r="AF1433">
        <v>0</v>
      </c>
      <c r="AG1433">
        <v>7</v>
      </c>
      <c r="AH1433">
        <v>45</v>
      </c>
      <c r="AI1433">
        <v>0</v>
      </c>
      <c r="AJ1433">
        <v>30</v>
      </c>
      <c r="AK1433">
        <v>0</v>
      </c>
      <c r="AL1433">
        <v>0</v>
      </c>
      <c r="AM1433">
        <v>1</v>
      </c>
      <c r="AN1433">
        <v>4</v>
      </c>
      <c r="AO1433">
        <v>15</v>
      </c>
      <c r="AQ1433" t="str">
        <f t="shared" si="22"/>
        <v>Forward</v>
      </c>
    </row>
    <row r="1434" spans="1:43" x14ac:dyDescent="0.35">
      <c r="A1434" t="s">
        <v>837</v>
      </c>
      <c r="B1434" t="s">
        <v>46</v>
      </c>
      <c r="C1434" t="s">
        <v>2300</v>
      </c>
      <c r="D1434">
        <v>1992</v>
      </c>
      <c r="E1434">
        <v>25</v>
      </c>
      <c r="F1434" t="s">
        <v>64</v>
      </c>
      <c r="G1434" t="s">
        <v>172</v>
      </c>
      <c r="H1434">
        <v>27000000</v>
      </c>
      <c r="I1434">
        <v>40500000</v>
      </c>
      <c r="J1434" t="s">
        <v>42</v>
      </c>
      <c r="K1434">
        <v>34</v>
      </c>
      <c r="L1434">
        <v>3040</v>
      </c>
      <c r="M1434">
        <v>10</v>
      </c>
      <c r="N1434">
        <v>1006</v>
      </c>
      <c r="O1434">
        <v>5</v>
      </c>
      <c r="P1434">
        <v>8</v>
      </c>
      <c r="Q1434">
        <v>0</v>
      </c>
      <c r="R1434">
        <v>0</v>
      </c>
      <c r="S1434">
        <v>4</v>
      </c>
      <c r="T1434">
        <v>73</v>
      </c>
      <c r="U1434">
        <v>27</v>
      </c>
      <c r="V1434">
        <v>2</v>
      </c>
      <c r="W1434">
        <v>0</v>
      </c>
      <c r="X1434">
        <v>0</v>
      </c>
      <c r="Y1434">
        <v>0</v>
      </c>
      <c r="Z1434">
        <v>0</v>
      </c>
      <c r="AA1434">
        <v>16</v>
      </c>
      <c r="AB1434">
        <v>6</v>
      </c>
      <c r="AC1434">
        <v>46</v>
      </c>
      <c r="AD1434">
        <v>2</v>
      </c>
      <c r="AE1434">
        <v>37</v>
      </c>
      <c r="AF1434">
        <v>0</v>
      </c>
      <c r="AG1434">
        <v>10</v>
      </c>
      <c r="AH1434">
        <v>44</v>
      </c>
      <c r="AI1434">
        <v>0</v>
      </c>
      <c r="AJ1434">
        <v>39</v>
      </c>
      <c r="AK1434">
        <v>0</v>
      </c>
      <c r="AL1434">
        <v>0</v>
      </c>
      <c r="AM1434">
        <v>1</v>
      </c>
      <c r="AN1434">
        <v>9</v>
      </c>
      <c r="AO1434">
        <v>35</v>
      </c>
      <c r="AQ1434" t="str">
        <f t="shared" si="22"/>
        <v>Forward</v>
      </c>
    </row>
    <row r="1435" spans="1:43" x14ac:dyDescent="0.35">
      <c r="A1435" t="s">
        <v>838</v>
      </c>
      <c r="B1435" t="s">
        <v>43</v>
      </c>
      <c r="C1435" t="s">
        <v>2301</v>
      </c>
      <c r="D1435">
        <v>1995</v>
      </c>
      <c r="E1435">
        <v>22</v>
      </c>
      <c r="F1435" t="s">
        <v>66</v>
      </c>
      <c r="G1435" t="s">
        <v>51</v>
      </c>
      <c r="H1435">
        <v>8800000</v>
      </c>
      <c r="I1435">
        <v>11000000</v>
      </c>
      <c r="J1435" t="s">
        <v>55</v>
      </c>
      <c r="K1435">
        <v>15</v>
      </c>
      <c r="L1435">
        <v>993</v>
      </c>
      <c r="M1435">
        <v>2</v>
      </c>
      <c r="N1435">
        <v>403</v>
      </c>
      <c r="O1435">
        <v>3</v>
      </c>
      <c r="P1435">
        <v>0</v>
      </c>
      <c r="Q1435">
        <v>0</v>
      </c>
      <c r="R1435">
        <v>4</v>
      </c>
      <c r="S1435">
        <v>9</v>
      </c>
      <c r="T1435">
        <v>12</v>
      </c>
      <c r="U1435">
        <v>4</v>
      </c>
      <c r="V1435">
        <v>0</v>
      </c>
      <c r="W1435">
        <v>2</v>
      </c>
      <c r="X1435">
        <v>0</v>
      </c>
      <c r="Y1435">
        <v>0</v>
      </c>
      <c r="Z1435">
        <v>0</v>
      </c>
      <c r="AA1435">
        <v>0</v>
      </c>
      <c r="AB1435">
        <v>4</v>
      </c>
      <c r="AC1435">
        <v>8</v>
      </c>
      <c r="AD1435">
        <v>6</v>
      </c>
      <c r="AE1435">
        <v>10</v>
      </c>
      <c r="AF1435">
        <v>1</v>
      </c>
      <c r="AG1435">
        <v>15</v>
      </c>
      <c r="AH1435">
        <v>19</v>
      </c>
      <c r="AI1435">
        <v>0</v>
      </c>
      <c r="AJ1435">
        <v>34</v>
      </c>
      <c r="AK1435">
        <v>0</v>
      </c>
      <c r="AL1435">
        <v>0</v>
      </c>
      <c r="AM1435">
        <v>6</v>
      </c>
      <c r="AN1435">
        <v>3</v>
      </c>
      <c r="AO1435">
        <v>14</v>
      </c>
      <c r="AQ1435" t="str">
        <f t="shared" si="22"/>
        <v>Midfielder</v>
      </c>
    </row>
    <row r="1436" spans="1:43" x14ac:dyDescent="0.35">
      <c r="A1436" t="s">
        <v>838</v>
      </c>
      <c r="B1436" t="s">
        <v>46</v>
      </c>
      <c r="C1436" t="s">
        <v>2302</v>
      </c>
      <c r="D1436">
        <v>1995</v>
      </c>
      <c r="E1436">
        <v>23</v>
      </c>
      <c r="F1436" t="s">
        <v>66</v>
      </c>
      <c r="G1436" t="s">
        <v>51</v>
      </c>
      <c r="H1436">
        <v>11000000</v>
      </c>
      <c r="I1436">
        <v>19800000</v>
      </c>
      <c r="J1436" t="s">
        <v>55</v>
      </c>
      <c r="K1436">
        <v>32</v>
      </c>
      <c r="L1436">
        <v>2433</v>
      </c>
      <c r="M1436">
        <v>2</v>
      </c>
      <c r="N1436">
        <v>960</v>
      </c>
      <c r="O1436">
        <v>4</v>
      </c>
      <c r="P1436">
        <v>5</v>
      </c>
      <c r="Q1436">
        <v>0</v>
      </c>
      <c r="R1436">
        <v>1</v>
      </c>
      <c r="S1436">
        <v>19</v>
      </c>
      <c r="T1436">
        <v>31</v>
      </c>
      <c r="U1436">
        <v>7</v>
      </c>
      <c r="V1436">
        <v>0</v>
      </c>
      <c r="W1436">
        <v>5</v>
      </c>
      <c r="X1436">
        <v>0</v>
      </c>
      <c r="Y1436">
        <v>0</v>
      </c>
      <c r="Z1436">
        <v>0</v>
      </c>
      <c r="AA1436">
        <v>0</v>
      </c>
      <c r="AB1436">
        <v>2</v>
      </c>
      <c r="AC1436">
        <v>24</v>
      </c>
      <c r="AD1436">
        <v>3</v>
      </c>
      <c r="AE1436">
        <v>21</v>
      </c>
      <c r="AF1436">
        <v>6</v>
      </c>
      <c r="AG1436">
        <v>25</v>
      </c>
      <c r="AH1436">
        <v>54</v>
      </c>
      <c r="AI1436">
        <v>0</v>
      </c>
      <c r="AJ1436">
        <v>73</v>
      </c>
      <c r="AK1436">
        <v>0</v>
      </c>
      <c r="AL1436">
        <v>0</v>
      </c>
      <c r="AM1436">
        <v>22</v>
      </c>
      <c r="AN1436">
        <v>23</v>
      </c>
      <c r="AO1436">
        <v>39</v>
      </c>
      <c r="AQ1436" t="str">
        <f t="shared" si="22"/>
        <v>Midfielder</v>
      </c>
    </row>
    <row r="1437" spans="1:43" x14ac:dyDescent="0.35">
      <c r="A1437" t="s">
        <v>839</v>
      </c>
      <c r="B1437" t="s">
        <v>47</v>
      </c>
      <c r="C1437" t="s">
        <v>2303</v>
      </c>
      <c r="D1437">
        <v>1988</v>
      </c>
      <c r="E1437">
        <v>27</v>
      </c>
      <c r="F1437" t="s">
        <v>44</v>
      </c>
      <c r="G1437" t="s">
        <v>154</v>
      </c>
      <c r="H1437">
        <v>28800000</v>
      </c>
      <c r="I1437">
        <v>28800000</v>
      </c>
      <c r="J1437" t="s">
        <v>42</v>
      </c>
      <c r="K1437">
        <v>34</v>
      </c>
      <c r="L1437">
        <v>1529</v>
      </c>
      <c r="M1437">
        <v>8</v>
      </c>
      <c r="N1437">
        <v>777</v>
      </c>
      <c r="O1437">
        <v>2</v>
      </c>
      <c r="P1437">
        <v>3</v>
      </c>
      <c r="Q1437">
        <v>0</v>
      </c>
      <c r="R1437">
        <v>19</v>
      </c>
      <c r="S1437">
        <v>13</v>
      </c>
      <c r="T1437">
        <v>44</v>
      </c>
      <c r="U1437">
        <v>15</v>
      </c>
      <c r="V1437">
        <v>1</v>
      </c>
      <c r="W1437">
        <v>2</v>
      </c>
      <c r="X1437">
        <v>0</v>
      </c>
      <c r="Y1437">
        <v>0</v>
      </c>
      <c r="Z1437">
        <v>1</v>
      </c>
      <c r="AA1437">
        <v>2</v>
      </c>
      <c r="AB1437">
        <v>8</v>
      </c>
      <c r="AC1437">
        <v>0</v>
      </c>
      <c r="AD1437">
        <v>62</v>
      </c>
      <c r="AE1437">
        <v>106</v>
      </c>
      <c r="AF1437">
        <v>0</v>
      </c>
      <c r="AG1437">
        <v>7</v>
      </c>
      <c r="AH1437">
        <v>12</v>
      </c>
      <c r="AI1437">
        <v>0</v>
      </c>
      <c r="AJ1437">
        <v>19</v>
      </c>
      <c r="AK1437">
        <v>0</v>
      </c>
      <c r="AL1437">
        <v>0</v>
      </c>
      <c r="AM1437">
        <v>5</v>
      </c>
      <c r="AN1437">
        <v>1</v>
      </c>
      <c r="AO1437">
        <v>11</v>
      </c>
      <c r="AQ1437" t="str">
        <f t="shared" si="22"/>
        <v>Forward</v>
      </c>
    </row>
    <row r="1438" spans="1:43" x14ac:dyDescent="0.35">
      <c r="A1438" t="s">
        <v>839</v>
      </c>
      <c r="B1438" t="s">
        <v>39</v>
      </c>
      <c r="C1438" t="s">
        <v>2304</v>
      </c>
      <c r="D1438">
        <v>1988</v>
      </c>
      <c r="E1438">
        <v>26</v>
      </c>
      <c r="F1438" t="s">
        <v>44</v>
      </c>
      <c r="G1438" t="s">
        <v>154</v>
      </c>
      <c r="H1438">
        <v>28800000</v>
      </c>
      <c r="I1438">
        <v>27000000</v>
      </c>
      <c r="J1438" t="s">
        <v>42</v>
      </c>
      <c r="K1438">
        <v>35</v>
      </c>
      <c r="L1438">
        <v>2749</v>
      </c>
      <c r="M1438">
        <v>5</v>
      </c>
      <c r="N1438">
        <v>1500</v>
      </c>
      <c r="O1438">
        <v>6</v>
      </c>
      <c r="P1438">
        <v>5</v>
      </c>
      <c r="Q1438">
        <v>0</v>
      </c>
      <c r="R1438">
        <v>3</v>
      </c>
      <c r="S1438">
        <v>14</v>
      </c>
      <c r="T1438">
        <v>60</v>
      </c>
      <c r="U1438">
        <v>20</v>
      </c>
      <c r="V1438">
        <v>0</v>
      </c>
      <c r="W1438">
        <v>1</v>
      </c>
      <c r="X1438">
        <v>0</v>
      </c>
      <c r="Y1438">
        <v>0</v>
      </c>
      <c r="Z1438">
        <v>2</v>
      </c>
      <c r="AA1438">
        <v>3</v>
      </c>
      <c r="AB1438">
        <v>9</v>
      </c>
      <c r="AC1438">
        <v>2</v>
      </c>
      <c r="AD1438">
        <v>137</v>
      </c>
      <c r="AE1438">
        <v>233</v>
      </c>
      <c r="AF1438">
        <v>1</v>
      </c>
      <c r="AG1438">
        <v>20</v>
      </c>
      <c r="AH1438">
        <v>27</v>
      </c>
      <c r="AI1438">
        <v>0</v>
      </c>
      <c r="AJ1438">
        <v>42</v>
      </c>
      <c r="AK1438">
        <v>1</v>
      </c>
      <c r="AL1438">
        <v>0</v>
      </c>
      <c r="AM1438">
        <v>5</v>
      </c>
      <c r="AN1438">
        <v>3</v>
      </c>
      <c r="AO1438">
        <v>26</v>
      </c>
      <c r="AQ1438" t="str">
        <f t="shared" si="22"/>
        <v>Forward</v>
      </c>
    </row>
    <row r="1439" spans="1:43" x14ac:dyDescent="0.35">
      <c r="A1439" t="s">
        <v>839</v>
      </c>
      <c r="B1439" t="s">
        <v>46</v>
      </c>
      <c r="C1439" t="s">
        <v>2305</v>
      </c>
      <c r="D1439">
        <v>1988</v>
      </c>
      <c r="E1439">
        <v>29</v>
      </c>
      <c r="F1439" t="s">
        <v>44</v>
      </c>
      <c r="G1439" t="s">
        <v>154</v>
      </c>
      <c r="H1439">
        <v>27000000</v>
      </c>
      <c r="I1439">
        <v>36000000</v>
      </c>
      <c r="J1439" t="s">
        <v>42</v>
      </c>
      <c r="K1439">
        <v>32</v>
      </c>
      <c r="L1439">
        <v>2108</v>
      </c>
      <c r="M1439">
        <v>3</v>
      </c>
      <c r="N1439">
        <v>1230</v>
      </c>
      <c r="O1439">
        <v>6</v>
      </c>
      <c r="P1439">
        <v>2</v>
      </c>
      <c r="Q1439">
        <v>0</v>
      </c>
      <c r="R1439">
        <v>6</v>
      </c>
      <c r="S1439">
        <v>17</v>
      </c>
      <c r="T1439">
        <v>62</v>
      </c>
      <c r="U1439">
        <v>22</v>
      </c>
      <c r="V1439">
        <v>5</v>
      </c>
      <c r="W1439">
        <v>6</v>
      </c>
      <c r="X1439">
        <v>0</v>
      </c>
      <c r="Y1439">
        <v>0</v>
      </c>
      <c r="Z1439">
        <v>0</v>
      </c>
      <c r="AA1439">
        <v>11</v>
      </c>
      <c r="AB1439">
        <v>8</v>
      </c>
      <c r="AC1439">
        <v>40</v>
      </c>
      <c r="AD1439">
        <v>111</v>
      </c>
      <c r="AE1439">
        <v>169</v>
      </c>
      <c r="AF1439">
        <v>1</v>
      </c>
      <c r="AG1439">
        <v>13</v>
      </c>
      <c r="AH1439">
        <v>12</v>
      </c>
      <c r="AI1439">
        <v>0</v>
      </c>
      <c r="AJ1439">
        <v>35</v>
      </c>
      <c r="AK1439">
        <v>1</v>
      </c>
      <c r="AL1439">
        <v>0</v>
      </c>
      <c r="AM1439">
        <v>11</v>
      </c>
      <c r="AN1439">
        <v>11</v>
      </c>
      <c r="AO1439">
        <v>23</v>
      </c>
      <c r="AQ1439" t="str">
        <f t="shared" si="22"/>
        <v>Forward</v>
      </c>
    </row>
    <row r="1440" spans="1:43" x14ac:dyDescent="0.35">
      <c r="A1440" t="s">
        <v>839</v>
      </c>
      <c r="B1440" t="s">
        <v>43</v>
      </c>
      <c r="C1440" t="s">
        <v>2306</v>
      </c>
      <c r="D1440">
        <v>1988</v>
      </c>
      <c r="E1440">
        <v>29</v>
      </c>
      <c r="F1440" t="s">
        <v>44</v>
      </c>
      <c r="G1440" t="s">
        <v>154</v>
      </c>
      <c r="H1440">
        <v>35200000</v>
      </c>
      <c r="I1440">
        <v>35200000</v>
      </c>
      <c r="J1440" t="s">
        <v>55</v>
      </c>
      <c r="K1440">
        <v>36</v>
      </c>
      <c r="L1440">
        <v>1883</v>
      </c>
      <c r="M1440">
        <v>6</v>
      </c>
      <c r="N1440">
        <v>924</v>
      </c>
      <c r="O1440">
        <v>7</v>
      </c>
      <c r="P1440">
        <v>1</v>
      </c>
      <c r="Q1440">
        <v>0</v>
      </c>
      <c r="R1440">
        <v>16</v>
      </c>
      <c r="S1440">
        <v>9</v>
      </c>
      <c r="T1440">
        <v>54</v>
      </c>
      <c r="U1440">
        <v>25</v>
      </c>
      <c r="V1440">
        <v>2</v>
      </c>
      <c r="W1440">
        <v>5</v>
      </c>
      <c r="X1440">
        <v>1</v>
      </c>
      <c r="Y1440">
        <v>1</v>
      </c>
      <c r="Z1440">
        <v>0</v>
      </c>
      <c r="AA1440">
        <v>5</v>
      </c>
      <c r="AB1440">
        <v>5</v>
      </c>
      <c r="AC1440">
        <v>29</v>
      </c>
      <c r="AD1440">
        <v>49</v>
      </c>
      <c r="AE1440">
        <v>99</v>
      </c>
      <c r="AF1440">
        <v>1</v>
      </c>
      <c r="AG1440">
        <v>10</v>
      </c>
      <c r="AH1440">
        <v>10</v>
      </c>
      <c r="AI1440">
        <v>0</v>
      </c>
      <c r="AJ1440">
        <v>22</v>
      </c>
      <c r="AK1440">
        <v>0</v>
      </c>
      <c r="AL1440">
        <v>0</v>
      </c>
      <c r="AM1440">
        <v>9</v>
      </c>
      <c r="AN1440">
        <v>10</v>
      </c>
      <c r="AO1440">
        <v>15</v>
      </c>
      <c r="AQ1440" t="str">
        <f t="shared" si="22"/>
        <v>Midfielder</v>
      </c>
    </row>
    <row r="1441" spans="1:43" x14ac:dyDescent="0.35">
      <c r="A1441" t="s">
        <v>840</v>
      </c>
      <c r="B1441" t="s">
        <v>46</v>
      </c>
      <c r="C1441" t="s">
        <v>2307</v>
      </c>
      <c r="D1441">
        <v>1991</v>
      </c>
      <c r="E1441">
        <v>27</v>
      </c>
      <c r="F1441" t="s">
        <v>90</v>
      </c>
      <c r="G1441" t="s">
        <v>67</v>
      </c>
      <c r="H1441">
        <v>9000000</v>
      </c>
      <c r="I1441">
        <v>10800000</v>
      </c>
      <c r="J1441" t="s">
        <v>52</v>
      </c>
      <c r="K1441">
        <v>36</v>
      </c>
      <c r="L1441">
        <v>3168</v>
      </c>
      <c r="M1441">
        <v>4</v>
      </c>
      <c r="N1441">
        <v>1715</v>
      </c>
      <c r="O1441">
        <v>0</v>
      </c>
      <c r="P1441">
        <v>2</v>
      </c>
      <c r="Q1441">
        <v>1</v>
      </c>
      <c r="R1441">
        <v>0</v>
      </c>
      <c r="S1441">
        <v>1</v>
      </c>
      <c r="T1441">
        <v>24</v>
      </c>
      <c r="U1441">
        <v>6</v>
      </c>
      <c r="V1441">
        <v>0</v>
      </c>
      <c r="W1441">
        <v>108</v>
      </c>
      <c r="X1441">
        <v>3</v>
      </c>
      <c r="Y1441">
        <v>0</v>
      </c>
      <c r="Z1441">
        <v>0</v>
      </c>
      <c r="AA1441">
        <v>3</v>
      </c>
      <c r="AB1441">
        <v>2</v>
      </c>
      <c r="AC1441">
        <v>18</v>
      </c>
      <c r="AD1441">
        <v>0</v>
      </c>
      <c r="AE1441">
        <v>0</v>
      </c>
      <c r="AF1441">
        <v>32</v>
      </c>
      <c r="AG1441">
        <v>72</v>
      </c>
      <c r="AH1441">
        <v>29</v>
      </c>
      <c r="AI1441">
        <v>1</v>
      </c>
      <c r="AJ1441">
        <v>85</v>
      </c>
      <c r="AK1441">
        <v>0</v>
      </c>
      <c r="AL1441">
        <v>0</v>
      </c>
      <c r="AM1441">
        <v>172</v>
      </c>
      <c r="AN1441">
        <v>136</v>
      </c>
      <c r="AO1441">
        <v>64</v>
      </c>
      <c r="AQ1441" t="str">
        <f t="shared" si="22"/>
        <v>Defensive Forward</v>
      </c>
    </row>
    <row r="1442" spans="1:43" x14ac:dyDescent="0.35">
      <c r="A1442" t="s">
        <v>841</v>
      </c>
      <c r="B1442" t="s">
        <v>39</v>
      </c>
      <c r="C1442" t="s">
        <v>2308</v>
      </c>
      <c r="D1442">
        <v>1988</v>
      </c>
      <c r="E1442">
        <v>27</v>
      </c>
      <c r="F1442" t="s">
        <v>50</v>
      </c>
      <c r="G1442" t="s">
        <v>250</v>
      </c>
      <c r="H1442">
        <v>8100000</v>
      </c>
      <c r="I1442">
        <v>9000000</v>
      </c>
      <c r="J1442" t="s">
        <v>52</v>
      </c>
      <c r="K1442">
        <v>24</v>
      </c>
      <c r="L1442">
        <v>2136</v>
      </c>
      <c r="M1442">
        <v>1</v>
      </c>
      <c r="N1442">
        <v>833</v>
      </c>
      <c r="O1442">
        <v>1</v>
      </c>
      <c r="P1442">
        <v>5</v>
      </c>
      <c r="Q1442">
        <v>0</v>
      </c>
      <c r="R1442">
        <v>0</v>
      </c>
      <c r="S1442">
        <v>1</v>
      </c>
      <c r="T1442">
        <v>17</v>
      </c>
      <c r="U1442">
        <v>0</v>
      </c>
      <c r="V1442">
        <v>2</v>
      </c>
      <c r="W1442">
        <v>85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1</v>
      </c>
      <c r="AD1442">
        <v>0</v>
      </c>
      <c r="AE1442">
        <v>2</v>
      </c>
      <c r="AF1442">
        <v>27</v>
      </c>
      <c r="AG1442">
        <v>76</v>
      </c>
      <c r="AH1442">
        <v>23</v>
      </c>
      <c r="AI1442">
        <v>0</v>
      </c>
      <c r="AJ1442">
        <v>45</v>
      </c>
      <c r="AK1442">
        <v>0</v>
      </c>
      <c r="AL1442">
        <v>0</v>
      </c>
      <c r="AM1442">
        <v>154</v>
      </c>
      <c r="AN1442">
        <v>50</v>
      </c>
      <c r="AO1442">
        <v>28</v>
      </c>
      <c r="AQ1442" t="str">
        <f t="shared" si="22"/>
        <v>Defensive Forward</v>
      </c>
    </row>
    <row r="1443" spans="1:43" x14ac:dyDescent="0.35">
      <c r="A1443" t="s">
        <v>841</v>
      </c>
      <c r="B1443" t="s">
        <v>43</v>
      </c>
      <c r="C1443" t="s">
        <v>2309</v>
      </c>
      <c r="D1443">
        <v>1988</v>
      </c>
      <c r="E1443">
        <v>29</v>
      </c>
      <c r="F1443" t="s">
        <v>50</v>
      </c>
      <c r="G1443" t="s">
        <v>250</v>
      </c>
      <c r="H1443">
        <v>9000000</v>
      </c>
      <c r="I1443">
        <v>6300000</v>
      </c>
      <c r="J1443" t="s">
        <v>52</v>
      </c>
      <c r="K1443">
        <v>17</v>
      </c>
      <c r="L1443">
        <v>1454</v>
      </c>
      <c r="M1443">
        <v>0</v>
      </c>
      <c r="N1443">
        <v>659</v>
      </c>
      <c r="O1443">
        <v>0</v>
      </c>
      <c r="P1443">
        <v>5</v>
      </c>
      <c r="Q1443">
        <v>0</v>
      </c>
      <c r="R1443">
        <v>0</v>
      </c>
      <c r="S1443">
        <v>2</v>
      </c>
      <c r="T1443">
        <v>0</v>
      </c>
      <c r="U1443">
        <v>0</v>
      </c>
      <c r="V1443">
        <v>0</v>
      </c>
      <c r="W1443">
        <v>57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1</v>
      </c>
      <c r="AF1443">
        <v>14</v>
      </c>
      <c r="AG1443">
        <v>22</v>
      </c>
      <c r="AH1443">
        <v>14</v>
      </c>
      <c r="AI1443">
        <v>0</v>
      </c>
      <c r="AJ1443">
        <v>11</v>
      </c>
      <c r="AK1443">
        <v>0</v>
      </c>
      <c r="AL1443">
        <v>0</v>
      </c>
      <c r="AM1443">
        <v>101</v>
      </c>
      <c r="AN1443">
        <v>44</v>
      </c>
      <c r="AO1443">
        <v>25</v>
      </c>
      <c r="AQ1443" t="str">
        <f t="shared" si="22"/>
        <v>Defensive Forward</v>
      </c>
    </row>
    <row r="1444" spans="1:43" x14ac:dyDescent="0.35">
      <c r="A1444" t="s">
        <v>841</v>
      </c>
      <c r="B1444" t="s">
        <v>47</v>
      </c>
      <c r="C1444" t="s">
        <v>2310</v>
      </c>
      <c r="D1444">
        <v>1988</v>
      </c>
      <c r="E1444">
        <v>28</v>
      </c>
      <c r="F1444" t="s">
        <v>50</v>
      </c>
      <c r="G1444" t="s">
        <v>250</v>
      </c>
      <c r="H1444">
        <v>9000000</v>
      </c>
      <c r="I1444">
        <v>9000000</v>
      </c>
      <c r="J1444" t="s">
        <v>52</v>
      </c>
      <c r="K1444">
        <v>30</v>
      </c>
      <c r="L1444">
        <v>2589</v>
      </c>
      <c r="M1444">
        <v>2</v>
      </c>
      <c r="N1444">
        <v>983</v>
      </c>
      <c r="O1444">
        <v>2</v>
      </c>
      <c r="P1444">
        <v>8</v>
      </c>
      <c r="Q1444">
        <v>0</v>
      </c>
      <c r="R1444">
        <v>0</v>
      </c>
      <c r="S1444">
        <v>3</v>
      </c>
      <c r="T1444">
        <v>11</v>
      </c>
      <c r="U1444">
        <v>2</v>
      </c>
      <c r="V1444">
        <v>0</v>
      </c>
      <c r="W1444">
        <v>144</v>
      </c>
      <c r="X1444">
        <v>1</v>
      </c>
      <c r="Y1444">
        <v>0</v>
      </c>
      <c r="Z1444">
        <v>0</v>
      </c>
      <c r="AA1444">
        <v>1</v>
      </c>
      <c r="AB1444">
        <v>0</v>
      </c>
      <c r="AC1444">
        <v>0</v>
      </c>
      <c r="AD1444">
        <v>0</v>
      </c>
      <c r="AE1444">
        <v>3</v>
      </c>
      <c r="AF1444">
        <v>23</v>
      </c>
      <c r="AG1444">
        <v>82</v>
      </c>
      <c r="AH1444">
        <v>31</v>
      </c>
      <c r="AI1444">
        <v>0</v>
      </c>
      <c r="AJ1444">
        <v>32</v>
      </c>
      <c r="AK1444">
        <v>0</v>
      </c>
      <c r="AL1444">
        <v>0</v>
      </c>
      <c r="AM1444">
        <v>244</v>
      </c>
      <c r="AN1444">
        <v>55</v>
      </c>
      <c r="AO1444">
        <v>38</v>
      </c>
      <c r="AQ1444" t="str">
        <f t="shared" si="22"/>
        <v>Defensive Forward</v>
      </c>
    </row>
    <row r="1445" spans="1:43" x14ac:dyDescent="0.35">
      <c r="A1445" t="s">
        <v>842</v>
      </c>
      <c r="B1445" t="s">
        <v>39</v>
      </c>
      <c r="C1445" t="s">
        <v>2311</v>
      </c>
      <c r="D1445">
        <v>1991</v>
      </c>
      <c r="E1445">
        <v>23</v>
      </c>
      <c r="F1445" t="s">
        <v>184</v>
      </c>
      <c r="G1445" t="s">
        <v>138</v>
      </c>
      <c r="H1445">
        <v>18700000</v>
      </c>
      <c r="I1445">
        <v>16500000</v>
      </c>
      <c r="J1445" t="s">
        <v>55</v>
      </c>
      <c r="K1445">
        <v>27</v>
      </c>
      <c r="L1445">
        <v>2028</v>
      </c>
      <c r="M1445">
        <v>3</v>
      </c>
      <c r="N1445">
        <v>639</v>
      </c>
      <c r="O1445">
        <v>6</v>
      </c>
      <c r="P1445">
        <v>3</v>
      </c>
      <c r="Q1445">
        <v>0</v>
      </c>
      <c r="R1445">
        <v>0</v>
      </c>
      <c r="S1445">
        <v>18</v>
      </c>
      <c r="T1445">
        <v>40</v>
      </c>
      <c r="U1445">
        <v>11</v>
      </c>
      <c r="V1445">
        <v>0</v>
      </c>
      <c r="W1445">
        <v>2</v>
      </c>
      <c r="X1445">
        <v>0</v>
      </c>
      <c r="Y1445">
        <v>0</v>
      </c>
      <c r="Z1445">
        <v>0</v>
      </c>
      <c r="AA1445">
        <v>8</v>
      </c>
      <c r="AB1445">
        <v>15</v>
      </c>
      <c r="AC1445">
        <v>3</v>
      </c>
      <c r="AD1445">
        <v>71</v>
      </c>
      <c r="AE1445">
        <v>170</v>
      </c>
      <c r="AF1445">
        <v>1</v>
      </c>
      <c r="AG1445">
        <v>12</v>
      </c>
      <c r="AH1445">
        <v>25</v>
      </c>
      <c r="AI1445">
        <v>0</v>
      </c>
      <c r="AJ1445">
        <v>19</v>
      </c>
      <c r="AK1445">
        <v>0</v>
      </c>
      <c r="AL1445">
        <v>0</v>
      </c>
      <c r="AM1445">
        <v>3</v>
      </c>
      <c r="AN1445">
        <v>2</v>
      </c>
      <c r="AO1445">
        <v>13</v>
      </c>
      <c r="AQ1445" t="str">
        <f t="shared" si="22"/>
        <v>Midfielder</v>
      </c>
    </row>
    <row r="1446" spans="1:43" x14ac:dyDescent="0.35">
      <c r="A1446" t="s">
        <v>842</v>
      </c>
      <c r="B1446" t="s">
        <v>47</v>
      </c>
      <c r="C1446" t="s">
        <v>2312</v>
      </c>
      <c r="D1446">
        <v>1991</v>
      </c>
      <c r="E1446">
        <v>24</v>
      </c>
      <c r="F1446" t="s">
        <v>184</v>
      </c>
      <c r="G1446" t="s">
        <v>138</v>
      </c>
      <c r="H1446">
        <v>16500000</v>
      </c>
      <c r="I1446">
        <v>16500000</v>
      </c>
      <c r="J1446" t="s">
        <v>55</v>
      </c>
      <c r="K1446">
        <v>21</v>
      </c>
      <c r="L1446">
        <v>1707</v>
      </c>
      <c r="M1446">
        <v>4</v>
      </c>
      <c r="N1446">
        <v>609</v>
      </c>
      <c r="O1446">
        <v>2</v>
      </c>
      <c r="P1446">
        <v>2</v>
      </c>
      <c r="Q1446">
        <v>0</v>
      </c>
      <c r="R1446">
        <v>0</v>
      </c>
      <c r="S1446">
        <v>11</v>
      </c>
      <c r="T1446">
        <v>48</v>
      </c>
      <c r="U1446">
        <v>10</v>
      </c>
      <c r="V1446">
        <v>1</v>
      </c>
      <c r="W1446">
        <v>1</v>
      </c>
      <c r="X1446">
        <v>0</v>
      </c>
      <c r="Y1446">
        <v>0</v>
      </c>
      <c r="Z1446">
        <v>2</v>
      </c>
      <c r="AA1446">
        <v>4</v>
      </c>
      <c r="AB1446">
        <v>16</v>
      </c>
      <c r="AC1446">
        <v>1</v>
      </c>
      <c r="AD1446">
        <v>71</v>
      </c>
      <c r="AE1446">
        <v>131</v>
      </c>
      <c r="AF1446">
        <v>0</v>
      </c>
      <c r="AG1446">
        <v>9</v>
      </c>
      <c r="AH1446">
        <v>16</v>
      </c>
      <c r="AI1446">
        <v>0</v>
      </c>
      <c r="AJ1446">
        <v>11</v>
      </c>
      <c r="AK1446">
        <v>0</v>
      </c>
      <c r="AL1446">
        <v>0</v>
      </c>
      <c r="AM1446">
        <v>2</v>
      </c>
      <c r="AN1446">
        <v>2</v>
      </c>
      <c r="AO1446">
        <v>5</v>
      </c>
      <c r="AQ1446" t="str">
        <f t="shared" si="22"/>
        <v>Midfielder</v>
      </c>
    </row>
    <row r="1447" spans="1:43" x14ac:dyDescent="0.35">
      <c r="A1447" t="s">
        <v>842</v>
      </c>
      <c r="B1447" t="s">
        <v>43</v>
      </c>
      <c r="C1447" t="s">
        <v>2313</v>
      </c>
      <c r="D1447">
        <v>1991</v>
      </c>
      <c r="E1447">
        <v>26</v>
      </c>
      <c r="F1447" t="s">
        <v>184</v>
      </c>
      <c r="G1447" t="s">
        <v>138</v>
      </c>
      <c r="H1447">
        <v>16500000</v>
      </c>
      <c r="I1447">
        <v>19800000</v>
      </c>
      <c r="J1447" t="s">
        <v>55</v>
      </c>
      <c r="K1447">
        <v>36</v>
      </c>
      <c r="L1447">
        <v>3049</v>
      </c>
      <c r="M1447">
        <v>8</v>
      </c>
      <c r="N1447">
        <v>1055</v>
      </c>
      <c r="O1447">
        <v>7</v>
      </c>
      <c r="P1447">
        <v>5</v>
      </c>
      <c r="Q1447">
        <v>0</v>
      </c>
      <c r="R1447">
        <v>0</v>
      </c>
      <c r="S1447">
        <v>10</v>
      </c>
      <c r="T1447">
        <v>69</v>
      </c>
      <c r="U1447">
        <v>32</v>
      </c>
      <c r="V1447">
        <v>2</v>
      </c>
      <c r="W1447">
        <v>2</v>
      </c>
      <c r="X1447">
        <v>1</v>
      </c>
      <c r="Y1447">
        <v>0</v>
      </c>
      <c r="Z1447">
        <v>1</v>
      </c>
      <c r="AA1447">
        <v>15</v>
      </c>
      <c r="AB1447">
        <v>15</v>
      </c>
      <c r="AC1447">
        <v>37</v>
      </c>
      <c r="AD1447">
        <v>88</v>
      </c>
      <c r="AE1447">
        <v>201</v>
      </c>
      <c r="AF1447">
        <v>1</v>
      </c>
      <c r="AG1447">
        <v>16</v>
      </c>
      <c r="AH1447">
        <v>28</v>
      </c>
      <c r="AI1447">
        <v>0</v>
      </c>
      <c r="AJ1447">
        <v>25</v>
      </c>
      <c r="AK1447">
        <v>0</v>
      </c>
      <c r="AL1447">
        <v>0</v>
      </c>
      <c r="AM1447">
        <v>4</v>
      </c>
      <c r="AN1447">
        <v>5</v>
      </c>
      <c r="AO1447">
        <v>20</v>
      </c>
      <c r="AQ1447" t="str">
        <f t="shared" si="22"/>
        <v>Midfielder</v>
      </c>
    </row>
    <row r="1448" spans="1:43" x14ac:dyDescent="0.35">
      <c r="A1448" t="s">
        <v>842</v>
      </c>
      <c r="B1448" t="s">
        <v>46</v>
      </c>
      <c r="C1448" t="s">
        <v>2314</v>
      </c>
      <c r="D1448">
        <v>1991</v>
      </c>
      <c r="E1448">
        <v>26</v>
      </c>
      <c r="F1448" t="s">
        <v>80</v>
      </c>
      <c r="G1448" t="s">
        <v>138</v>
      </c>
      <c r="H1448">
        <v>19800000</v>
      </c>
      <c r="I1448">
        <v>27500000</v>
      </c>
      <c r="J1448" t="s">
        <v>55</v>
      </c>
      <c r="K1448">
        <v>24</v>
      </c>
      <c r="L1448">
        <v>1058</v>
      </c>
      <c r="M1448">
        <v>6</v>
      </c>
      <c r="N1448">
        <v>639</v>
      </c>
      <c r="O1448">
        <v>3</v>
      </c>
      <c r="P1448">
        <v>2</v>
      </c>
      <c r="Q1448">
        <v>0</v>
      </c>
      <c r="R1448">
        <v>13</v>
      </c>
      <c r="S1448">
        <v>7</v>
      </c>
      <c r="T1448">
        <v>26</v>
      </c>
      <c r="U1448">
        <v>10</v>
      </c>
      <c r="V1448">
        <v>0</v>
      </c>
      <c r="W1448">
        <v>3</v>
      </c>
      <c r="X1448">
        <v>0</v>
      </c>
      <c r="Y1448">
        <v>0</v>
      </c>
      <c r="Z1448">
        <v>0</v>
      </c>
      <c r="AA1448">
        <v>2</v>
      </c>
      <c r="AB1448">
        <v>9</v>
      </c>
      <c r="AC1448">
        <v>16</v>
      </c>
      <c r="AD1448">
        <v>27</v>
      </c>
      <c r="AE1448">
        <v>47</v>
      </c>
      <c r="AF1448">
        <v>1</v>
      </c>
      <c r="AG1448">
        <v>6</v>
      </c>
      <c r="AH1448">
        <v>9</v>
      </c>
      <c r="AI1448">
        <v>0</v>
      </c>
      <c r="AJ1448">
        <v>14</v>
      </c>
      <c r="AK1448">
        <v>0</v>
      </c>
      <c r="AL1448">
        <v>0</v>
      </c>
      <c r="AM1448">
        <v>6</v>
      </c>
      <c r="AN1448">
        <v>4</v>
      </c>
      <c r="AO1448">
        <v>6</v>
      </c>
      <c r="AQ1448" t="str">
        <f t="shared" si="22"/>
        <v>Midfielder</v>
      </c>
    </row>
    <row r="1449" spans="1:43" x14ac:dyDescent="0.35">
      <c r="A1449" t="s">
        <v>843</v>
      </c>
      <c r="B1449" t="s">
        <v>46</v>
      </c>
      <c r="C1449" t="s">
        <v>2315</v>
      </c>
      <c r="D1449">
        <v>1999</v>
      </c>
      <c r="E1449">
        <v>19</v>
      </c>
      <c r="F1449" t="s">
        <v>220</v>
      </c>
      <c r="G1449" t="s">
        <v>67</v>
      </c>
      <c r="H1449">
        <v>1100000</v>
      </c>
      <c r="I1449">
        <v>2250000</v>
      </c>
      <c r="J1449" t="s">
        <v>52</v>
      </c>
      <c r="K1449">
        <v>23</v>
      </c>
      <c r="L1449">
        <v>1714</v>
      </c>
      <c r="M1449">
        <v>2</v>
      </c>
      <c r="N1449">
        <v>399</v>
      </c>
      <c r="O1449">
        <v>0</v>
      </c>
      <c r="P1449">
        <v>3</v>
      </c>
      <c r="Q1449">
        <v>1</v>
      </c>
      <c r="R1449">
        <v>3</v>
      </c>
      <c r="S1449">
        <v>5</v>
      </c>
      <c r="T1449">
        <v>6</v>
      </c>
      <c r="U1449">
        <v>5</v>
      </c>
      <c r="V1449">
        <v>0</v>
      </c>
      <c r="W1449">
        <v>19</v>
      </c>
      <c r="X1449">
        <v>0</v>
      </c>
      <c r="Y1449">
        <v>0</v>
      </c>
      <c r="Z1449">
        <v>0</v>
      </c>
      <c r="AA1449">
        <v>2</v>
      </c>
      <c r="AB1449">
        <v>0</v>
      </c>
      <c r="AC1449">
        <v>1</v>
      </c>
      <c r="AD1449">
        <v>0</v>
      </c>
      <c r="AE1449">
        <v>55</v>
      </c>
      <c r="AF1449">
        <v>3</v>
      </c>
      <c r="AG1449">
        <v>22</v>
      </c>
      <c r="AH1449">
        <v>27</v>
      </c>
      <c r="AI1449">
        <v>0</v>
      </c>
      <c r="AJ1449">
        <v>42</v>
      </c>
      <c r="AK1449">
        <v>0</v>
      </c>
      <c r="AL1449">
        <v>0</v>
      </c>
      <c r="AM1449">
        <v>57</v>
      </c>
      <c r="AN1449">
        <v>42</v>
      </c>
      <c r="AO1449">
        <v>54</v>
      </c>
      <c r="AQ1449" t="str">
        <f t="shared" si="22"/>
        <v>Defensive Forward</v>
      </c>
    </row>
    <row r="1450" spans="1:43" x14ac:dyDescent="0.35">
      <c r="A1450" t="s">
        <v>844</v>
      </c>
      <c r="B1450" t="s">
        <v>39</v>
      </c>
      <c r="C1450" t="s">
        <v>2316</v>
      </c>
      <c r="D1450">
        <v>1990</v>
      </c>
      <c r="E1450">
        <v>25</v>
      </c>
      <c r="F1450" t="s">
        <v>78</v>
      </c>
      <c r="G1450" t="s">
        <v>67</v>
      </c>
      <c r="H1450">
        <v>7700000</v>
      </c>
      <c r="I1450">
        <v>8200000</v>
      </c>
      <c r="J1450" t="s">
        <v>55</v>
      </c>
      <c r="K1450">
        <v>37</v>
      </c>
      <c r="L1450">
        <v>3188</v>
      </c>
      <c r="M1450">
        <v>1</v>
      </c>
      <c r="N1450">
        <v>1679</v>
      </c>
      <c r="O1450">
        <v>4</v>
      </c>
      <c r="P1450">
        <v>1</v>
      </c>
      <c r="Q1450">
        <v>0</v>
      </c>
      <c r="R1450">
        <v>1</v>
      </c>
      <c r="S1450">
        <v>4</v>
      </c>
      <c r="T1450">
        <v>29</v>
      </c>
      <c r="U1450">
        <v>0</v>
      </c>
      <c r="V1450">
        <v>0</v>
      </c>
      <c r="W1450">
        <v>40</v>
      </c>
      <c r="X1450">
        <v>0</v>
      </c>
      <c r="Y1450">
        <v>0</v>
      </c>
      <c r="Z1450">
        <v>1</v>
      </c>
      <c r="AA1450">
        <v>0</v>
      </c>
      <c r="AB1450">
        <v>9</v>
      </c>
      <c r="AC1450">
        <v>0</v>
      </c>
      <c r="AD1450">
        <v>36</v>
      </c>
      <c r="AE1450">
        <v>83</v>
      </c>
      <c r="AF1450">
        <v>9</v>
      </c>
      <c r="AG1450">
        <v>86</v>
      </c>
      <c r="AH1450">
        <v>18</v>
      </c>
      <c r="AI1450">
        <v>0</v>
      </c>
      <c r="AJ1450">
        <v>99</v>
      </c>
      <c r="AK1450">
        <v>0</v>
      </c>
      <c r="AL1450">
        <v>0</v>
      </c>
      <c r="AM1450">
        <v>110</v>
      </c>
      <c r="AN1450">
        <v>45</v>
      </c>
      <c r="AO1450">
        <v>28</v>
      </c>
      <c r="AQ1450" t="str">
        <f t="shared" si="22"/>
        <v>Midfielder</v>
      </c>
    </row>
    <row r="1451" spans="1:43" x14ac:dyDescent="0.35">
      <c r="A1451" t="s">
        <v>845</v>
      </c>
      <c r="B1451" t="s">
        <v>39</v>
      </c>
      <c r="C1451" t="s">
        <v>2317</v>
      </c>
      <c r="D1451">
        <v>1989</v>
      </c>
      <c r="E1451">
        <v>26</v>
      </c>
      <c r="F1451" t="s">
        <v>64</v>
      </c>
      <c r="G1451" t="s">
        <v>174</v>
      </c>
      <c r="H1451">
        <v>11000000</v>
      </c>
      <c r="I1451">
        <v>15400000</v>
      </c>
      <c r="J1451" t="s">
        <v>55</v>
      </c>
      <c r="K1451">
        <v>26</v>
      </c>
      <c r="L1451">
        <v>2076</v>
      </c>
      <c r="M1451">
        <v>5</v>
      </c>
      <c r="N1451">
        <v>506</v>
      </c>
      <c r="O1451">
        <v>3</v>
      </c>
      <c r="P1451">
        <v>2</v>
      </c>
      <c r="Q1451">
        <v>0</v>
      </c>
      <c r="R1451">
        <v>3</v>
      </c>
      <c r="S1451">
        <v>4</v>
      </c>
      <c r="T1451">
        <v>57</v>
      </c>
      <c r="U1451">
        <v>26</v>
      </c>
      <c r="V1451">
        <v>1</v>
      </c>
      <c r="W1451">
        <v>15</v>
      </c>
      <c r="X1451">
        <v>1</v>
      </c>
      <c r="Y1451">
        <v>0</v>
      </c>
      <c r="Z1451">
        <v>0</v>
      </c>
      <c r="AA1451">
        <v>17</v>
      </c>
      <c r="AB1451">
        <v>1</v>
      </c>
      <c r="AC1451">
        <v>4</v>
      </c>
      <c r="AD1451">
        <v>1</v>
      </c>
      <c r="AE1451">
        <v>138</v>
      </c>
      <c r="AF1451">
        <v>6</v>
      </c>
      <c r="AG1451">
        <v>10</v>
      </c>
      <c r="AH1451">
        <v>25</v>
      </c>
      <c r="AI1451">
        <v>0</v>
      </c>
      <c r="AJ1451">
        <v>26</v>
      </c>
      <c r="AK1451">
        <v>0</v>
      </c>
      <c r="AL1451">
        <v>0</v>
      </c>
      <c r="AM1451">
        <v>27</v>
      </c>
      <c r="AN1451">
        <v>20</v>
      </c>
      <c r="AO1451">
        <v>34</v>
      </c>
      <c r="AQ1451" t="str">
        <f t="shared" si="22"/>
        <v>Midfielder</v>
      </c>
    </row>
    <row r="1452" spans="1:43" x14ac:dyDescent="0.35">
      <c r="A1452" t="s">
        <v>845</v>
      </c>
      <c r="B1452" t="s">
        <v>47</v>
      </c>
      <c r="C1452" t="s">
        <v>2318</v>
      </c>
      <c r="D1452">
        <v>1989</v>
      </c>
      <c r="E1452">
        <v>27</v>
      </c>
      <c r="F1452" t="s">
        <v>54</v>
      </c>
      <c r="G1452" t="s">
        <v>174</v>
      </c>
      <c r="H1452">
        <v>15400000</v>
      </c>
      <c r="I1452">
        <v>22000000</v>
      </c>
      <c r="J1452" t="s">
        <v>55</v>
      </c>
      <c r="K1452">
        <v>14</v>
      </c>
      <c r="L1452">
        <v>1052</v>
      </c>
      <c r="M1452">
        <v>1</v>
      </c>
      <c r="N1452">
        <v>291</v>
      </c>
      <c r="O1452">
        <v>4</v>
      </c>
      <c r="P1452">
        <v>3</v>
      </c>
      <c r="Q1452">
        <v>0</v>
      </c>
      <c r="R1452">
        <v>2</v>
      </c>
      <c r="S1452">
        <v>6</v>
      </c>
      <c r="T1452">
        <v>27</v>
      </c>
      <c r="U1452">
        <v>6</v>
      </c>
      <c r="V1452">
        <v>0</v>
      </c>
      <c r="W1452">
        <v>7</v>
      </c>
      <c r="X1452">
        <v>0</v>
      </c>
      <c r="Y1452">
        <v>0</v>
      </c>
      <c r="Z1452">
        <v>0</v>
      </c>
      <c r="AA1452">
        <v>3</v>
      </c>
      <c r="AB1452">
        <v>2</v>
      </c>
      <c r="AC1452">
        <v>1</v>
      </c>
      <c r="AD1452">
        <v>1</v>
      </c>
      <c r="AE1452">
        <v>84</v>
      </c>
      <c r="AF1452">
        <v>2</v>
      </c>
      <c r="AG1452">
        <v>3</v>
      </c>
      <c r="AH1452">
        <v>24</v>
      </c>
      <c r="AI1452">
        <v>0</v>
      </c>
      <c r="AJ1452">
        <v>18</v>
      </c>
      <c r="AK1452">
        <v>0</v>
      </c>
      <c r="AL1452">
        <v>0</v>
      </c>
      <c r="AM1452">
        <v>8</v>
      </c>
      <c r="AN1452">
        <v>17</v>
      </c>
      <c r="AO1452">
        <v>19</v>
      </c>
      <c r="AQ1452" t="str">
        <f t="shared" si="22"/>
        <v>Midfielder</v>
      </c>
    </row>
    <row r="1453" spans="1:43" x14ac:dyDescent="0.35">
      <c r="A1453" t="s">
        <v>845</v>
      </c>
      <c r="B1453" t="s">
        <v>43</v>
      </c>
      <c r="C1453" t="s">
        <v>2319</v>
      </c>
      <c r="D1453">
        <v>1989</v>
      </c>
      <c r="E1453">
        <v>28</v>
      </c>
      <c r="F1453" t="s">
        <v>54</v>
      </c>
      <c r="G1453" t="s">
        <v>174</v>
      </c>
      <c r="H1453">
        <v>22000000</v>
      </c>
      <c r="I1453">
        <v>19800000</v>
      </c>
      <c r="J1453" t="s">
        <v>55</v>
      </c>
      <c r="K1453">
        <v>16</v>
      </c>
      <c r="L1453">
        <v>854</v>
      </c>
      <c r="M1453">
        <v>1</v>
      </c>
      <c r="N1453">
        <v>210</v>
      </c>
      <c r="O1453">
        <v>0</v>
      </c>
      <c r="P1453">
        <v>0</v>
      </c>
      <c r="Q1453">
        <v>0</v>
      </c>
      <c r="R1453">
        <v>5</v>
      </c>
      <c r="S1453">
        <v>9</v>
      </c>
      <c r="T1453">
        <v>19</v>
      </c>
      <c r="U1453">
        <v>7</v>
      </c>
      <c r="V1453">
        <v>0</v>
      </c>
      <c r="W1453">
        <v>3</v>
      </c>
      <c r="X1453">
        <v>0</v>
      </c>
      <c r="Y1453">
        <v>0</v>
      </c>
      <c r="Z1453">
        <v>0</v>
      </c>
      <c r="AA1453">
        <v>4</v>
      </c>
      <c r="AB1453">
        <v>0</v>
      </c>
      <c r="AC1453">
        <v>12</v>
      </c>
      <c r="AD1453">
        <v>1</v>
      </c>
      <c r="AE1453">
        <v>53</v>
      </c>
      <c r="AF1453">
        <v>0</v>
      </c>
      <c r="AG1453">
        <v>4</v>
      </c>
      <c r="AH1453">
        <v>12</v>
      </c>
      <c r="AI1453">
        <v>0</v>
      </c>
      <c r="AJ1453">
        <v>8</v>
      </c>
      <c r="AK1453">
        <v>0</v>
      </c>
      <c r="AL1453">
        <v>0</v>
      </c>
      <c r="AM1453">
        <v>7</v>
      </c>
      <c r="AN1453">
        <v>12</v>
      </c>
      <c r="AO1453">
        <v>10</v>
      </c>
      <c r="AQ1453" t="str">
        <f t="shared" si="22"/>
        <v>Midfielder</v>
      </c>
    </row>
    <row r="1454" spans="1:43" x14ac:dyDescent="0.35">
      <c r="A1454" t="s">
        <v>846</v>
      </c>
      <c r="B1454" t="s">
        <v>47</v>
      </c>
      <c r="C1454" t="s">
        <v>2320</v>
      </c>
      <c r="D1454">
        <v>1983</v>
      </c>
      <c r="E1454">
        <v>33</v>
      </c>
      <c r="F1454" t="s">
        <v>114</v>
      </c>
      <c r="G1454" t="s">
        <v>172</v>
      </c>
      <c r="H1454">
        <v>17600000</v>
      </c>
      <c r="I1454">
        <v>8800000</v>
      </c>
      <c r="J1454" t="s">
        <v>55</v>
      </c>
      <c r="K1454">
        <v>25</v>
      </c>
      <c r="L1454">
        <v>1947</v>
      </c>
      <c r="M1454">
        <v>5</v>
      </c>
      <c r="N1454">
        <v>1798</v>
      </c>
      <c r="O1454">
        <v>0</v>
      </c>
      <c r="P1454">
        <v>4</v>
      </c>
      <c r="Q1454">
        <v>0</v>
      </c>
      <c r="R1454">
        <v>3</v>
      </c>
      <c r="S1454">
        <v>8</v>
      </c>
      <c r="T1454">
        <v>32</v>
      </c>
      <c r="U1454">
        <v>15</v>
      </c>
      <c r="V1454">
        <v>0</v>
      </c>
      <c r="W1454">
        <v>26</v>
      </c>
      <c r="X1454">
        <v>0</v>
      </c>
      <c r="Y1454">
        <v>0</v>
      </c>
      <c r="Z1454">
        <v>0</v>
      </c>
      <c r="AA1454">
        <v>0</v>
      </c>
      <c r="AB1454">
        <v>12</v>
      </c>
      <c r="AC1454">
        <v>1</v>
      </c>
      <c r="AD1454">
        <v>1</v>
      </c>
      <c r="AE1454">
        <v>4</v>
      </c>
      <c r="AF1454">
        <v>4</v>
      </c>
      <c r="AG1454">
        <v>16</v>
      </c>
      <c r="AH1454">
        <v>26</v>
      </c>
      <c r="AI1454">
        <v>0</v>
      </c>
      <c r="AJ1454">
        <v>42</v>
      </c>
      <c r="AK1454">
        <v>0</v>
      </c>
      <c r="AL1454">
        <v>0</v>
      </c>
      <c r="AM1454">
        <v>39</v>
      </c>
      <c r="AN1454">
        <v>40</v>
      </c>
      <c r="AO1454">
        <v>28</v>
      </c>
      <c r="AQ1454" t="str">
        <f t="shared" si="22"/>
        <v>Midfielder</v>
      </c>
    </row>
    <row r="1455" spans="1:43" x14ac:dyDescent="0.35">
      <c r="A1455" t="s">
        <v>846</v>
      </c>
      <c r="B1455" t="s">
        <v>39</v>
      </c>
      <c r="C1455" t="s">
        <v>2321</v>
      </c>
      <c r="D1455">
        <v>1983</v>
      </c>
      <c r="E1455">
        <v>32</v>
      </c>
      <c r="F1455" t="s">
        <v>114</v>
      </c>
      <c r="G1455" t="s">
        <v>172</v>
      </c>
      <c r="H1455">
        <v>24200000</v>
      </c>
      <c r="I1455">
        <v>17600000</v>
      </c>
      <c r="J1455" t="s">
        <v>55</v>
      </c>
      <c r="K1455">
        <v>26</v>
      </c>
      <c r="L1455">
        <v>2331</v>
      </c>
      <c r="M1455">
        <v>6</v>
      </c>
      <c r="N1455">
        <v>1838</v>
      </c>
      <c r="O1455">
        <v>5</v>
      </c>
      <c r="P1455">
        <v>3</v>
      </c>
      <c r="Q1455">
        <v>0</v>
      </c>
      <c r="R1455">
        <v>4</v>
      </c>
      <c r="S1455">
        <v>12</v>
      </c>
      <c r="T1455">
        <v>77</v>
      </c>
      <c r="U1455">
        <v>23</v>
      </c>
      <c r="V1455">
        <v>0</v>
      </c>
      <c r="W1455">
        <v>27</v>
      </c>
      <c r="X1455">
        <v>0</v>
      </c>
      <c r="Y1455">
        <v>1</v>
      </c>
      <c r="Z1455">
        <v>0</v>
      </c>
      <c r="AA1455">
        <v>2</v>
      </c>
      <c r="AB1455">
        <v>20</v>
      </c>
      <c r="AC1455">
        <v>5</v>
      </c>
      <c r="AD1455">
        <v>0</v>
      </c>
      <c r="AE1455">
        <v>12</v>
      </c>
      <c r="AF1455">
        <v>0</v>
      </c>
      <c r="AG1455">
        <v>25</v>
      </c>
      <c r="AH1455">
        <v>27</v>
      </c>
      <c r="AI1455">
        <v>0</v>
      </c>
      <c r="AJ1455">
        <v>43</v>
      </c>
      <c r="AK1455">
        <v>0</v>
      </c>
      <c r="AL1455">
        <v>0</v>
      </c>
      <c r="AM1455">
        <v>35</v>
      </c>
      <c r="AN1455">
        <v>28</v>
      </c>
      <c r="AO1455">
        <v>33</v>
      </c>
      <c r="AQ1455" t="str">
        <f t="shared" si="22"/>
        <v>Midfielder</v>
      </c>
    </row>
    <row r="1456" spans="1:43" x14ac:dyDescent="0.35">
      <c r="A1456" t="s">
        <v>846</v>
      </c>
      <c r="B1456" t="s">
        <v>43</v>
      </c>
      <c r="C1456" t="s">
        <v>2322</v>
      </c>
      <c r="D1456">
        <v>1983</v>
      </c>
      <c r="E1456">
        <v>34</v>
      </c>
      <c r="F1456" t="s">
        <v>114</v>
      </c>
      <c r="G1456" t="s">
        <v>172</v>
      </c>
      <c r="H1456">
        <v>8800000</v>
      </c>
      <c r="I1456">
        <v>2750000</v>
      </c>
      <c r="J1456" t="s">
        <v>55</v>
      </c>
      <c r="K1456">
        <v>10</v>
      </c>
      <c r="L1456">
        <v>228</v>
      </c>
      <c r="M1456">
        <v>0</v>
      </c>
      <c r="N1456">
        <v>416</v>
      </c>
      <c r="O1456">
        <v>2</v>
      </c>
      <c r="P1456">
        <v>1</v>
      </c>
      <c r="Q1456">
        <v>0</v>
      </c>
      <c r="R1456">
        <v>9</v>
      </c>
      <c r="S1456">
        <v>1</v>
      </c>
      <c r="T1456">
        <v>1</v>
      </c>
      <c r="U1456">
        <v>1</v>
      </c>
      <c r="V1456">
        <v>0</v>
      </c>
      <c r="W1456">
        <v>4</v>
      </c>
      <c r="X1456">
        <v>0</v>
      </c>
      <c r="Y1456">
        <v>0</v>
      </c>
      <c r="Z1456">
        <v>0</v>
      </c>
      <c r="AA1456">
        <v>0</v>
      </c>
      <c r="AB1456">
        <v>3</v>
      </c>
      <c r="AC1456">
        <v>0</v>
      </c>
      <c r="AD1456">
        <v>0</v>
      </c>
      <c r="AE1456">
        <v>0</v>
      </c>
      <c r="AF1456">
        <v>1</v>
      </c>
      <c r="AG1456">
        <v>5</v>
      </c>
      <c r="AH1456">
        <v>5</v>
      </c>
      <c r="AI1456">
        <v>0</v>
      </c>
      <c r="AJ1456">
        <v>2</v>
      </c>
      <c r="AK1456">
        <v>0</v>
      </c>
      <c r="AL1456">
        <v>0</v>
      </c>
      <c r="AM1456">
        <v>4</v>
      </c>
      <c r="AN1456">
        <v>5</v>
      </c>
      <c r="AO1456">
        <v>4</v>
      </c>
      <c r="AQ1456" t="str">
        <f t="shared" si="22"/>
        <v>Midfielder</v>
      </c>
    </row>
    <row r="1457" spans="1:43" x14ac:dyDescent="0.35">
      <c r="A1457" t="s">
        <v>847</v>
      </c>
      <c r="B1457" t="s">
        <v>46</v>
      </c>
      <c r="C1457" t="s">
        <v>2323</v>
      </c>
      <c r="D1457">
        <v>1994</v>
      </c>
      <c r="E1457">
        <v>23</v>
      </c>
      <c r="F1457" t="s">
        <v>54</v>
      </c>
      <c r="G1457" t="s">
        <v>202</v>
      </c>
      <c r="H1457">
        <v>8100000</v>
      </c>
      <c r="I1457">
        <v>22500000</v>
      </c>
      <c r="J1457" t="s">
        <v>52</v>
      </c>
      <c r="K1457">
        <v>13</v>
      </c>
      <c r="L1457">
        <v>892</v>
      </c>
      <c r="M1457">
        <v>1</v>
      </c>
      <c r="N1457">
        <v>504</v>
      </c>
      <c r="O1457">
        <v>0</v>
      </c>
      <c r="P1457">
        <v>3</v>
      </c>
      <c r="Q1457">
        <v>0</v>
      </c>
      <c r="R1457">
        <v>3</v>
      </c>
      <c r="S1457">
        <v>1</v>
      </c>
      <c r="T1457">
        <v>4</v>
      </c>
      <c r="U1457">
        <v>1</v>
      </c>
      <c r="V1457">
        <v>0</v>
      </c>
      <c r="W1457">
        <v>29</v>
      </c>
      <c r="X1457">
        <v>1</v>
      </c>
      <c r="Y1457">
        <v>0</v>
      </c>
      <c r="Z1457">
        <v>0</v>
      </c>
      <c r="AA1457">
        <v>1</v>
      </c>
      <c r="AB1457">
        <v>0</v>
      </c>
      <c r="AC1457">
        <v>3</v>
      </c>
      <c r="AD1457">
        <v>0</v>
      </c>
      <c r="AE1457">
        <v>0</v>
      </c>
      <c r="AF1457">
        <v>5</v>
      </c>
      <c r="AG1457">
        <v>8</v>
      </c>
      <c r="AH1457">
        <v>13</v>
      </c>
      <c r="AI1457">
        <v>0</v>
      </c>
      <c r="AJ1457">
        <v>14</v>
      </c>
      <c r="AK1457">
        <v>1</v>
      </c>
      <c r="AL1457">
        <v>0</v>
      </c>
      <c r="AM1457">
        <v>50</v>
      </c>
      <c r="AN1457">
        <v>38</v>
      </c>
      <c r="AO1457">
        <v>27</v>
      </c>
      <c r="AQ1457" t="str">
        <f t="shared" si="22"/>
        <v>Defensive Forward</v>
      </c>
    </row>
    <row r="1458" spans="1:43" x14ac:dyDescent="0.35">
      <c r="A1458" t="s">
        <v>848</v>
      </c>
      <c r="B1458" t="s">
        <v>47</v>
      </c>
      <c r="C1458" t="s">
        <v>2324</v>
      </c>
      <c r="D1458">
        <v>1987</v>
      </c>
      <c r="E1458">
        <v>29</v>
      </c>
      <c r="F1458" t="s">
        <v>99</v>
      </c>
      <c r="G1458" t="s">
        <v>829</v>
      </c>
      <c r="H1458">
        <v>2200000</v>
      </c>
      <c r="I1458">
        <v>1100000</v>
      </c>
      <c r="J1458" t="s">
        <v>52</v>
      </c>
      <c r="K1458">
        <v>11</v>
      </c>
      <c r="L1458">
        <v>920</v>
      </c>
      <c r="M1458">
        <v>0</v>
      </c>
      <c r="N1458">
        <v>188</v>
      </c>
      <c r="O1458">
        <v>0</v>
      </c>
      <c r="P1458">
        <v>4</v>
      </c>
      <c r="Q1458">
        <v>0</v>
      </c>
      <c r="R1458">
        <v>0</v>
      </c>
      <c r="S1458">
        <v>4</v>
      </c>
      <c r="T1458">
        <v>4</v>
      </c>
      <c r="U1458">
        <v>1</v>
      </c>
      <c r="V1458">
        <v>0</v>
      </c>
      <c r="W1458">
        <v>33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5</v>
      </c>
      <c r="AG1458">
        <v>26</v>
      </c>
      <c r="AH1458">
        <v>15</v>
      </c>
      <c r="AI1458">
        <v>0</v>
      </c>
      <c r="AJ1458">
        <v>17</v>
      </c>
      <c r="AK1458">
        <v>0</v>
      </c>
      <c r="AL1458">
        <v>0</v>
      </c>
      <c r="AM1458">
        <v>56</v>
      </c>
      <c r="AN1458">
        <v>18</v>
      </c>
      <c r="AO1458">
        <v>23</v>
      </c>
      <c r="AQ1458" t="str">
        <f t="shared" si="22"/>
        <v>Defensive Forward</v>
      </c>
    </row>
    <row r="1459" spans="1:43" x14ac:dyDescent="0.35">
      <c r="A1459" t="s">
        <v>849</v>
      </c>
      <c r="B1459" t="s">
        <v>39</v>
      </c>
      <c r="C1459" t="s">
        <v>2325</v>
      </c>
      <c r="D1459">
        <v>1986</v>
      </c>
      <c r="E1459">
        <v>29</v>
      </c>
      <c r="F1459" t="s">
        <v>64</v>
      </c>
      <c r="G1459" t="s">
        <v>67</v>
      </c>
      <c r="H1459">
        <v>17600000</v>
      </c>
      <c r="I1459">
        <v>19800000</v>
      </c>
      <c r="J1459" t="s">
        <v>55</v>
      </c>
      <c r="K1459">
        <v>33</v>
      </c>
      <c r="L1459">
        <v>2703</v>
      </c>
      <c r="M1459">
        <v>5</v>
      </c>
      <c r="N1459">
        <v>1269</v>
      </c>
      <c r="O1459">
        <v>0</v>
      </c>
      <c r="P1459">
        <v>7</v>
      </c>
      <c r="Q1459">
        <v>0</v>
      </c>
      <c r="R1459">
        <v>1</v>
      </c>
      <c r="S1459">
        <v>15</v>
      </c>
      <c r="T1459">
        <v>67</v>
      </c>
      <c r="U1459">
        <v>21</v>
      </c>
      <c r="V1459">
        <v>2</v>
      </c>
      <c r="W1459">
        <v>6</v>
      </c>
      <c r="X1459">
        <v>0</v>
      </c>
      <c r="Y1459">
        <v>3</v>
      </c>
      <c r="Z1459">
        <v>0</v>
      </c>
      <c r="AA1459">
        <v>0</v>
      </c>
      <c r="AB1459">
        <v>3</v>
      </c>
      <c r="AC1459">
        <v>3</v>
      </c>
      <c r="AD1459">
        <v>92</v>
      </c>
      <c r="AE1459">
        <v>143</v>
      </c>
      <c r="AF1459">
        <v>6</v>
      </c>
      <c r="AG1459">
        <v>120</v>
      </c>
      <c r="AH1459">
        <v>38</v>
      </c>
      <c r="AI1459">
        <v>0</v>
      </c>
      <c r="AJ1459">
        <v>107</v>
      </c>
      <c r="AK1459">
        <v>0</v>
      </c>
      <c r="AL1459">
        <v>0</v>
      </c>
      <c r="AM1459">
        <v>17</v>
      </c>
      <c r="AN1459">
        <v>8</v>
      </c>
      <c r="AO1459">
        <v>12</v>
      </c>
      <c r="AQ1459" t="str">
        <f t="shared" si="22"/>
        <v>Midfielder</v>
      </c>
    </row>
    <row r="1460" spans="1:43" x14ac:dyDescent="0.35">
      <c r="A1460" t="s">
        <v>849</v>
      </c>
      <c r="B1460" t="s">
        <v>47</v>
      </c>
      <c r="C1460" t="s">
        <v>2326</v>
      </c>
      <c r="D1460">
        <v>1986</v>
      </c>
      <c r="E1460">
        <v>30</v>
      </c>
      <c r="F1460" t="s">
        <v>64</v>
      </c>
      <c r="G1460" t="s">
        <v>67</v>
      </c>
      <c r="H1460">
        <v>19800000</v>
      </c>
      <c r="I1460">
        <v>16500000</v>
      </c>
      <c r="J1460" t="s">
        <v>55</v>
      </c>
      <c r="K1460">
        <v>32</v>
      </c>
      <c r="L1460">
        <v>2132</v>
      </c>
      <c r="M1460">
        <v>4</v>
      </c>
      <c r="N1460">
        <v>984</v>
      </c>
      <c r="O1460">
        <v>3</v>
      </c>
      <c r="P1460">
        <v>7</v>
      </c>
      <c r="Q1460">
        <v>0</v>
      </c>
      <c r="R1460">
        <v>7</v>
      </c>
      <c r="S1460">
        <v>13</v>
      </c>
      <c r="T1460">
        <v>40</v>
      </c>
      <c r="U1460">
        <v>11</v>
      </c>
      <c r="V1460">
        <v>0</v>
      </c>
      <c r="W1460">
        <v>5</v>
      </c>
      <c r="X1460">
        <v>0</v>
      </c>
      <c r="Y1460">
        <v>0</v>
      </c>
      <c r="Z1460">
        <v>0</v>
      </c>
      <c r="AA1460">
        <v>2</v>
      </c>
      <c r="AB1460">
        <v>3</v>
      </c>
      <c r="AC1460">
        <v>0</v>
      </c>
      <c r="AD1460">
        <v>58</v>
      </c>
      <c r="AE1460">
        <v>109</v>
      </c>
      <c r="AF1460">
        <v>5</v>
      </c>
      <c r="AG1460">
        <v>72</v>
      </c>
      <c r="AH1460">
        <v>31</v>
      </c>
      <c r="AI1460">
        <v>0</v>
      </c>
      <c r="AJ1460">
        <v>60</v>
      </c>
      <c r="AK1460">
        <v>2</v>
      </c>
      <c r="AL1460">
        <v>0</v>
      </c>
      <c r="AM1460">
        <v>21</v>
      </c>
      <c r="AN1460">
        <v>8</v>
      </c>
      <c r="AO1460">
        <v>12</v>
      </c>
      <c r="AQ1460" t="str">
        <f t="shared" si="22"/>
        <v>Midfielder</v>
      </c>
    </row>
    <row r="1461" spans="1:43" x14ac:dyDescent="0.35">
      <c r="A1461" t="s">
        <v>849</v>
      </c>
      <c r="B1461" t="s">
        <v>43</v>
      </c>
      <c r="C1461" t="s">
        <v>2327</v>
      </c>
      <c r="D1461">
        <v>1986</v>
      </c>
      <c r="E1461">
        <v>31</v>
      </c>
      <c r="F1461" t="s">
        <v>64</v>
      </c>
      <c r="G1461" t="s">
        <v>67</v>
      </c>
      <c r="H1461">
        <v>16500000</v>
      </c>
      <c r="I1461">
        <v>11000000</v>
      </c>
      <c r="J1461" t="s">
        <v>55</v>
      </c>
      <c r="K1461">
        <v>31</v>
      </c>
      <c r="L1461">
        <v>2386</v>
      </c>
      <c r="M1461">
        <v>0</v>
      </c>
      <c r="N1461">
        <v>1293</v>
      </c>
      <c r="O1461">
        <v>1</v>
      </c>
      <c r="P1461">
        <v>7</v>
      </c>
      <c r="Q1461">
        <v>0</v>
      </c>
      <c r="R1461">
        <v>3</v>
      </c>
      <c r="S1461">
        <v>15</v>
      </c>
      <c r="T1461">
        <v>38</v>
      </c>
      <c r="U1461">
        <v>12</v>
      </c>
      <c r="V1461">
        <v>2</v>
      </c>
      <c r="W1461">
        <v>5</v>
      </c>
      <c r="X1461">
        <v>0</v>
      </c>
      <c r="Y1461">
        <v>0</v>
      </c>
      <c r="Z1461">
        <v>0</v>
      </c>
      <c r="AA1461">
        <v>1</v>
      </c>
      <c r="AB1461">
        <v>6</v>
      </c>
      <c r="AC1461">
        <v>26</v>
      </c>
      <c r="AD1461">
        <v>104</v>
      </c>
      <c r="AE1461">
        <v>136</v>
      </c>
      <c r="AF1461">
        <v>4</v>
      </c>
      <c r="AG1461">
        <v>79</v>
      </c>
      <c r="AH1461">
        <v>35</v>
      </c>
      <c r="AI1461">
        <v>0</v>
      </c>
      <c r="AJ1461">
        <v>70</v>
      </c>
      <c r="AK1461">
        <v>1</v>
      </c>
      <c r="AL1461">
        <v>0</v>
      </c>
      <c r="AM1461">
        <v>28</v>
      </c>
      <c r="AN1461">
        <v>6</v>
      </c>
      <c r="AO1461">
        <v>14</v>
      </c>
      <c r="AQ1461" t="str">
        <f t="shared" si="22"/>
        <v>Midfielder</v>
      </c>
    </row>
    <row r="1462" spans="1:43" x14ac:dyDescent="0.35">
      <c r="A1462" t="s">
        <v>850</v>
      </c>
      <c r="B1462" t="s">
        <v>46</v>
      </c>
      <c r="C1462" t="s">
        <v>2328</v>
      </c>
      <c r="D1462">
        <v>1992</v>
      </c>
      <c r="E1462">
        <v>26</v>
      </c>
      <c r="F1462" t="s">
        <v>117</v>
      </c>
      <c r="G1462" t="s">
        <v>617</v>
      </c>
      <c r="H1462">
        <v>11000000</v>
      </c>
      <c r="I1462">
        <v>8100000</v>
      </c>
      <c r="J1462" t="s">
        <v>42</v>
      </c>
      <c r="K1462">
        <v>17</v>
      </c>
      <c r="L1462">
        <v>517</v>
      </c>
      <c r="M1462">
        <v>1</v>
      </c>
      <c r="N1462">
        <v>113</v>
      </c>
      <c r="O1462">
        <v>0</v>
      </c>
      <c r="P1462">
        <v>1</v>
      </c>
      <c r="Q1462">
        <v>0</v>
      </c>
      <c r="R1462">
        <v>12</v>
      </c>
      <c r="S1462">
        <v>4</v>
      </c>
      <c r="T1462">
        <v>6</v>
      </c>
      <c r="U1462">
        <v>3</v>
      </c>
      <c r="V1462">
        <v>0</v>
      </c>
      <c r="W1462">
        <v>2</v>
      </c>
      <c r="X1462">
        <v>0</v>
      </c>
      <c r="Y1462">
        <v>0</v>
      </c>
      <c r="Z1462">
        <v>0</v>
      </c>
      <c r="AA1462">
        <v>2</v>
      </c>
      <c r="AB1462">
        <v>1</v>
      </c>
      <c r="AC1462">
        <v>3</v>
      </c>
      <c r="AD1462">
        <v>0</v>
      </c>
      <c r="AE1462">
        <v>4</v>
      </c>
      <c r="AF1462">
        <v>0</v>
      </c>
      <c r="AG1462">
        <v>5</v>
      </c>
      <c r="AH1462">
        <v>13</v>
      </c>
      <c r="AI1462">
        <v>0</v>
      </c>
      <c r="AJ1462">
        <v>8</v>
      </c>
      <c r="AK1462">
        <v>0</v>
      </c>
      <c r="AL1462">
        <v>0</v>
      </c>
      <c r="AM1462">
        <v>3</v>
      </c>
      <c r="AN1462">
        <v>10</v>
      </c>
      <c r="AO1462">
        <v>27</v>
      </c>
      <c r="AQ1462" t="str">
        <f t="shared" si="22"/>
        <v>Forward</v>
      </c>
    </row>
    <row r="1463" spans="1:43" x14ac:dyDescent="0.35">
      <c r="A1463" t="s">
        <v>851</v>
      </c>
      <c r="B1463" t="s">
        <v>47</v>
      </c>
      <c r="C1463" t="s">
        <v>2329</v>
      </c>
      <c r="D1463">
        <v>1986</v>
      </c>
      <c r="E1463">
        <v>30</v>
      </c>
      <c r="F1463" t="s">
        <v>66</v>
      </c>
      <c r="G1463" t="s">
        <v>67</v>
      </c>
      <c r="H1463">
        <v>2750000</v>
      </c>
      <c r="I1463">
        <v>2750000</v>
      </c>
      <c r="J1463" t="s">
        <v>55</v>
      </c>
      <c r="K1463">
        <v>23</v>
      </c>
      <c r="L1463">
        <v>1915</v>
      </c>
      <c r="M1463">
        <v>2</v>
      </c>
      <c r="N1463">
        <v>701</v>
      </c>
      <c r="O1463">
        <v>0</v>
      </c>
      <c r="P1463">
        <v>2</v>
      </c>
      <c r="Q1463">
        <v>0</v>
      </c>
      <c r="R1463">
        <v>0</v>
      </c>
      <c r="S1463">
        <v>5</v>
      </c>
      <c r="T1463">
        <v>12</v>
      </c>
      <c r="U1463">
        <v>4</v>
      </c>
      <c r="V1463">
        <v>0</v>
      </c>
      <c r="W1463">
        <v>62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1</v>
      </c>
      <c r="AD1463">
        <v>0</v>
      </c>
      <c r="AE1463">
        <v>13</v>
      </c>
      <c r="AF1463">
        <v>15</v>
      </c>
      <c r="AG1463">
        <v>47</v>
      </c>
      <c r="AH1463">
        <v>19</v>
      </c>
      <c r="AI1463">
        <v>0</v>
      </c>
      <c r="AJ1463">
        <v>37</v>
      </c>
      <c r="AK1463">
        <v>1</v>
      </c>
      <c r="AL1463">
        <v>0</v>
      </c>
      <c r="AM1463">
        <v>136</v>
      </c>
      <c r="AN1463">
        <v>65</v>
      </c>
      <c r="AO1463">
        <v>35</v>
      </c>
      <c r="AQ1463" t="str">
        <f t="shared" si="22"/>
        <v>Midfielder</v>
      </c>
    </row>
    <row r="1464" spans="1:43" x14ac:dyDescent="0.35">
      <c r="A1464" t="s">
        <v>851</v>
      </c>
      <c r="B1464" t="s">
        <v>39</v>
      </c>
      <c r="C1464" t="s">
        <v>2330</v>
      </c>
      <c r="D1464">
        <v>1986</v>
      </c>
      <c r="E1464">
        <v>29</v>
      </c>
      <c r="F1464" t="s">
        <v>78</v>
      </c>
      <c r="G1464" t="s">
        <v>67</v>
      </c>
      <c r="H1464">
        <v>4000000</v>
      </c>
      <c r="I1464">
        <v>2200000</v>
      </c>
      <c r="J1464" t="s">
        <v>52</v>
      </c>
      <c r="K1464">
        <v>22</v>
      </c>
      <c r="L1464">
        <v>2009</v>
      </c>
      <c r="M1464">
        <v>0</v>
      </c>
      <c r="N1464">
        <v>654</v>
      </c>
      <c r="O1464">
        <v>1</v>
      </c>
      <c r="P1464">
        <v>3</v>
      </c>
      <c r="Q1464">
        <v>1</v>
      </c>
      <c r="R1464">
        <v>1</v>
      </c>
      <c r="S1464">
        <v>1</v>
      </c>
      <c r="T1464">
        <v>12</v>
      </c>
      <c r="U1464">
        <v>4</v>
      </c>
      <c r="V1464">
        <v>0</v>
      </c>
      <c r="W1464">
        <v>110</v>
      </c>
      <c r="X1464">
        <v>0</v>
      </c>
      <c r="Y1464">
        <v>0</v>
      </c>
      <c r="Z1464">
        <v>0</v>
      </c>
      <c r="AA1464">
        <v>1</v>
      </c>
      <c r="AB1464">
        <v>2</v>
      </c>
      <c r="AC1464">
        <v>0</v>
      </c>
      <c r="AD1464">
        <v>0</v>
      </c>
      <c r="AE1464">
        <v>13</v>
      </c>
      <c r="AF1464">
        <v>20</v>
      </c>
      <c r="AG1464">
        <v>52</v>
      </c>
      <c r="AH1464">
        <v>15</v>
      </c>
      <c r="AI1464">
        <v>0</v>
      </c>
      <c r="AJ1464">
        <v>43</v>
      </c>
      <c r="AK1464">
        <v>1</v>
      </c>
      <c r="AL1464">
        <v>0</v>
      </c>
      <c r="AM1464">
        <v>196</v>
      </c>
      <c r="AN1464">
        <v>78</v>
      </c>
      <c r="AO1464">
        <v>55</v>
      </c>
      <c r="AQ1464" t="str">
        <f t="shared" si="22"/>
        <v>Defensive Forward</v>
      </c>
    </row>
    <row r="1465" spans="1:43" x14ac:dyDescent="0.35">
      <c r="A1465" t="s">
        <v>852</v>
      </c>
      <c r="B1465" t="s">
        <v>46</v>
      </c>
      <c r="C1465" t="s">
        <v>2331</v>
      </c>
      <c r="D1465">
        <v>1997</v>
      </c>
      <c r="E1465">
        <v>21</v>
      </c>
      <c r="F1465" t="s">
        <v>99</v>
      </c>
      <c r="G1465" t="s">
        <v>95</v>
      </c>
      <c r="H1465">
        <v>22000000</v>
      </c>
      <c r="I1465">
        <v>41800000</v>
      </c>
      <c r="J1465" t="s">
        <v>55</v>
      </c>
      <c r="K1465">
        <v>13</v>
      </c>
      <c r="L1465">
        <v>1091</v>
      </c>
      <c r="M1465">
        <v>3</v>
      </c>
      <c r="N1465">
        <v>641</v>
      </c>
      <c r="O1465">
        <v>4</v>
      </c>
      <c r="P1465">
        <v>2</v>
      </c>
      <c r="Q1465">
        <v>0</v>
      </c>
      <c r="R1465">
        <v>0</v>
      </c>
      <c r="S1465">
        <v>6</v>
      </c>
      <c r="T1465">
        <v>31</v>
      </c>
      <c r="U1465">
        <v>12</v>
      </c>
      <c r="V1465">
        <v>0</v>
      </c>
      <c r="W1465">
        <v>6</v>
      </c>
      <c r="X1465">
        <v>0</v>
      </c>
      <c r="Y1465">
        <v>0</v>
      </c>
      <c r="Z1465">
        <v>0</v>
      </c>
      <c r="AA1465">
        <v>0</v>
      </c>
      <c r="AB1465">
        <v>11</v>
      </c>
      <c r="AC1465">
        <v>19</v>
      </c>
      <c r="AD1465">
        <v>0</v>
      </c>
      <c r="AE1465">
        <v>16</v>
      </c>
      <c r="AF1465">
        <v>2</v>
      </c>
      <c r="AG1465">
        <v>5</v>
      </c>
      <c r="AH1465">
        <v>10</v>
      </c>
      <c r="AI1465">
        <v>0</v>
      </c>
      <c r="AJ1465">
        <v>17</v>
      </c>
      <c r="AK1465">
        <v>0</v>
      </c>
      <c r="AL1465">
        <v>0</v>
      </c>
      <c r="AM1465">
        <v>11</v>
      </c>
      <c r="AN1465">
        <v>12</v>
      </c>
      <c r="AO1465">
        <v>9</v>
      </c>
      <c r="AQ1465" t="str">
        <f t="shared" si="22"/>
        <v>Midfielder</v>
      </c>
    </row>
    <row r="1466" spans="1:43" x14ac:dyDescent="0.35">
      <c r="A1466" t="s">
        <v>853</v>
      </c>
      <c r="B1466" t="s">
        <v>46</v>
      </c>
      <c r="C1466" t="s">
        <v>2332</v>
      </c>
      <c r="D1466">
        <v>1996</v>
      </c>
      <c r="E1466">
        <v>21</v>
      </c>
      <c r="F1466" t="s">
        <v>134</v>
      </c>
      <c r="G1466" t="s">
        <v>187</v>
      </c>
      <c r="H1466">
        <v>13500000</v>
      </c>
      <c r="I1466">
        <v>13500000</v>
      </c>
      <c r="J1466" t="s">
        <v>55</v>
      </c>
      <c r="K1466">
        <v>28</v>
      </c>
      <c r="L1466">
        <v>1768</v>
      </c>
      <c r="M1466">
        <v>0</v>
      </c>
      <c r="N1466">
        <v>715</v>
      </c>
      <c r="O1466">
        <v>0</v>
      </c>
      <c r="P1466">
        <v>5</v>
      </c>
      <c r="Q1466">
        <v>0</v>
      </c>
      <c r="R1466">
        <v>11</v>
      </c>
      <c r="S1466">
        <v>6</v>
      </c>
      <c r="T1466">
        <v>31</v>
      </c>
      <c r="U1466">
        <v>3</v>
      </c>
      <c r="V1466">
        <v>0</v>
      </c>
      <c r="W1466">
        <v>12</v>
      </c>
      <c r="X1466">
        <v>0</v>
      </c>
      <c r="Y1466">
        <v>0</v>
      </c>
      <c r="Z1466">
        <v>0</v>
      </c>
      <c r="AA1466">
        <v>2</v>
      </c>
      <c r="AB1466">
        <v>3</v>
      </c>
      <c r="AC1466">
        <v>28</v>
      </c>
      <c r="AD1466">
        <v>3</v>
      </c>
      <c r="AE1466">
        <v>8</v>
      </c>
      <c r="AF1466">
        <v>5</v>
      </c>
      <c r="AG1466">
        <v>33</v>
      </c>
      <c r="AH1466">
        <v>40</v>
      </c>
      <c r="AI1466">
        <v>0</v>
      </c>
      <c r="AJ1466">
        <v>62</v>
      </c>
      <c r="AK1466">
        <v>1</v>
      </c>
      <c r="AL1466">
        <v>0</v>
      </c>
      <c r="AM1466">
        <v>25</v>
      </c>
      <c r="AN1466">
        <v>27</v>
      </c>
      <c r="AO1466">
        <v>31</v>
      </c>
      <c r="AQ1466" t="str">
        <f t="shared" si="22"/>
        <v>Midfielder</v>
      </c>
    </row>
    <row r="1467" spans="1:43" x14ac:dyDescent="0.35">
      <c r="A1467" t="s">
        <v>854</v>
      </c>
      <c r="B1467" t="s">
        <v>46</v>
      </c>
      <c r="C1467" t="s">
        <v>2333</v>
      </c>
      <c r="D1467">
        <v>1990</v>
      </c>
      <c r="E1467">
        <v>28</v>
      </c>
      <c r="F1467" t="s">
        <v>58</v>
      </c>
      <c r="G1467" t="s">
        <v>152</v>
      </c>
      <c r="H1467">
        <v>5500000</v>
      </c>
      <c r="I1467">
        <v>5500000</v>
      </c>
      <c r="J1467" t="s">
        <v>55</v>
      </c>
      <c r="K1467">
        <v>24</v>
      </c>
      <c r="L1467">
        <v>2148</v>
      </c>
      <c r="M1467">
        <v>3</v>
      </c>
      <c r="N1467">
        <v>1173</v>
      </c>
      <c r="O1467">
        <v>1</v>
      </c>
      <c r="P1467">
        <v>6</v>
      </c>
      <c r="Q1467">
        <v>0</v>
      </c>
      <c r="R1467">
        <v>0</v>
      </c>
      <c r="S1467">
        <v>1</v>
      </c>
      <c r="T1467">
        <v>8</v>
      </c>
      <c r="U1467">
        <v>4</v>
      </c>
      <c r="V1467">
        <v>0</v>
      </c>
      <c r="W1467">
        <v>25</v>
      </c>
      <c r="X1467">
        <v>1</v>
      </c>
      <c r="Y1467">
        <v>0</v>
      </c>
      <c r="Z1467">
        <v>0</v>
      </c>
      <c r="AA1467">
        <v>0</v>
      </c>
      <c r="AB1467">
        <v>0</v>
      </c>
      <c r="AC1467">
        <v>4</v>
      </c>
      <c r="AD1467">
        <v>0</v>
      </c>
      <c r="AE1467">
        <v>4</v>
      </c>
      <c r="AF1467">
        <v>14</v>
      </c>
      <c r="AG1467">
        <v>69</v>
      </c>
      <c r="AH1467">
        <v>33</v>
      </c>
      <c r="AI1467">
        <v>0</v>
      </c>
      <c r="AJ1467">
        <v>49</v>
      </c>
      <c r="AK1467">
        <v>0</v>
      </c>
      <c r="AL1467">
        <v>0</v>
      </c>
      <c r="AM1467">
        <v>82</v>
      </c>
      <c r="AN1467">
        <v>36</v>
      </c>
      <c r="AO1467">
        <v>52</v>
      </c>
      <c r="AQ1467" t="str">
        <f t="shared" si="22"/>
        <v>Midfielder</v>
      </c>
    </row>
    <row r="1468" spans="1:43" x14ac:dyDescent="0.35">
      <c r="A1468" t="s">
        <v>854</v>
      </c>
      <c r="B1468" t="s">
        <v>43</v>
      </c>
      <c r="C1468" t="s">
        <v>2334</v>
      </c>
      <c r="D1468">
        <v>1990</v>
      </c>
      <c r="E1468">
        <v>27</v>
      </c>
      <c r="F1468" t="s">
        <v>58</v>
      </c>
      <c r="G1468" t="s">
        <v>152</v>
      </c>
      <c r="H1468">
        <v>2750000</v>
      </c>
      <c r="I1468">
        <v>5500000</v>
      </c>
      <c r="J1468" t="s">
        <v>52</v>
      </c>
      <c r="K1468">
        <v>38</v>
      </c>
      <c r="L1468">
        <v>3420</v>
      </c>
      <c r="M1468">
        <v>0</v>
      </c>
      <c r="N1468">
        <v>1561</v>
      </c>
      <c r="O1468">
        <v>2</v>
      </c>
      <c r="P1468">
        <v>6</v>
      </c>
      <c r="Q1468">
        <v>0</v>
      </c>
      <c r="R1468">
        <v>0</v>
      </c>
      <c r="S1468">
        <v>0</v>
      </c>
      <c r="T1468">
        <v>13</v>
      </c>
      <c r="U1468">
        <v>3</v>
      </c>
      <c r="V1468">
        <v>0</v>
      </c>
      <c r="W1468">
        <v>121</v>
      </c>
      <c r="X1468">
        <v>0</v>
      </c>
      <c r="Y1468">
        <v>0</v>
      </c>
      <c r="Z1468">
        <v>0</v>
      </c>
      <c r="AA1468">
        <v>2</v>
      </c>
      <c r="AB1468">
        <v>2</v>
      </c>
      <c r="AC1468">
        <v>10</v>
      </c>
      <c r="AD1468">
        <v>0</v>
      </c>
      <c r="AE1468">
        <v>0</v>
      </c>
      <c r="AF1468">
        <v>20</v>
      </c>
      <c r="AG1468">
        <v>76</v>
      </c>
      <c r="AH1468">
        <v>45</v>
      </c>
      <c r="AI1468">
        <v>0</v>
      </c>
      <c r="AJ1468">
        <v>55</v>
      </c>
      <c r="AK1468">
        <v>1</v>
      </c>
      <c r="AL1468">
        <v>0</v>
      </c>
      <c r="AM1468">
        <v>241</v>
      </c>
      <c r="AN1468">
        <v>88</v>
      </c>
      <c r="AO1468">
        <v>82</v>
      </c>
      <c r="AQ1468" t="str">
        <f t="shared" si="22"/>
        <v>Defensive Forward</v>
      </c>
    </row>
    <row r="1469" spans="1:43" x14ac:dyDescent="0.35">
      <c r="A1469" t="s">
        <v>855</v>
      </c>
      <c r="B1469" t="s">
        <v>47</v>
      </c>
      <c r="C1469" t="s">
        <v>2335</v>
      </c>
      <c r="D1469">
        <v>1981</v>
      </c>
      <c r="E1469">
        <v>35</v>
      </c>
      <c r="F1469" t="s">
        <v>129</v>
      </c>
      <c r="G1469" t="s">
        <v>484</v>
      </c>
      <c r="H1469">
        <v>13500000</v>
      </c>
      <c r="I1469">
        <v>9000000</v>
      </c>
      <c r="J1469" t="s">
        <v>42</v>
      </c>
      <c r="K1469">
        <v>28</v>
      </c>
      <c r="L1469">
        <v>2437</v>
      </c>
      <c r="M1469">
        <v>17</v>
      </c>
      <c r="N1469">
        <v>1041</v>
      </c>
      <c r="O1469">
        <v>5</v>
      </c>
      <c r="P1469">
        <v>7</v>
      </c>
      <c r="Q1469">
        <v>0</v>
      </c>
      <c r="R1469">
        <v>1</v>
      </c>
      <c r="S1469">
        <v>0</v>
      </c>
      <c r="T1469">
        <v>115</v>
      </c>
      <c r="U1469">
        <v>46</v>
      </c>
      <c r="V1469">
        <v>1</v>
      </c>
      <c r="W1469">
        <v>18</v>
      </c>
      <c r="X1469">
        <v>4</v>
      </c>
      <c r="Y1469">
        <v>2</v>
      </c>
      <c r="Z1469">
        <v>0</v>
      </c>
      <c r="AA1469">
        <v>37</v>
      </c>
      <c r="AB1469">
        <v>12</v>
      </c>
      <c r="AC1469">
        <v>18</v>
      </c>
      <c r="AD1469">
        <v>0</v>
      </c>
      <c r="AE1469">
        <v>18</v>
      </c>
      <c r="AF1469">
        <v>1</v>
      </c>
      <c r="AG1469">
        <v>10</v>
      </c>
      <c r="AH1469">
        <v>54</v>
      </c>
      <c r="AI1469">
        <v>0</v>
      </c>
      <c r="AJ1469">
        <v>10</v>
      </c>
      <c r="AK1469">
        <v>0</v>
      </c>
      <c r="AL1469">
        <v>0</v>
      </c>
      <c r="AM1469">
        <v>22</v>
      </c>
      <c r="AN1469">
        <v>83</v>
      </c>
      <c r="AO1469">
        <v>84</v>
      </c>
      <c r="AQ1469" t="str">
        <f t="shared" si="22"/>
        <v>Forward</v>
      </c>
    </row>
    <row r="1470" spans="1:43" x14ac:dyDescent="0.35">
      <c r="AQ1470" t="str">
        <f t="shared" si="22"/>
        <v>Midfielder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21758-AFF4-493A-B513-1F2200D65BA6}">
  <sheetPr codeName="Sheet2"/>
  <dimension ref="A2:P37"/>
  <sheetViews>
    <sheetView tabSelected="1" zoomScale="70" zoomScaleNormal="74" workbookViewId="0">
      <selection activeCell="G10" sqref="G10:G11"/>
    </sheetView>
  </sheetViews>
  <sheetFormatPr defaultRowHeight="14.5" x14ac:dyDescent="0.35"/>
  <cols>
    <col min="1" max="1" width="22.6328125" customWidth="1"/>
    <col min="2" max="2" width="27.81640625" customWidth="1"/>
    <col min="3" max="3" width="34.453125" customWidth="1"/>
    <col min="4" max="4" width="3.26953125" customWidth="1"/>
    <col min="5" max="5" width="14.08984375" customWidth="1"/>
    <col min="6" max="6" width="3.36328125" customWidth="1"/>
    <col min="7" max="7" width="35.453125" customWidth="1"/>
    <col min="8" max="8" width="28.08984375" customWidth="1"/>
    <col min="9" max="9" width="21.54296875" customWidth="1"/>
    <col min="10" max="10" width="16.26953125" bestFit="1" customWidth="1"/>
    <col min="11" max="11" width="22.1796875" bestFit="1" customWidth="1"/>
    <col min="12" max="12" width="17.81640625" bestFit="1" customWidth="1"/>
    <col min="13" max="16" width="17.453125" bestFit="1" customWidth="1"/>
    <col min="17" max="48" width="21.81640625" bestFit="1" customWidth="1"/>
    <col min="49" max="49" width="19.7265625" bestFit="1" customWidth="1"/>
    <col min="50" max="50" width="20.6328125" bestFit="1" customWidth="1"/>
    <col min="51" max="51" width="18.1796875" bestFit="1" customWidth="1"/>
    <col min="52" max="52" width="19.7265625" bestFit="1" customWidth="1"/>
    <col min="53" max="53" width="23.36328125" bestFit="1" customWidth="1"/>
    <col min="54" max="54" width="22" bestFit="1" customWidth="1"/>
    <col min="55" max="55" width="20.7265625" bestFit="1" customWidth="1"/>
    <col min="56" max="56" width="21.7265625" bestFit="1" customWidth="1"/>
    <col min="57" max="57" width="19.453125" bestFit="1" customWidth="1"/>
    <col min="58" max="58" width="26.6328125" bestFit="1" customWidth="1"/>
  </cols>
  <sheetData>
    <row r="2" spans="1:16" x14ac:dyDescent="0.35">
      <c r="B2" s="37"/>
      <c r="C2" s="36"/>
      <c r="D2" s="36"/>
      <c r="E2" s="36"/>
      <c r="F2" s="36"/>
      <c r="G2" s="36"/>
      <c r="H2" s="36"/>
    </row>
    <row r="3" spans="1:16" x14ac:dyDescent="0.35">
      <c r="E3" s="36"/>
    </row>
    <row r="4" spans="1:16" ht="14.5" customHeight="1" x14ac:dyDescent="0.35">
      <c r="A4" s="38" t="s">
        <v>2349</v>
      </c>
      <c r="D4" s="17"/>
      <c r="E4" s="36"/>
      <c r="F4" s="17"/>
      <c r="I4" s="30" t="s">
        <v>2349</v>
      </c>
    </row>
    <row r="5" spans="1:16" x14ac:dyDescent="0.35">
      <c r="A5" s="38"/>
      <c r="D5" s="17"/>
      <c r="E5" s="36"/>
      <c r="F5" s="17"/>
      <c r="I5" s="30"/>
    </row>
    <row r="6" spans="1:16" x14ac:dyDescent="0.35">
      <c r="A6" s="38"/>
      <c r="D6" s="17"/>
      <c r="E6" s="36"/>
      <c r="F6" s="17"/>
      <c r="I6" s="30"/>
    </row>
    <row r="7" spans="1:16" x14ac:dyDescent="0.35">
      <c r="A7" s="38"/>
      <c r="D7" s="17"/>
      <c r="E7" s="36"/>
      <c r="F7" s="17"/>
      <c r="I7" s="30"/>
    </row>
    <row r="8" spans="1:16" ht="17" customHeight="1" x14ac:dyDescent="0.35">
      <c r="D8" s="15"/>
      <c r="E8" s="36"/>
    </row>
    <row r="9" spans="1:16" ht="57" customHeight="1" x14ac:dyDescent="0.35">
      <c r="B9" s="3"/>
      <c r="C9" s="4"/>
      <c r="E9" s="14"/>
      <c r="F9" s="14"/>
      <c r="G9" s="8"/>
      <c r="H9" s="3"/>
      <c r="K9" s="7" t="s">
        <v>2350</v>
      </c>
    </row>
    <row r="10" spans="1:16" ht="30.5" customHeight="1" x14ac:dyDescent="0.35">
      <c r="B10" s="32" t="s">
        <v>869</v>
      </c>
      <c r="C10" s="35" t="s">
        <v>871</v>
      </c>
      <c r="D10" s="16" t="s">
        <v>2362</v>
      </c>
      <c r="E10" s="34"/>
      <c r="F10" s="34"/>
      <c r="G10" s="35" t="s">
        <v>874</v>
      </c>
      <c r="H10" s="41" t="s">
        <v>869</v>
      </c>
      <c r="K10" s="5" t="s">
        <v>862</v>
      </c>
      <c r="L10" t="s">
        <v>2365</v>
      </c>
      <c r="P10" s="6"/>
    </row>
    <row r="11" spans="1:16" x14ac:dyDescent="0.35">
      <c r="B11" s="33"/>
      <c r="C11" s="35"/>
      <c r="E11" s="34"/>
      <c r="F11" s="34"/>
      <c r="G11" s="35"/>
      <c r="H11" s="42"/>
      <c r="K11" s="5" t="s">
        <v>1</v>
      </c>
      <c r="L11" t="s">
        <v>2365</v>
      </c>
    </row>
    <row r="12" spans="1:16" ht="16.5" customHeight="1" x14ac:dyDescent="0.35">
      <c r="B12" s="1" t="s">
        <v>861</v>
      </c>
      <c r="C12" s="26">
        <f>_xlfn.XLOOKUP(C10,'Final Premier League Data'!C:C,'Final Premier League Data'!E:E)</f>
        <v>25</v>
      </c>
      <c r="D12" s="19">
        <f>AVERAGEIFS('Final Premier League Data'!E:E,'Final Premier League Data'!J:J,'DT worksheet'!$C$15,'Final Premier League Data'!B:B,'DT worksheet'!$C$27)</f>
        <v>25.898876404494381</v>
      </c>
      <c r="E12" s="14"/>
      <c r="F12" s="18">
        <f>AVERAGEIFS('Final Premier League Data'!E:E,'Final Premier League Data'!J:J,'DT worksheet'!G15,'Final Premier League Data'!B:B,'DT worksheet'!G27)</f>
        <v>26.753731343283583</v>
      </c>
      <c r="G12" s="26">
        <f>_xlfn.XLOOKUP(G10,'Final Premier League Data'!C:C,'Final Premier League Data'!E:E)</f>
        <v>28</v>
      </c>
      <c r="H12" s="1" t="s">
        <v>861</v>
      </c>
      <c r="K12" s="1"/>
      <c r="L12" s="12"/>
      <c r="M12" s="12"/>
      <c r="N12" s="12"/>
      <c r="O12" s="1"/>
    </row>
    <row r="13" spans="1:16" ht="16.5" customHeight="1" x14ac:dyDescent="0.35">
      <c r="B13" s="1" t="s">
        <v>862</v>
      </c>
      <c r="C13" s="26" t="str">
        <f>_xlfn.XLOOKUP(C10,'Final Premier League Data'!C:C,'Final Premier League Data'!F:F)</f>
        <v>Chelsea</v>
      </c>
      <c r="D13" s="19">
        <f>AVERAGEIFS('Final Premier League Data'!E:E,'Final Premier League Data'!J:J,'DT worksheet'!$C$15,'Final Premier League Data'!B:B,'DT worksheet'!$C$27)</f>
        <v>25.898876404494381</v>
      </c>
      <c r="E13" s="14"/>
      <c r="G13" s="26" t="str">
        <f>_xlfn.XLOOKUP(G10,'Final Premier League Data'!C:C,'Final Premier League Data'!F:F)</f>
        <v>West Ham United</v>
      </c>
      <c r="H13" s="1" t="s">
        <v>862</v>
      </c>
      <c r="L13" s="5" t="s">
        <v>2347</v>
      </c>
    </row>
    <row r="14" spans="1:16" ht="16.5" customHeight="1" x14ac:dyDescent="0.35">
      <c r="B14" s="1" t="s">
        <v>6</v>
      </c>
      <c r="C14" s="28">
        <f>_xlfn.XLOOKUP(C10,'Final Premier League Data'!C:C,'Final Premier League Data'!I:I)</f>
        <v>45000000</v>
      </c>
      <c r="D14" s="19">
        <f>AVERAGEIFS('Final Premier League Data'!E:E,'Final Premier League Data'!J:J,'DT worksheet'!$C$15,'Final Premier League Data'!B:B,'DT worksheet'!$C$27)</f>
        <v>25.898876404494381</v>
      </c>
      <c r="E14" s="14"/>
      <c r="F14" s="20">
        <f>AVERAGEIFS('Final Premier League Data'!I:I,'Final Premier League Data'!J:J,'DT worksheet'!$G$15,'Final Premier League Data'!B:B,'DT worksheet'!$G$27)</f>
        <v>11886940.298507463</v>
      </c>
      <c r="G14" s="27">
        <f>_xlfn.XLOOKUP(G10,'Final Premier League Data'!C:C,'Final Premier League Data'!I:I)</f>
        <v>13200000</v>
      </c>
      <c r="H14" s="1" t="s">
        <v>6</v>
      </c>
      <c r="K14" s="5" t="s">
        <v>2348</v>
      </c>
      <c r="L14" t="s">
        <v>52</v>
      </c>
      <c r="M14" t="s">
        <v>42</v>
      </c>
      <c r="N14" t="s">
        <v>55</v>
      </c>
      <c r="O14" t="s">
        <v>2336</v>
      </c>
    </row>
    <row r="15" spans="1:16" ht="16.5" customHeight="1" x14ac:dyDescent="0.35">
      <c r="B15" s="1" t="s">
        <v>859</v>
      </c>
      <c r="C15" s="26" t="str">
        <f>_xlfn.XLOOKUP(C10,'Final Premier League Data'!C:C,'Final Premier League Data'!J:J)</f>
        <v>FW</v>
      </c>
      <c r="D15" s="19">
        <f>AVERAGEIFS('Final Premier League Data'!E:E,'Final Premier League Data'!J:J,'DT worksheet'!$C$15,'Final Premier League Data'!B:B,'DT worksheet'!$C$27)</f>
        <v>25.898876404494381</v>
      </c>
      <c r="E15" s="14"/>
      <c r="G15" s="26" t="str">
        <f>_xlfn.XLOOKUP(G10,'Final Premier League Data'!C:C,'Final Premier League Data'!J:J)</f>
        <v>DF</v>
      </c>
      <c r="H15" s="1" t="s">
        <v>859</v>
      </c>
      <c r="K15" s="21" t="s">
        <v>2339</v>
      </c>
      <c r="L15" s="24">
        <v>26.637571157495255</v>
      </c>
      <c r="M15" s="22">
        <v>25.950819672131146</v>
      </c>
      <c r="N15" s="22">
        <v>26.005217391304349</v>
      </c>
      <c r="O15" s="22">
        <v>26.218664850136239</v>
      </c>
    </row>
    <row r="16" spans="1:16" ht="16.5" customHeight="1" x14ac:dyDescent="0.35">
      <c r="B16" s="1" t="s">
        <v>860</v>
      </c>
      <c r="C16" s="26">
        <f>_xlfn.XLOOKUP(C10,'Final Premier League Data'!C:C,'Final Premier League Data'!L:L)</f>
        <v>943</v>
      </c>
      <c r="D16" s="19">
        <f>AVERAGEIFS('Final Premier League Data'!E:E,'Final Premier League Data'!J:J,'DT worksheet'!$C$15,'Final Premier League Data'!B:B,'DT worksheet'!$C$27)</f>
        <v>25.898876404494381</v>
      </c>
      <c r="E16" s="14"/>
      <c r="G16" s="26">
        <f>_xlfn.XLOOKUP(G10,'Final Premier League Data'!C:C,'Final Premier League Data'!L:L)</f>
        <v>3071</v>
      </c>
      <c r="H16" s="1" t="s">
        <v>860</v>
      </c>
      <c r="K16" s="21" t="s">
        <v>2337</v>
      </c>
      <c r="L16" s="24">
        <v>0.91271347248576851</v>
      </c>
      <c r="M16" s="22">
        <v>6.1557377049180326</v>
      </c>
      <c r="N16" s="22">
        <v>2.1269565217391304</v>
      </c>
      <c r="O16" s="22">
        <v>2.6955040871934606</v>
      </c>
    </row>
    <row r="17" spans="2:15" ht="16.5" customHeight="1" x14ac:dyDescent="0.35">
      <c r="B17" s="1" t="s">
        <v>10</v>
      </c>
      <c r="C17" s="26">
        <f>_xlfn.XLOOKUP(C10,'Final Premier League Data'!C:C,'Final Premier League Data'!M:M)</f>
        <v>5</v>
      </c>
      <c r="D17" s="19">
        <f>AVERAGEIFS('Final Premier League Data'!E:E,'Final Premier League Data'!J:J,'DT worksheet'!$C$15,'Final Premier League Data'!B:B,'DT worksheet'!$C$27)</f>
        <v>25.898876404494381</v>
      </c>
      <c r="E17" s="14"/>
      <c r="F17" s="20">
        <f>AVERAGEIFS('Final Premier League Data'!M:M,'Final Premier League Data'!J:J,'DT worksheet'!$G$15,'Final Premier League Data'!B:B,'DT worksheet'!$G$27)</f>
        <v>0.82835820895522383</v>
      </c>
      <c r="G17" s="26">
        <f>_xlfn.XLOOKUP(G10,'Final Premier League Data'!C:C,'Final Premier League Data'!M:M)</f>
        <v>1</v>
      </c>
      <c r="H17" s="1" t="s">
        <v>10</v>
      </c>
      <c r="K17" s="21" t="s">
        <v>2340</v>
      </c>
      <c r="L17" s="24">
        <v>12.440227703984819</v>
      </c>
      <c r="M17" s="22">
        <v>43.265027322404372</v>
      </c>
      <c r="N17" s="22">
        <v>25.878260869565217</v>
      </c>
      <c r="O17" s="22">
        <v>25.388964577656676</v>
      </c>
    </row>
    <row r="18" spans="2:15" ht="16.5" customHeight="1" x14ac:dyDescent="0.35">
      <c r="B18" s="1" t="s">
        <v>11</v>
      </c>
      <c r="C18" s="26">
        <f>_xlfn.XLOOKUP(C10,'Final Premier League Data'!C:C,'Final Premier League Data'!N:N)</f>
        <v>229</v>
      </c>
      <c r="D18" s="19">
        <f>AVERAGEIFS('Final Premier League Data'!E:E,'Final Premier League Data'!J:J,'DT worksheet'!$C$15,'Final Premier League Data'!B:B,'DT worksheet'!$C$27)</f>
        <v>25.898876404494381</v>
      </c>
      <c r="E18" s="14"/>
      <c r="G18" s="26">
        <f>_xlfn.XLOOKUP(G10,'Final Premier League Data'!C:C,'Final Premier League Data'!N:N)</f>
        <v>1299</v>
      </c>
      <c r="H18" s="1" t="s">
        <v>11</v>
      </c>
      <c r="K18" s="21" t="s">
        <v>2341</v>
      </c>
      <c r="L18" s="24">
        <v>0.3396584440227704</v>
      </c>
      <c r="M18" s="22">
        <v>1.0382513661202186</v>
      </c>
      <c r="N18" s="22">
        <v>0.20173913043478262</v>
      </c>
      <c r="O18" s="22">
        <v>0.4598092643051771</v>
      </c>
    </row>
    <row r="19" spans="2:15" ht="16.5" customHeight="1" x14ac:dyDescent="0.35">
      <c r="B19" s="1" t="s">
        <v>12</v>
      </c>
      <c r="C19" s="26">
        <f>_xlfn.XLOOKUP(C10,'Final Premier League Data'!C:C,'Final Premier League Data'!O:O)</f>
        <v>0</v>
      </c>
      <c r="D19" s="19">
        <f>AVERAGEIFS('Final Premier League Data'!E:E,'Final Premier League Data'!J:J,'DT worksheet'!$C$15,'Final Premier League Data'!B:B,'DT worksheet'!$C$27)</f>
        <v>25.898876404494381</v>
      </c>
      <c r="E19" s="14"/>
      <c r="F19" s="20">
        <f>AVERAGEIFS('Final Premier League Data'!O:O,'Final Premier League Data'!J:J,'DT worksheet'!$G$15,'Final Premier League Data'!B:B,'DT worksheet'!$G$27)</f>
        <v>1.0970149253731343</v>
      </c>
      <c r="G19" s="26">
        <f>_xlfn.XLOOKUP(G10,'Final Premier League Data'!C:C,'Final Premier League Data'!O:O)</f>
        <v>7</v>
      </c>
      <c r="H19" s="1" t="s">
        <v>12</v>
      </c>
      <c r="K19" s="21" t="s">
        <v>2338</v>
      </c>
      <c r="L19" s="24">
        <v>976.36812144212524</v>
      </c>
      <c r="M19" s="22">
        <v>525.02185792349724</v>
      </c>
      <c r="N19" s="22">
        <v>925.17739130434779</v>
      </c>
      <c r="O19" s="22">
        <v>843.78814713896463</v>
      </c>
    </row>
    <row r="20" spans="2:15" ht="16.5" customHeight="1" x14ac:dyDescent="0.35">
      <c r="B20" s="1" t="s">
        <v>863</v>
      </c>
      <c r="C20" s="26">
        <f>_xlfn.XLOOKUP(C10,'Final Premier League Data'!C:C,'Final Premier League Data'!T:T)</f>
        <v>35</v>
      </c>
      <c r="D20" s="19">
        <f>AVERAGEIFS('Final Premier League Data'!E:E,'Final Premier League Data'!J:J,'DT worksheet'!$C$15,'Final Premier League Data'!B:B,'DT worksheet'!$C$27)</f>
        <v>25.898876404494381</v>
      </c>
      <c r="E20" s="14"/>
      <c r="G20" s="26">
        <f>_xlfn.XLOOKUP(G10,'Final Premier League Data'!C:C,'Final Premier League Data'!T:T)</f>
        <v>21</v>
      </c>
      <c r="H20" s="1" t="s">
        <v>863</v>
      </c>
      <c r="K20" s="21" t="s">
        <v>2342</v>
      </c>
      <c r="L20" s="24">
        <v>1.1518026565464896</v>
      </c>
      <c r="M20" s="22">
        <v>11.068306010928962</v>
      </c>
      <c r="N20" s="22">
        <v>2.1460869565217391</v>
      </c>
      <c r="O20" s="22">
        <v>4.0136239782016352</v>
      </c>
    </row>
    <row r="21" spans="2:15" ht="16.5" customHeight="1" x14ac:dyDescent="0.35">
      <c r="B21" s="1" t="s">
        <v>864</v>
      </c>
      <c r="C21" s="26">
        <f>_xlfn.XLOOKUP(C10,'Final Premier League Data'!C:C,'Final Premier League Data'!X:X)</f>
        <v>0</v>
      </c>
      <c r="D21" s="19">
        <f>AVERAGEIFS('Final Premier League Data'!E:E,'Final Premier League Data'!J:J,'DT worksheet'!$C$15,'Final Premier League Data'!B:B,'DT worksheet'!$C$27)</f>
        <v>25.898876404494381</v>
      </c>
      <c r="E21" s="14"/>
      <c r="G21" s="26">
        <f>_xlfn.XLOOKUP(G10,'Final Premier League Data'!C:C,'Final Premier League Data'!X:X)</f>
        <v>0</v>
      </c>
      <c r="H21" s="1" t="s">
        <v>864</v>
      </c>
      <c r="K21" s="21" t="s">
        <v>2343</v>
      </c>
      <c r="L21" s="24">
        <v>4.8254269449715368</v>
      </c>
      <c r="M21" s="22">
        <v>14.26775956284153</v>
      </c>
      <c r="N21" s="22">
        <v>9.3060869565217388</v>
      </c>
      <c r="O21" s="22">
        <v>8.9346049046321525</v>
      </c>
    </row>
    <row r="22" spans="2:15" ht="16.5" customHeight="1" x14ac:dyDescent="0.35">
      <c r="B22" s="1" t="s">
        <v>24</v>
      </c>
      <c r="C22" s="26">
        <f>_xlfn.XLOOKUP(C10,'Final Premier League Data'!C:C,'Final Premier League Data'!AA:AA)</f>
        <v>20</v>
      </c>
      <c r="D22" s="19">
        <f>AVERAGEIFS('Final Premier League Data'!E:E,'Final Premier League Data'!J:J,'DT worksheet'!$C$15,'Final Premier League Data'!B:B,'DT worksheet'!$C$27)</f>
        <v>25.898876404494381</v>
      </c>
      <c r="E22" s="14"/>
      <c r="G22" s="26">
        <f>_xlfn.XLOOKUP(G10,'Final Premier League Data'!C:C,'Final Premier League Data'!AA:AA)</f>
        <v>3</v>
      </c>
      <c r="H22" s="1" t="s">
        <v>24</v>
      </c>
      <c r="K22" s="21" t="s">
        <v>2364</v>
      </c>
      <c r="L22" s="24">
        <v>1.0493358633776091</v>
      </c>
      <c r="M22" s="22">
        <v>2.4836065573770494</v>
      </c>
      <c r="N22" s="22">
        <v>2.2034782608695651</v>
      </c>
      <c r="O22" s="22">
        <v>1.8589918256130791</v>
      </c>
    </row>
    <row r="23" spans="2:15" ht="16.5" customHeight="1" x14ac:dyDescent="0.35">
      <c r="B23" s="1" t="s">
        <v>865</v>
      </c>
      <c r="C23" s="26">
        <f>_xlfn.XLOOKUP(C10,'Final Premier League Data'!C:C,'Final Premier League Data'!AC:AC)</f>
        <v>19</v>
      </c>
      <c r="D23" s="19">
        <f>AVERAGEIFS('Final Premier League Data'!E:E,'Final Premier League Data'!J:J,'DT worksheet'!$C$15,'Final Premier League Data'!B:B,'DT worksheet'!$C$27)</f>
        <v>25.898876404494381</v>
      </c>
      <c r="E23" s="14"/>
      <c r="G23" s="26">
        <f>_xlfn.XLOOKUP(G10,'Final Premier League Data'!C:C,'Final Premier League Data'!AC:AC)</f>
        <v>15</v>
      </c>
      <c r="H23" s="1" t="s">
        <v>865</v>
      </c>
      <c r="K23" s="21" t="s">
        <v>2344</v>
      </c>
      <c r="L23" s="24">
        <v>3.5996204933586338</v>
      </c>
      <c r="M23" s="22">
        <v>7.4262295081967213</v>
      </c>
      <c r="N23" s="22">
        <v>19.154782608695651</v>
      </c>
      <c r="O23" s="22">
        <v>10.646457765667575</v>
      </c>
    </row>
    <row r="24" spans="2:15" ht="16.5" customHeight="1" x14ac:dyDescent="0.35">
      <c r="B24" s="1" t="s">
        <v>866</v>
      </c>
      <c r="C24" s="26">
        <f>_xlfn.XLOOKUP(C10,'Final Premier League Data'!C:C,'Final Premier League Data'!AD:AD)</f>
        <v>0</v>
      </c>
      <c r="D24" s="19">
        <f>AVERAGEIFS('Final Premier League Data'!E:E,'Final Premier League Data'!J:J,'DT worksheet'!$C$15,'Final Premier League Data'!B:B,'DT worksheet'!$C$27)</f>
        <v>25.898876404494381</v>
      </c>
      <c r="E24" s="14"/>
      <c r="G24" s="26">
        <f>_xlfn.XLOOKUP(G10,'Final Premier League Data'!C:C,'Final Premier League Data'!AD:AD)</f>
        <v>67</v>
      </c>
      <c r="H24" s="1" t="s">
        <v>866</v>
      </c>
      <c r="K24" s="21" t="s">
        <v>2345</v>
      </c>
      <c r="L24" s="24">
        <v>19.297912713472485</v>
      </c>
      <c r="M24" s="22">
        <v>21.532786885245901</v>
      </c>
      <c r="N24" s="22">
        <v>23.09391304347826</v>
      </c>
      <c r="O24" s="22">
        <v>21.341961852861036</v>
      </c>
    </row>
    <row r="25" spans="2:15" ht="16.5" customHeight="1" x14ac:dyDescent="0.35">
      <c r="B25" s="1" t="s">
        <v>31</v>
      </c>
      <c r="C25" s="26">
        <f>_xlfn.XLOOKUP(C10,'Final Premier League Data'!C:C,'Final Premier League Data'!AH:AH)</f>
        <v>19</v>
      </c>
      <c r="D25" s="19">
        <f>AVERAGEIFS('Final Premier League Data'!E:E,'Final Premier League Data'!J:J,'DT worksheet'!$C$15,'Final Premier League Data'!B:B,'DT worksheet'!$C$27)</f>
        <v>25.898876404494381</v>
      </c>
      <c r="E25" s="14"/>
      <c r="G25" s="26">
        <f>_xlfn.XLOOKUP(G10,'Final Premier League Data'!C:C,'Final Premier League Data'!AH:AH)</f>
        <v>20</v>
      </c>
      <c r="H25" s="1" t="s">
        <v>31</v>
      </c>
      <c r="K25" s="21" t="s">
        <v>2346</v>
      </c>
      <c r="L25" s="25">
        <v>11103652.75142315</v>
      </c>
      <c r="M25" s="23">
        <v>19295437.158469945</v>
      </c>
      <c r="N25" s="23">
        <v>16087608.695652174</v>
      </c>
      <c r="O25" s="23">
        <v>15098181.198910082</v>
      </c>
    </row>
    <row r="26" spans="2:15" ht="16.5" customHeight="1" x14ac:dyDescent="0.35">
      <c r="B26" s="1" t="s">
        <v>4</v>
      </c>
      <c r="C26" s="26" t="str">
        <f>_xlfn.XLOOKUP(C10,'Final Premier League Data'!C:C,'Final Premier League Data'!G:G)</f>
        <v>Spain</v>
      </c>
      <c r="D26" s="19">
        <f>AVERAGEIFS('Final Premier League Data'!E:E,'Final Premier League Data'!J:J,'DT worksheet'!$C$15,'Final Premier League Data'!B:B,'DT worksheet'!$C$27)</f>
        <v>25.898876404494381</v>
      </c>
      <c r="E26" s="14"/>
      <c r="G26" s="26" t="str">
        <f>_xlfn.XLOOKUP(G10,'Final Premier League Data'!C:C,'Final Premier League Data'!G:G)</f>
        <v>England</v>
      </c>
      <c r="H26" s="1" t="s">
        <v>4</v>
      </c>
    </row>
    <row r="27" spans="2:15" ht="16.5" customHeight="1" x14ac:dyDescent="0.35">
      <c r="B27" s="1" t="s">
        <v>1</v>
      </c>
      <c r="C27" s="29" t="str">
        <f>RIGHT(C10,9)</f>
        <v>2018-2019</v>
      </c>
      <c r="G27" s="26" t="str">
        <f>RIGHT(G10,9)</f>
        <v>2017-2018</v>
      </c>
      <c r="H27" s="1" t="s">
        <v>1</v>
      </c>
    </row>
    <row r="28" spans="2:15" ht="36.5" customHeight="1" x14ac:dyDescent="0.35">
      <c r="C28" s="2"/>
    </row>
    <row r="29" spans="2:15" ht="36.5" customHeight="1" x14ac:dyDescent="0.35"/>
    <row r="30" spans="2:15" ht="72" customHeight="1" x14ac:dyDescent="0.35">
      <c r="B30" s="11" t="s">
        <v>2352</v>
      </c>
      <c r="G30" s="9" t="s">
        <v>2351</v>
      </c>
      <c r="H30" s="31" t="s">
        <v>2354</v>
      </c>
      <c r="I30" s="31"/>
    </row>
    <row r="31" spans="2:15" ht="21.5" customHeight="1" x14ac:dyDescent="0.35">
      <c r="B31" s="39">
        <v>40000000</v>
      </c>
      <c r="C31" s="40">
        <f>COUNTIF('Final Premier League Data'!I:I,"&gt;="&amp; 'DT worksheet'!B31)</f>
        <v>111</v>
      </c>
    </row>
    <row r="32" spans="2:15" ht="21.5" customHeight="1" x14ac:dyDescent="0.35">
      <c r="B32" s="39"/>
      <c r="C32" s="40"/>
    </row>
    <row r="33" spans="3:16" ht="21.5" customHeight="1" x14ac:dyDescent="0.35">
      <c r="C33" s="10"/>
      <c r="P33" t="s">
        <v>2363</v>
      </c>
    </row>
    <row r="34" spans="3:16" ht="21.5" customHeight="1" x14ac:dyDescent="0.35">
      <c r="C34" s="10"/>
    </row>
    <row r="35" spans="3:16" ht="21.5" customHeight="1" x14ac:dyDescent="0.35">
      <c r="C35" s="10"/>
    </row>
    <row r="36" spans="3:16" ht="21.5" customHeight="1" x14ac:dyDescent="0.35">
      <c r="C36" s="10"/>
    </row>
    <row r="37" spans="3:16" x14ac:dyDescent="0.35">
      <c r="C37" s="10"/>
    </row>
  </sheetData>
  <mergeCells count="13">
    <mergeCell ref="B2:H2"/>
    <mergeCell ref="A4:A7"/>
    <mergeCell ref="B31:B32"/>
    <mergeCell ref="C31:C32"/>
    <mergeCell ref="H10:H11"/>
    <mergeCell ref="E10:E11"/>
    <mergeCell ref="I4:I7"/>
    <mergeCell ref="H30:I30"/>
    <mergeCell ref="B10:B11"/>
    <mergeCell ref="F10:F11"/>
    <mergeCell ref="C10:C11"/>
    <mergeCell ref="G10:G11"/>
    <mergeCell ref="E3:E8"/>
  </mergeCells>
  <conditionalFormatting sqref="G12">
    <cfRule type="expression" dxfId="20" priority="19">
      <formula>G12&lt;=F12</formula>
    </cfRule>
    <cfRule type="expression" dxfId="19" priority="18">
      <formula>G12&gt;F12</formula>
    </cfRule>
  </conditionalFormatting>
  <conditionalFormatting sqref="C12">
    <cfRule type="expression" dxfId="18" priority="17">
      <formula>D12 &gt; C12</formula>
    </cfRule>
    <cfRule type="expression" dxfId="17" priority="16">
      <formula>C12 &lt; D12</formula>
    </cfRule>
  </conditionalFormatting>
  <conditionalFormatting sqref="C14">
    <cfRule type="expression" dxfId="16" priority="15">
      <formula>C14 &gt; D14</formula>
    </cfRule>
    <cfRule type="expression" dxfId="15" priority="9">
      <formula>C14 &lt; D14</formula>
    </cfRule>
  </conditionalFormatting>
  <conditionalFormatting sqref="G14">
    <cfRule type="expression" dxfId="14" priority="14">
      <formula>G14 &gt; F14</formula>
    </cfRule>
    <cfRule type="expression" dxfId="13" priority="13">
      <formula>G14 &lt; F14</formula>
    </cfRule>
  </conditionalFormatting>
  <conditionalFormatting sqref="C17">
    <cfRule type="expression" dxfId="12" priority="12">
      <formula>C17 &gt;D17</formula>
    </cfRule>
    <cfRule type="expression" dxfId="11" priority="6">
      <formula>C17 &lt; D17</formula>
    </cfRule>
  </conditionalFormatting>
  <conditionalFormatting sqref="G17">
    <cfRule type="expression" dxfId="10" priority="11">
      <formula>G17 &gt; F17</formula>
    </cfRule>
    <cfRule type="expression" dxfId="9" priority="10">
      <formula>F17 &gt; G17</formula>
    </cfRule>
  </conditionalFormatting>
  <conditionalFormatting sqref="C19">
    <cfRule type="expression" dxfId="8" priority="5">
      <formula>C19 &gt; D19</formula>
    </cfRule>
    <cfRule type="expression" dxfId="7" priority="4">
      <formula>C19 &lt; D19</formula>
    </cfRule>
  </conditionalFormatting>
  <conditionalFormatting sqref="G19">
    <cfRule type="expression" dxfId="6" priority="3">
      <formula>G19 &gt; F19</formula>
    </cfRule>
  </conditionalFormatting>
  <conditionalFormatting sqref="E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formula" val="12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layer2">
                <anchor moveWithCells="1" sizeWithCells="1">
                  <from>
                    <xdr:col>6</xdr:col>
                    <xdr:colOff>6350</xdr:colOff>
                    <xdr:row>2</xdr:row>
                    <xdr:rowOff>63500</xdr:rowOff>
                  </from>
                  <to>
                    <xdr:col>7</xdr:col>
                    <xdr:colOff>1879600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layer1">
                <anchor moveWithCells="1" sizeWithCells="1">
                  <from>
                    <xdr:col>1</xdr:col>
                    <xdr:colOff>44450</xdr:colOff>
                    <xdr:row>2</xdr:row>
                    <xdr:rowOff>44450</xdr:rowOff>
                  </from>
                  <to>
                    <xdr:col>3</xdr:col>
                    <xdr:colOff>25400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budget">
                <anchor moveWithCells="1" sizeWithCells="1">
                  <from>
                    <xdr:col>6</xdr:col>
                    <xdr:colOff>50800</xdr:colOff>
                    <xdr:row>30</xdr:row>
                    <xdr:rowOff>95250</xdr:rowOff>
                  </from>
                  <to>
                    <xdr:col>8</xdr:col>
                    <xdr:colOff>1866900</xdr:colOff>
                    <xdr:row>36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2CBEB3-5546-4AED-9211-828A4DA96D40}">
          <x14:formula1>
            <xm:f>'Final Premier League Data'!$C$2:$C$1469</xm:f>
          </x14:formula1>
          <xm:sqref>C10:C11 G10:G11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7FF96-976A-4CFD-8472-0C1FA8068E95}">
  <sheetPr codeName="Sheet3"/>
  <dimension ref="A1:I2186"/>
  <sheetViews>
    <sheetView zoomScale="72" workbookViewId="0">
      <selection activeCell="J25" sqref="J25"/>
    </sheetView>
  </sheetViews>
  <sheetFormatPr defaultRowHeight="14.5" x14ac:dyDescent="0.35"/>
  <cols>
    <col min="1" max="1" width="27.54296875" bestFit="1" customWidth="1"/>
    <col min="2" max="2" width="6.453125" bestFit="1" customWidth="1"/>
    <col min="3" max="3" width="12.54296875" bestFit="1" customWidth="1"/>
    <col min="4" max="4" width="12.7265625" bestFit="1" customWidth="1"/>
    <col min="5" max="5" width="16.453125" bestFit="1" customWidth="1"/>
    <col min="6" max="8" width="9.453125" bestFit="1" customWidth="1"/>
    <col min="9" max="9" width="7.90625" customWidth="1"/>
    <col min="10" max="10" width="10.7265625" bestFit="1" customWidth="1"/>
    <col min="11" max="13" width="9.453125" bestFit="1" customWidth="1"/>
    <col min="14" max="14" width="17.453125" bestFit="1" customWidth="1"/>
    <col min="15" max="15" width="13" bestFit="1" customWidth="1"/>
    <col min="16" max="16" width="9.453125" bestFit="1" customWidth="1"/>
    <col min="17" max="17" width="16" bestFit="1" customWidth="1"/>
    <col min="18" max="18" width="14.7265625" bestFit="1" customWidth="1"/>
    <col min="19" max="21" width="9.453125" bestFit="1" customWidth="1"/>
    <col min="22" max="22" width="17.7265625" bestFit="1" customWidth="1"/>
    <col min="23" max="23" width="19.08984375" bestFit="1" customWidth="1"/>
    <col min="24" max="24" width="22.08984375" bestFit="1" customWidth="1"/>
    <col min="25" max="25" width="20.36328125" bestFit="1" customWidth="1"/>
    <col min="26" max="27" width="9.453125" bestFit="1" customWidth="1"/>
    <col min="28" max="28" width="23.36328125" bestFit="1" customWidth="1"/>
    <col min="29" max="29" width="19.7265625" bestFit="1" customWidth="1"/>
    <col min="30" max="30" width="22.7265625" bestFit="1" customWidth="1"/>
    <col min="31" max="31" width="16" bestFit="1" customWidth="1"/>
    <col min="32" max="33" width="19" bestFit="1" customWidth="1"/>
    <col min="34" max="34" width="22" bestFit="1" customWidth="1"/>
    <col min="35" max="35" width="14.36328125" bestFit="1" customWidth="1"/>
    <col min="36" max="36" width="17.453125" bestFit="1" customWidth="1"/>
    <col min="37" max="37" width="15.1796875" bestFit="1" customWidth="1"/>
    <col min="38" max="38" width="18.1796875" bestFit="1" customWidth="1"/>
    <col min="39" max="39" width="15" bestFit="1" customWidth="1"/>
    <col min="40" max="40" width="18" bestFit="1" customWidth="1"/>
    <col min="41" max="41" width="13.81640625" bestFit="1" customWidth="1"/>
    <col min="42" max="44" width="9.453125" bestFit="1" customWidth="1"/>
    <col min="45" max="45" width="16.81640625" bestFit="1" customWidth="1"/>
    <col min="46" max="46" width="14.08984375" bestFit="1" customWidth="1"/>
    <col min="47" max="47" width="17.1796875" bestFit="1" customWidth="1"/>
    <col min="48" max="48" width="12.81640625" bestFit="1" customWidth="1"/>
    <col min="49" max="51" width="9.453125" bestFit="1" customWidth="1"/>
    <col min="52" max="52" width="15.81640625" bestFit="1" customWidth="1"/>
    <col min="53" max="53" width="16.90625" bestFit="1" customWidth="1"/>
    <col min="54" max="54" width="19.90625" bestFit="1" customWidth="1"/>
    <col min="55" max="55" width="17.7265625" bestFit="1" customWidth="1"/>
    <col min="56" max="56" width="20.7265625" bestFit="1" customWidth="1"/>
    <col min="57" max="57" width="14.54296875" bestFit="1" customWidth="1"/>
    <col min="58" max="59" width="9.453125" bestFit="1" customWidth="1"/>
    <col min="60" max="60" width="17.6328125" bestFit="1" customWidth="1"/>
    <col min="61" max="61" width="18.36328125" bestFit="1" customWidth="1"/>
    <col min="62" max="62" width="21.453125" bestFit="1" customWidth="1"/>
    <col min="63" max="63" width="17.81640625" bestFit="1" customWidth="1"/>
    <col min="64" max="64" width="9.453125" bestFit="1" customWidth="1"/>
    <col min="65" max="65" width="20.81640625" bestFit="1" customWidth="1"/>
    <col min="66" max="66" width="14.81640625" bestFit="1" customWidth="1"/>
    <col min="67" max="67" width="17.81640625" bestFit="1" customWidth="1"/>
    <col min="68" max="68" width="16.81640625" bestFit="1" customWidth="1"/>
    <col min="69" max="69" width="9.453125" bestFit="1" customWidth="1"/>
    <col min="70" max="70" width="19.81640625" bestFit="1" customWidth="1"/>
    <col min="71" max="71" width="12.36328125" bestFit="1" customWidth="1"/>
    <col min="72" max="72" width="15.36328125" bestFit="1" customWidth="1"/>
    <col min="73" max="73" width="20.7265625" bestFit="1" customWidth="1"/>
    <col min="74" max="74" width="23.7265625" bestFit="1" customWidth="1"/>
    <col min="75" max="75" width="14.54296875" bestFit="1" customWidth="1"/>
    <col min="76" max="76" width="17.6328125" bestFit="1" customWidth="1"/>
    <col min="77" max="77" width="13.7265625" bestFit="1" customWidth="1"/>
    <col min="78" max="78" width="16.7265625" bestFit="1" customWidth="1"/>
    <col min="79" max="79" width="21.36328125" bestFit="1" customWidth="1"/>
    <col min="80" max="80" width="9.453125" bestFit="1" customWidth="1"/>
    <col min="81" max="81" width="24.36328125" bestFit="1" customWidth="1"/>
    <col min="82" max="82" width="12.81640625" bestFit="1" customWidth="1"/>
    <col min="83" max="83" width="15.81640625" bestFit="1" customWidth="1"/>
    <col min="84" max="84" width="16.1796875" bestFit="1" customWidth="1"/>
    <col min="85" max="86" width="9.453125" bestFit="1" customWidth="1"/>
    <col min="87" max="87" width="19.1796875" bestFit="1" customWidth="1"/>
    <col min="88" max="88" width="16.26953125" bestFit="1" customWidth="1"/>
    <col min="89" max="89" width="19.26953125" bestFit="1" customWidth="1"/>
    <col min="90" max="90" width="19.81640625" bestFit="1" customWidth="1"/>
    <col min="91" max="91" width="22.81640625" bestFit="1" customWidth="1"/>
    <col min="92" max="92" width="19" bestFit="1" customWidth="1"/>
    <col min="93" max="93" width="9.453125" bestFit="1" customWidth="1"/>
    <col min="94" max="94" width="22" bestFit="1" customWidth="1"/>
    <col min="95" max="95" width="19.54296875" bestFit="1" customWidth="1"/>
    <col min="96" max="96" width="9.453125" bestFit="1" customWidth="1"/>
    <col min="97" max="97" width="22.54296875" bestFit="1" customWidth="1"/>
    <col min="98" max="98" width="11.26953125" bestFit="1" customWidth="1"/>
    <col min="99" max="101" width="9.453125" bestFit="1" customWidth="1"/>
    <col min="102" max="102" width="14.26953125" bestFit="1" customWidth="1"/>
    <col min="103" max="103" width="24" bestFit="1" customWidth="1"/>
    <col min="104" max="105" width="9.453125" bestFit="1" customWidth="1"/>
    <col min="106" max="106" width="27" bestFit="1" customWidth="1"/>
    <col min="107" max="107" width="14.36328125" bestFit="1" customWidth="1"/>
    <col min="108" max="108" width="9.453125" bestFit="1" customWidth="1"/>
    <col min="109" max="109" width="17.453125" bestFit="1" customWidth="1"/>
    <col min="110" max="110" width="17.7265625" bestFit="1" customWidth="1"/>
    <col min="111" max="111" width="20.7265625" bestFit="1" customWidth="1"/>
    <col min="112" max="112" width="17" bestFit="1" customWidth="1"/>
    <col min="113" max="113" width="20" bestFit="1" customWidth="1"/>
    <col min="114" max="114" width="19.6328125" bestFit="1" customWidth="1"/>
    <col min="115" max="115" width="9.453125" bestFit="1" customWidth="1"/>
    <col min="116" max="116" width="22.6328125" bestFit="1" customWidth="1"/>
    <col min="117" max="117" width="15.6328125" bestFit="1" customWidth="1"/>
    <col min="118" max="118" width="18.6328125" bestFit="1" customWidth="1"/>
    <col min="119" max="119" width="14.7265625" bestFit="1" customWidth="1"/>
    <col min="120" max="122" width="9.453125" bestFit="1" customWidth="1"/>
    <col min="123" max="123" width="17.7265625" bestFit="1" customWidth="1"/>
    <col min="124" max="124" width="14" bestFit="1" customWidth="1"/>
    <col min="125" max="126" width="9.453125" bestFit="1" customWidth="1"/>
    <col min="127" max="127" width="17.08984375" bestFit="1" customWidth="1"/>
    <col min="128" max="128" width="14.54296875" bestFit="1" customWidth="1"/>
    <col min="129" max="129" width="17.6328125" bestFit="1" customWidth="1"/>
    <col min="130" max="130" width="19.81640625" bestFit="1" customWidth="1"/>
    <col min="131" max="131" width="22.81640625" bestFit="1" customWidth="1"/>
    <col min="132" max="132" width="18.90625" bestFit="1" customWidth="1"/>
    <col min="133" max="134" width="9.453125" bestFit="1" customWidth="1"/>
    <col min="135" max="135" width="21.90625" bestFit="1" customWidth="1"/>
    <col min="136" max="136" width="12.26953125" bestFit="1" customWidth="1"/>
    <col min="137" max="137" width="15.26953125" bestFit="1" customWidth="1"/>
    <col min="138" max="138" width="14.81640625" bestFit="1" customWidth="1"/>
    <col min="139" max="139" width="9.453125" bestFit="1" customWidth="1"/>
    <col min="140" max="140" width="17.81640625" bestFit="1" customWidth="1"/>
    <col min="141" max="141" width="15.6328125" bestFit="1" customWidth="1"/>
    <col min="142" max="142" width="18.6328125" bestFit="1" customWidth="1"/>
    <col min="143" max="143" width="13.08984375" bestFit="1" customWidth="1"/>
    <col min="144" max="144" width="16.08984375" bestFit="1" customWidth="1"/>
    <col min="145" max="145" width="14.7265625" bestFit="1" customWidth="1"/>
    <col min="146" max="148" width="9.453125" bestFit="1" customWidth="1"/>
    <col min="149" max="149" width="17.7265625" bestFit="1" customWidth="1"/>
    <col min="150" max="150" width="12.7265625" bestFit="1" customWidth="1"/>
    <col min="151" max="152" width="9.453125" bestFit="1" customWidth="1"/>
    <col min="153" max="153" width="15.7265625" bestFit="1" customWidth="1"/>
    <col min="154" max="154" width="14.1796875" bestFit="1" customWidth="1"/>
    <col min="155" max="155" width="17.26953125" bestFit="1" customWidth="1"/>
    <col min="156" max="156" width="14" bestFit="1" customWidth="1"/>
    <col min="157" max="157" width="17.08984375" bestFit="1" customWidth="1"/>
    <col min="158" max="158" width="12.08984375" bestFit="1" customWidth="1"/>
    <col min="159" max="160" width="9.453125" bestFit="1" customWidth="1"/>
    <col min="161" max="162" width="15.08984375" bestFit="1" customWidth="1"/>
    <col min="163" max="163" width="18.08984375" bestFit="1" customWidth="1"/>
    <col min="164" max="164" width="15.1796875" bestFit="1" customWidth="1"/>
    <col min="165" max="165" width="18.1796875" bestFit="1" customWidth="1"/>
    <col min="166" max="166" width="17.7265625" bestFit="1" customWidth="1"/>
    <col min="167" max="167" width="20.7265625" bestFit="1" customWidth="1"/>
    <col min="168" max="168" width="20.08984375" bestFit="1" customWidth="1"/>
    <col min="169" max="169" width="23.08984375" bestFit="1" customWidth="1"/>
    <col min="170" max="170" width="16.08984375" bestFit="1" customWidth="1"/>
    <col min="171" max="171" width="19.08984375" bestFit="1" customWidth="1"/>
    <col min="172" max="172" width="27.54296875" bestFit="1" customWidth="1"/>
    <col min="173" max="173" width="30.54296875" bestFit="1" customWidth="1"/>
    <col min="174" max="174" width="18.453125" bestFit="1" customWidth="1"/>
    <col min="175" max="176" width="9.453125" bestFit="1" customWidth="1"/>
    <col min="177" max="177" width="21.54296875" bestFit="1" customWidth="1"/>
    <col min="178" max="178" width="16.1796875" bestFit="1" customWidth="1"/>
    <col min="179" max="181" width="9.453125" bestFit="1" customWidth="1"/>
    <col min="182" max="182" width="19.1796875" bestFit="1" customWidth="1"/>
    <col min="183" max="183" width="17.81640625" bestFit="1" customWidth="1"/>
    <col min="184" max="186" width="9.453125" bestFit="1" customWidth="1"/>
    <col min="187" max="187" width="20.81640625" bestFit="1" customWidth="1"/>
    <col min="188" max="188" width="12.90625" bestFit="1" customWidth="1"/>
    <col min="189" max="191" width="9.453125" bestFit="1" customWidth="1"/>
    <col min="192" max="192" width="15.90625" bestFit="1" customWidth="1"/>
    <col min="193" max="193" width="10.90625" bestFit="1" customWidth="1"/>
    <col min="194" max="195" width="9.453125" bestFit="1" customWidth="1"/>
    <col min="196" max="196" width="13.90625" bestFit="1" customWidth="1"/>
    <col min="197" max="197" width="13.26953125" bestFit="1" customWidth="1"/>
    <col min="198" max="198" width="9.453125" bestFit="1" customWidth="1"/>
    <col min="199" max="199" width="16.26953125" bestFit="1" customWidth="1"/>
    <col min="200" max="200" width="16.54296875" bestFit="1" customWidth="1"/>
    <col min="201" max="203" width="9.453125" bestFit="1" customWidth="1"/>
    <col min="204" max="204" width="19.54296875" bestFit="1" customWidth="1"/>
    <col min="205" max="205" width="19" bestFit="1" customWidth="1"/>
    <col min="206" max="206" width="9.453125" bestFit="1" customWidth="1"/>
    <col min="207" max="207" width="22" bestFit="1" customWidth="1"/>
    <col min="208" max="208" width="16.453125" bestFit="1" customWidth="1"/>
    <col min="209" max="211" width="9.453125" bestFit="1" customWidth="1"/>
    <col min="212" max="212" width="19.453125" bestFit="1" customWidth="1"/>
    <col min="213" max="213" width="17.453125" bestFit="1" customWidth="1"/>
    <col min="214" max="214" width="20.453125" bestFit="1" customWidth="1"/>
    <col min="215" max="215" width="16.26953125" bestFit="1" customWidth="1"/>
    <col min="216" max="216" width="9.453125" bestFit="1" customWidth="1"/>
    <col min="217" max="217" width="19.26953125" bestFit="1" customWidth="1"/>
    <col min="218" max="218" width="16.90625" bestFit="1" customWidth="1"/>
    <col min="219" max="220" width="9.453125" bestFit="1" customWidth="1"/>
    <col min="221" max="221" width="19.90625" bestFit="1" customWidth="1"/>
    <col min="222" max="222" width="17.36328125" bestFit="1" customWidth="1"/>
    <col min="223" max="223" width="20.36328125" bestFit="1" customWidth="1"/>
    <col min="224" max="224" width="13.54296875" bestFit="1" customWidth="1"/>
    <col min="225" max="225" width="16.54296875" bestFit="1" customWidth="1"/>
    <col min="226" max="226" width="16.453125" bestFit="1" customWidth="1"/>
    <col min="227" max="228" width="9.453125" bestFit="1" customWidth="1"/>
    <col min="229" max="229" width="19.453125" bestFit="1" customWidth="1"/>
    <col min="230" max="230" width="14.26953125" bestFit="1" customWidth="1"/>
    <col min="231" max="232" width="9.453125" bestFit="1" customWidth="1"/>
    <col min="233" max="233" width="17.36328125" bestFit="1" customWidth="1"/>
    <col min="234" max="234" width="15.36328125" bestFit="1" customWidth="1"/>
    <col min="235" max="235" width="18.36328125" bestFit="1" customWidth="1"/>
    <col min="236" max="236" width="17.7265625" bestFit="1" customWidth="1"/>
    <col min="237" max="238" width="9.453125" bestFit="1" customWidth="1"/>
    <col min="239" max="239" width="20.7265625" bestFit="1" customWidth="1"/>
    <col min="240" max="240" width="15.7265625" bestFit="1" customWidth="1"/>
    <col min="241" max="242" width="9.453125" bestFit="1" customWidth="1"/>
    <col min="243" max="243" width="18.7265625" bestFit="1" customWidth="1"/>
    <col min="244" max="244" width="13.7265625" bestFit="1" customWidth="1"/>
    <col min="245" max="247" width="9.453125" bestFit="1" customWidth="1"/>
    <col min="248" max="248" width="16.7265625" bestFit="1" customWidth="1"/>
    <col min="249" max="249" width="16.36328125" bestFit="1" customWidth="1"/>
    <col min="250" max="250" width="19.36328125" bestFit="1" customWidth="1"/>
    <col min="251" max="251" width="12.7265625" bestFit="1" customWidth="1"/>
    <col min="252" max="253" width="9.453125" bestFit="1" customWidth="1"/>
    <col min="254" max="254" width="15.7265625" bestFit="1" customWidth="1"/>
    <col min="255" max="255" width="13.54296875" bestFit="1" customWidth="1"/>
    <col min="256" max="256" width="9.453125" bestFit="1" customWidth="1"/>
    <col min="257" max="257" width="16.54296875" bestFit="1" customWidth="1"/>
    <col min="258" max="258" width="14.1796875" bestFit="1" customWidth="1"/>
    <col min="259" max="259" width="17.26953125" bestFit="1" customWidth="1"/>
    <col min="260" max="260" width="16.54296875" bestFit="1" customWidth="1"/>
    <col min="261" max="261" width="19.54296875" bestFit="1" customWidth="1"/>
    <col min="262" max="262" width="12.81640625" bestFit="1" customWidth="1"/>
    <col min="263" max="263" width="9.453125" bestFit="1" customWidth="1"/>
    <col min="264" max="264" width="15.81640625" bestFit="1" customWidth="1"/>
    <col min="265" max="265" width="21.90625" bestFit="1" customWidth="1"/>
    <col min="266" max="266" width="24.90625" bestFit="1" customWidth="1"/>
    <col min="267" max="267" width="12.7265625" bestFit="1" customWidth="1"/>
    <col min="268" max="269" width="9.453125" bestFit="1" customWidth="1"/>
    <col min="270" max="270" width="15.7265625" bestFit="1" customWidth="1"/>
    <col min="271" max="271" width="11.7265625" bestFit="1" customWidth="1"/>
    <col min="272" max="274" width="9.453125" bestFit="1" customWidth="1"/>
    <col min="275" max="275" width="14.7265625" bestFit="1" customWidth="1"/>
    <col min="276" max="276" width="12.08984375" bestFit="1" customWidth="1"/>
    <col min="277" max="277" width="15.08984375" bestFit="1" customWidth="1"/>
    <col min="278" max="278" width="10" bestFit="1" customWidth="1"/>
    <col min="279" max="280" width="9.453125" bestFit="1" customWidth="1"/>
    <col min="281" max="281" width="13" bestFit="1" customWidth="1"/>
    <col min="282" max="282" width="12.81640625" bestFit="1" customWidth="1"/>
    <col min="283" max="283" width="15.81640625" bestFit="1" customWidth="1"/>
    <col min="284" max="284" width="12.7265625" bestFit="1" customWidth="1"/>
    <col min="285" max="286" width="9.453125" bestFit="1" customWidth="1"/>
    <col min="287" max="287" width="15.7265625" bestFit="1" customWidth="1"/>
    <col min="288" max="288" width="16.90625" bestFit="1" customWidth="1"/>
    <col min="289" max="289" width="19.90625" bestFit="1" customWidth="1"/>
    <col min="290" max="290" width="13" bestFit="1" customWidth="1"/>
    <col min="291" max="291" width="9.453125" bestFit="1" customWidth="1"/>
    <col min="292" max="292" width="16" bestFit="1" customWidth="1"/>
    <col min="293" max="293" width="9.453125" bestFit="1" customWidth="1"/>
    <col min="294" max="294" width="12.26953125" bestFit="1" customWidth="1"/>
    <col min="295" max="295" width="10.453125" bestFit="1" customWidth="1"/>
    <col min="296" max="296" width="13.453125" bestFit="1" customWidth="1"/>
    <col min="297" max="297" width="18.36328125" bestFit="1" customWidth="1"/>
    <col min="298" max="298" width="21.453125" bestFit="1" customWidth="1"/>
    <col min="299" max="299" width="14.7265625" bestFit="1" customWidth="1"/>
    <col min="300" max="300" width="9.453125" bestFit="1" customWidth="1"/>
    <col min="301" max="301" width="17.7265625" bestFit="1" customWidth="1"/>
    <col min="302" max="302" width="16.1796875" bestFit="1" customWidth="1"/>
    <col min="303" max="303" width="19.1796875" bestFit="1" customWidth="1"/>
    <col min="304" max="304" width="11.08984375" bestFit="1" customWidth="1"/>
    <col min="305" max="305" width="9.453125" bestFit="1" customWidth="1"/>
    <col min="306" max="306" width="14.08984375" bestFit="1" customWidth="1"/>
    <col min="307" max="307" width="22.54296875" bestFit="1" customWidth="1"/>
    <col min="308" max="308" width="25.6328125" bestFit="1" customWidth="1"/>
    <col min="309" max="309" width="9.453125" bestFit="1" customWidth="1"/>
    <col min="310" max="310" width="10.36328125" bestFit="1" customWidth="1"/>
    <col min="311" max="311" width="13.36328125" bestFit="1" customWidth="1"/>
    <col min="312" max="312" width="16.36328125" bestFit="1" customWidth="1"/>
    <col min="313" max="313" width="17.54296875" bestFit="1" customWidth="1"/>
    <col min="314" max="314" width="9.453125" bestFit="1" customWidth="1"/>
    <col min="315" max="315" width="20.54296875" bestFit="1" customWidth="1"/>
    <col min="316" max="316" width="17.90625" bestFit="1" customWidth="1"/>
    <col min="317" max="317" width="20.90625" bestFit="1" customWidth="1"/>
    <col min="318" max="319" width="9.453125" bestFit="1" customWidth="1"/>
    <col min="320" max="320" width="10.6328125" bestFit="1" customWidth="1"/>
    <col min="321" max="321" width="19.90625" bestFit="1" customWidth="1"/>
    <col min="322" max="322" width="22.90625" bestFit="1" customWidth="1"/>
    <col min="323" max="323" width="18.453125" bestFit="1" customWidth="1"/>
    <col min="324" max="324" width="9.453125" bestFit="1" customWidth="1"/>
    <col min="325" max="325" width="21.54296875" bestFit="1" customWidth="1"/>
    <col min="326" max="326" width="13.81640625" bestFit="1" customWidth="1"/>
    <col min="327" max="327" width="9.453125" bestFit="1" customWidth="1"/>
    <col min="328" max="328" width="16.81640625" bestFit="1" customWidth="1"/>
    <col min="329" max="329" width="20.08984375" bestFit="1" customWidth="1"/>
    <col min="330" max="330" width="23.08984375" bestFit="1" customWidth="1"/>
    <col min="331" max="331" width="20.08984375" bestFit="1" customWidth="1"/>
    <col min="332" max="332" width="23.08984375" bestFit="1" customWidth="1"/>
    <col min="333" max="333" width="16.453125" bestFit="1" customWidth="1"/>
    <col min="334" max="334" width="19.453125" bestFit="1" customWidth="1"/>
    <col min="335" max="335" width="14.54296875" bestFit="1" customWidth="1"/>
    <col min="336" max="337" width="9.453125" bestFit="1" customWidth="1"/>
    <col min="338" max="338" width="17.6328125" bestFit="1" customWidth="1"/>
    <col min="339" max="339" width="16.90625" bestFit="1" customWidth="1"/>
    <col min="340" max="342" width="9.453125" bestFit="1" customWidth="1"/>
    <col min="343" max="343" width="19.90625" bestFit="1" customWidth="1"/>
    <col min="344" max="344" width="26.54296875" bestFit="1" customWidth="1"/>
    <col min="345" max="345" width="29.6328125" bestFit="1" customWidth="1"/>
    <col min="346" max="346" width="19.90625" bestFit="1" customWidth="1"/>
    <col min="347" max="347" width="22.90625" bestFit="1" customWidth="1"/>
    <col min="348" max="348" width="16.90625" bestFit="1" customWidth="1"/>
    <col min="349" max="349" width="19.90625" bestFit="1" customWidth="1"/>
    <col min="350" max="350" width="10.36328125" bestFit="1" customWidth="1"/>
    <col min="351" max="351" width="13.36328125" bestFit="1" customWidth="1"/>
    <col min="352" max="352" width="15.08984375" bestFit="1" customWidth="1"/>
    <col min="353" max="353" width="18.08984375" bestFit="1" customWidth="1"/>
    <col min="354" max="354" width="13.81640625" bestFit="1" customWidth="1"/>
    <col min="355" max="357" width="9.453125" bestFit="1" customWidth="1"/>
    <col min="358" max="358" width="16.81640625" bestFit="1" customWidth="1"/>
    <col min="359" max="359" width="12.36328125" bestFit="1" customWidth="1"/>
    <col min="360" max="360" width="9.453125" bestFit="1" customWidth="1"/>
    <col min="361" max="361" width="15.36328125" bestFit="1" customWidth="1"/>
    <col min="362" max="362" width="16.90625" bestFit="1" customWidth="1"/>
    <col min="363" max="365" width="9.453125" bestFit="1" customWidth="1"/>
    <col min="366" max="366" width="19.90625" bestFit="1" customWidth="1"/>
    <col min="367" max="367" width="14.26953125" bestFit="1" customWidth="1"/>
    <col min="368" max="369" width="9.453125" bestFit="1" customWidth="1"/>
    <col min="370" max="370" width="17.36328125" bestFit="1" customWidth="1"/>
    <col min="371" max="371" width="17.26953125" bestFit="1" customWidth="1"/>
    <col min="372" max="372" width="20.26953125" bestFit="1" customWidth="1"/>
    <col min="373" max="373" width="13.81640625" bestFit="1" customWidth="1"/>
    <col min="374" max="375" width="9.453125" bestFit="1" customWidth="1"/>
    <col min="376" max="376" width="16.81640625" bestFit="1" customWidth="1"/>
    <col min="377" max="377" width="14.26953125" bestFit="1" customWidth="1"/>
    <col min="378" max="379" width="9.453125" bestFit="1" customWidth="1"/>
    <col min="380" max="380" width="17.36328125" bestFit="1" customWidth="1"/>
    <col min="381" max="381" width="15.08984375" bestFit="1" customWidth="1"/>
    <col min="382" max="384" width="9.453125" bestFit="1" customWidth="1"/>
    <col min="385" max="385" width="18.08984375" bestFit="1" customWidth="1"/>
    <col min="386" max="386" width="14.08984375" bestFit="1" customWidth="1"/>
    <col min="387" max="387" width="9.453125" bestFit="1" customWidth="1"/>
    <col min="388" max="388" width="17.1796875" bestFit="1" customWidth="1"/>
    <col min="389" max="389" width="12.81640625" bestFit="1" customWidth="1"/>
    <col min="390" max="390" width="15.81640625" bestFit="1" customWidth="1"/>
    <col min="391" max="391" width="18" bestFit="1" customWidth="1"/>
    <col min="392" max="394" width="9.453125" bestFit="1" customWidth="1"/>
    <col min="395" max="395" width="21.08984375" bestFit="1" customWidth="1"/>
    <col min="396" max="396" width="11.1796875" bestFit="1" customWidth="1"/>
    <col min="397" max="397" width="9.453125" bestFit="1" customWidth="1"/>
    <col min="398" max="398" width="14.1796875" bestFit="1" customWidth="1"/>
    <col min="399" max="399" width="12" bestFit="1" customWidth="1"/>
    <col min="400" max="401" width="9.453125" bestFit="1" customWidth="1"/>
    <col min="402" max="402" width="15" bestFit="1" customWidth="1"/>
    <col min="403" max="403" width="11.6328125" bestFit="1" customWidth="1"/>
    <col min="404" max="404" width="9.453125" bestFit="1" customWidth="1"/>
    <col min="405" max="405" width="14.6328125" bestFit="1" customWidth="1"/>
    <col min="406" max="406" width="14.90625" bestFit="1" customWidth="1"/>
    <col min="407" max="407" width="17.90625" bestFit="1" customWidth="1"/>
    <col min="408" max="408" width="14.1796875" bestFit="1" customWidth="1"/>
    <col min="409" max="411" width="9.453125" bestFit="1" customWidth="1"/>
    <col min="412" max="412" width="17.26953125" bestFit="1" customWidth="1"/>
    <col min="413" max="413" width="12.36328125" bestFit="1" customWidth="1"/>
    <col min="414" max="414" width="9.453125" bestFit="1" customWidth="1"/>
    <col min="415" max="415" width="15.36328125" bestFit="1" customWidth="1"/>
    <col min="416" max="416" width="14.36328125" bestFit="1" customWidth="1"/>
    <col min="417" max="417" width="9.453125" bestFit="1" customWidth="1"/>
    <col min="418" max="418" width="17.453125" bestFit="1" customWidth="1"/>
    <col min="419" max="419" width="17.54296875" bestFit="1" customWidth="1"/>
    <col min="420" max="422" width="9.453125" bestFit="1" customWidth="1"/>
    <col min="423" max="423" width="20.54296875" bestFit="1" customWidth="1"/>
    <col min="424" max="424" width="16.7265625" bestFit="1" customWidth="1"/>
    <col min="425" max="427" width="9.453125" bestFit="1" customWidth="1"/>
    <col min="428" max="428" width="19.7265625" bestFit="1" customWidth="1"/>
    <col min="429" max="429" width="15.36328125" bestFit="1" customWidth="1"/>
    <col min="430" max="431" width="9.453125" bestFit="1" customWidth="1"/>
    <col min="432" max="432" width="18.36328125" bestFit="1" customWidth="1"/>
    <col min="433" max="433" width="18.08984375" bestFit="1" customWidth="1"/>
    <col min="434" max="435" width="9.453125" bestFit="1" customWidth="1"/>
    <col min="436" max="436" width="21.1796875" bestFit="1" customWidth="1"/>
    <col min="437" max="437" width="20.81640625" bestFit="1" customWidth="1"/>
    <col min="438" max="438" width="9.453125" bestFit="1" customWidth="1"/>
    <col min="439" max="439" width="23.81640625" bestFit="1" customWidth="1"/>
    <col min="440" max="440" width="16" bestFit="1" customWidth="1"/>
    <col min="441" max="441" width="9.453125" bestFit="1" customWidth="1"/>
    <col min="442" max="442" width="19" bestFit="1" customWidth="1"/>
    <col min="443" max="443" width="12.7265625" bestFit="1" customWidth="1"/>
    <col min="444" max="445" width="9.453125" bestFit="1" customWidth="1"/>
    <col min="446" max="446" width="15.7265625" bestFit="1" customWidth="1"/>
    <col min="447" max="447" width="14.36328125" bestFit="1" customWidth="1"/>
    <col min="448" max="449" width="9.453125" bestFit="1" customWidth="1"/>
    <col min="450" max="450" width="17.453125" bestFit="1" customWidth="1"/>
    <col min="451" max="451" width="14" bestFit="1" customWidth="1"/>
    <col min="452" max="452" width="17.08984375" bestFit="1" customWidth="1"/>
    <col min="453" max="453" width="17.1796875" bestFit="1" customWidth="1"/>
    <col min="454" max="454" width="20.1796875" bestFit="1" customWidth="1"/>
    <col min="455" max="455" width="13.36328125" bestFit="1" customWidth="1"/>
    <col min="456" max="456" width="16.36328125" bestFit="1" customWidth="1"/>
    <col min="457" max="457" width="14.453125" bestFit="1" customWidth="1"/>
    <col min="458" max="459" width="9.453125" bestFit="1" customWidth="1"/>
    <col min="460" max="460" width="17.54296875" bestFit="1" customWidth="1"/>
    <col min="461" max="461" width="14" bestFit="1" customWidth="1"/>
    <col min="462" max="463" width="9.453125" bestFit="1" customWidth="1"/>
    <col min="464" max="464" width="17.08984375" bestFit="1" customWidth="1"/>
    <col min="465" max="465" width="14.1796875" bestFit="1" customWidth="1"/>
    <col min="466" max="466" width="17.26953125" bestFit="1" customWidth="1"/>
    <col min="467" max="467" width="15.90625" bestFit="1" customWidth="1"/>
    <col min="468" max="468" width="18.90625" bestFit="1" customWidth="1"/>
    <col min="469" max="469" width="13.90625" bestFit="1" customWidth="1"/>
    <col min="470" max="470" width="9.453125" bestFit="1" customWidth="1"/>
    <col min="471" max="471" width="17" bestFit="1" customWidth="1"/>
    <col min="472" max="472" width="13.453125" bestFit="1" customWidth="1"/>
    <col min="473" max="473" width="16.453125" bestFit="1" customWidth="1"/>
    <col min="474" max="474" width="14.08984375" bestFit="1" customWidth="1"/>
    <col min="475" max="475" width="17.1796875" bestFit="1" customWidth="1"/>
    <col min="476" max="476" width="14.54296875" bestFit="1" customWidth="1"/>
    <col min="477" max="477" width="9.453125" bestFit="1" customWidth="1"/>
    <col min="478" max="478" width="17.6328125" bestFit="1" customWidth="1"/>
    <col min="479" max="479" width="11.90625" bestFit="1" customWidth="1"/>
    <col min="480" max="480" width="9.453125" bestFit="1" customWidth="1"/>
    <col min="481" max="481" width="14.90625" bestFit="1" customWidth="1"/>
    <col min="482" max="482" width="14" bestFit="1" customWidth="1"/>
    <col min="483" max="483" width="17.08984375" bestFit="1" customWidth="1"/>
    <col min="484" max="484" width="16.36328125" bestFit="1" customWidth="1"/>
    <col min="485" max="485" width="9.453125" bestFit="1" customWidth="1"/>
    <col min="486" max="486" width="19.36328125" bestFit="1" customWidth="1"/>
    <col min="487" max="487" width="12.54296875" bestFit="1" customWidth="1"/>
    <col min="488" max="490" width="9.453125" bestFit="1" customWidth="1"/>
    <col min="491" max="491" width="15.54296875" bestFit="1" customWidth="1"/>
    <col min="492" max="492" width="15.6328125" bestFit="1" customWidth="1"/>
    <col min="493" max="493" width="18.6328125" bestFit="1" customWidth="1"/>
    <col min="494" max="494" width="12.90625" bestFit="1" customWidth="1"/>
    <col min="495" max="495" width="15.90625" bestFit="1" customWidth="1"/>
    <col min="496" max="496" width="17.90625" bestFit="1" customWidth="1"/>
    <col min="497" max="498" width="9.453125" bestFit="1" customWidth="1"/>
    <col min="499" max="499" width="20.90625" bestFit="1" customWidth="1"/>
    <col min="500" max="500" width="16.08984375" bestFit="1" customWidth="1"/>
    <col min="501" max="503" width="9.453125" bestFit="1" customWidth="1"/>
    <col min="504" max="504" width="19.08984375" bestFit="1" customWidth="1"/>
    <col min="505" max="506" width="9.453125" bestFit="1" customWidth="1"/>
    <col min="507" max="507" width="10.90625" bestFit="1" customWidth="1"/>
    <col min="508" max="508" width="15.26953125" bestFit="1" customWidth="1"/>
    <col min="509" max="509" width="18.26953125" bestFit="1" customWidth="1"/>
    <col min="510" max="510" width="11.81640625" bestFit="1" customWidth="1"/>
    <col min="511" max="511" width="14.81640625" bestFit="1" customWidth="1"/>
    <col min="512" max="512" width="12.453125" bestFit="1" customWidth="1"/>
    <col min="513" max="515" width="9.453125" bestFit="1" customWidth="1"/>
    <col min="516" max="516" width="15.453125" bestFit="1" customWidth="1"/>
    <col min="517" max="517" width="15.6328125" bestFit="1" customWidth="1"/>
    <col min="518" max="519" width="9.453125" bestFit="1" customWidth="1"/>
    <col min="520" max="520" width="18.6328125" bestFit="1" customWidth="1"/>
    <col min="521" max="521" width="13.08984375" bestFit="1" customWidth="1"/>
    <col min="522" max="522" width="16.08984375" bestFit="1" customWidth="1"/>
    <col min="523" max="523" width="15.7265625" bestFit="1" customWidth="1"/>
    <col min="524" max="525" width="9.453125" bestFit="1" customWidth="1"/>
    <col min="526" max="526" width="18.7265625" bestFit="1" customWidth="1"/>
    <col min="527" max="527" width="15.6328125" bestFit="1" customWidth="1"/>
    <col min="528" max="528" width="18.6328125" bestFit="1" customWidth="1"/>
    <col min="529" max="529" width="15.7265625" bestFit="1" customWidth="1"/>
    <col min="530" max="531" width="9.453125" bestFit="1" customWidth="1"/>
    <col min="532" max="532" width="18.7265625" bestFit="1" customWidth="1"/>
    <col min="533" max="533" width="14.90625" bestFit="1" customWidth="1"/>
    <col min="534" max="534" width="17.90625" bestFit="1" customWidth="1"/>
    <col min="535" max="535" width="14.54296875" bestFit="1" customWidth="1"/>
    <col min="536" max="538" width="9.453125" bestFit="1" customWidth="1"/>
    <col min="539" max="539" width="17.6328125" bestFit="1" customWidth="1"/>
    <col min="540" max="540" width="13.6328125" bestFit="1" customWidth="1"/>
    <col min="541" max="541" width="16.6328125" bestFit="1" customWidth="1"/>
    <col min="542" max="542" width="19.26953125" bestFit="1" customWidth="1"/>
    <col min="543" max="543" width="22.26953125" bestFit="1" customWidth="1"/>
    <col min="544" max="544" width="11" bestFit="1" customWidth="1"/>
    <col min="545" max="546" width="9.453125" bestFit="1" customWidth="1"/>
    <col min="547" max="547" width="14" bestFit="1" customWidth="1"/>
    <col min="548" max="548" width="13.6328125" bestFit="1" customWidth="1"/>
    <col min="549" max="549" width="16.6328125" bestFit="1" customWidth="1"/>
    <col min="550" max="550" width="11.54296875" bestFit="1" customWidth="1"/>
    <col min="551" max="553" width="9.453125" bestFit="1" customWidth="1"/>
    <col min="554" max="554" width="14.54296875" bestFit="1" customWidth="1"/>
    <col min="555" max="555" width="18.54296875" bestFit="1" customWidth="1"/>
    <col min="556" max="556" width="21.6328125" bestFit="1" customWidth="1"/>
    <col min="557" max="557" width="17.6328125" bestFit="1" customWidth="1"/>
    <col min="558" max="558" width="9.453125" bestFit="1" customWidth="1"/>
    <col min="559" max="559" width="20.6328125" bestFit="1" customWidth="1"/>
    <col min="560" max="560" width="14" bestFit="1" customWidth="1"/>
    <col min="561" max="561" width="9.453125" bestFit="1" customWidth="1"/>
    <col min="562" max="562" width="17.08984375" bestFit="1" customWidth="1"/>
    <col min="563" max="563" width="13.90625" bestFit="1" customWidth="1"/>
    <col min="564" max="564" width="17" bestFit="1" customWidth="1"/>
    <col min="565" max="565" width="15.6328125" bestFit="1" customWidth="1"/>
    <col min="566" max="567" width="9.453125" bestFit="1" customWidth="1"/>
    <col min="568" max="568" width="18.6328125" bestFit="1" customWidth="1"/>
    <col min="569" max="569" width="12.08984375" bestFit="1" customWidth="1"/>
    <col min="570" max="570" width="9.453125" bestFit="1" customWidth="1"/>
    <col min="571" max="571" width="15.08984375" bestFit="1" customWidth="1"/>
    <col min="572" max="572" width="13.6328125" bestFit="1" customWidth="1"/>
    <col min="573" max="575" width="9.453125" bestFit="1" customWidth="1"/>
    <col min="576" max="576" width="16.6328125" bestFit="1" customWidth="1"/>
    <col min="577" max="580" width="9.453125" bestFit="1" customWidth="1"/>
    <col min="581" max="581" width="12.26953125" bestFit="1" customWidth="1"/>
    <col min="582" max="582" width="14.08984375" bestFit="1" customWidth="1"/>
    <col min="583" max="585" width="9.453125" bestFit="1" customWidth="1"/>
    <col min="586" max="586" width="17.1796875" bestFit="1" customWidth="1"/>
    <col min="587" max="587" width="11.7265625" bestFit="1" customWidth="1"/>
    <col min="588" max="588" width="14.7265625" bestFit="1" customWidth="1"/>
    <col min="589" max="589" width="13.26953125" bestFit="1" customWidth="1"/>
    <col min="590" max="590" width="9.453125" bestFit="1" customWidth="1"/>
    <col min="591" max="591" width="16.26953125" bestFit="1" customWidth="1"/>
    <col min="592" max="592" width="13.54296875" bestFit="1" customWidth="1"/>
    <col min="593" max="593" width="16.54296875" bestFit="1" customWidth="1"/>
    <col min="594" max="594" width="12.54296875" bestFit="1" customWidth="1"/>
    <col min="595" max="595" width="9.453125" bestFit="1" customWidth="1"/>
    <col min="596" max="596" width="15.54296875" bestFit="1" customWidth="1"/>
    <col min="597" max="597" width="11.26953125" bestFit="1" customWidth="1"/>
    <col min="598" max="598" width="14.26953125" bestFit="1" customWidth="1"/>
    <col min="599" max="599" width="25.453125" bestFit="1" customWidth="1"/>
    <col min="600" max="600" width="9.453125" bestFit="1" customWidth="1"/>
    <col min="601" max="601" width="28.453125" bestFit="1" customWidth="1"/>
    <col min="602" max="602" width="13.54296875" bestFit="1" customWidth="1"/>
    <col min="603" max="603" width="9.453125" bestFit="1" customWidth="1"/>
    <col min="604" max="604" width="16.54296875" bestFit="1" customWidth="1"/>
    <col min="605" max="605" width="12.453125" bestFit="1" customWidth="1"/>
    <col min="606" max="606" width="15.453125" bestFit="1" customWidth="1"/>
    <col min="607" max="607" width="11.36328125" bestFit="1" customWidth="1"/>
    <col min="608" max="608" width="14.36328125" bestFit="1" customWidth="1"/>
    <col min="609" max="609" width="12.54296875" bestFit="1" customWidth="1"/>
    <col min="610" max="611" width="9.453125" bestFit="1" customWidth="1"/>
    <col min="612" max="612" width="15.54296875" bestFit="1" customWidth="1"/>
    <col min="613" max="613" width="21.453125" bestFit="1" customWidth="1"/>
    <col min="614" max="615" width="9.453125" bestFit="1" customWidth="1"/>
    <col min="616" max="616" width="24.453125" bestFit="1" customWidth="1"/>
    <col min="617" max="617" width="16.54296875" bestFit="1" customWidth="1"/>
    <col min="618" max="618" width="9.453125" bestFit="1" customWidth="1"/>
    <col min="619" max="619" width="19.54296875" bestFit="1" customWidth="1"/>
    <col min="620" max="620" width="12.90625" bestFit="1" customWidth="1"/>
    <col min="621" max="621" width="15.90625" bestFit="1" customWidth="1"/>
    <col min="622" max="622" width="17.54296875" bestFit="1" customWidth="1"/>
    <col min="623" max="623" width="9.453125" bestFit="1" customWidth="1"/>
    <col min="624" max="624" width="20.54296875" bestFit="1" customWidth="1"/>
    <col min="625" max="625" width="12.7265625" bestFit="1" customWidth="1"/>
    <col min="626" max="627" width="9.453125" bestFit="1" customWidth="1"/>
    <col min="628" max="628" width="15.7265625" bestFit="1" customWidth="1"/>
    <col min="629" max="629" width="13.6328125" bestFit="1" customWidth="1"/>
    <col min="630" max="630" width="9.453125" bestFit="1" customWidth="1"/>
    <col min="631" max="631" width="16.6328125" bestFit="1" customWidth="1"/>
    <col min="632" max="632" width="14.81640625" bestFit="1" customWidth="1"/>
    <col min="633" max="633" width="17.81640625" bestFit="1" customWidth="1"/>
    <col min="634" max="634" width="13.1796875" bestFit="1" customWidth="1"/>
    <col min="635" max="637" width="9.453125" bestFit="1" customWidth="1"/>
    <col min="638" max="638" width="16.1796875" bestFit="1" customWidth="1"/>
    <col min="639" max="639" width="9.453125" bestFit="1" customWidth="1"/>
    <col min="640" max="640" width="9.36328125" bestFit="1" customWidth="1"/>
    <col min="641" max="641" width="20.08984375" bestFit="1" customWidth="1"/>
    <col min="642" max="642" width="9.453125" bestFit="1" customWidth="1"/>
    <col min="643" max="643" width="23.08984375" bestFit="1" customWidth="1"/>
    <col min="644" max="644" width="17.54296875" bestFit="1" customWidth="1"/>
    <col min="645" max="645" width="9.453125" bestFit="1" customWidth="1"/>
    <col min="646" max="646" width="20.54296875" bestFit="1" customWidth="1"/>
    <col min="647" max="647" width="15" bestFit="1" customWidth="1"/>
    <col min="648" max="648" width="9.453125" bestFit="1" customWidth="1"/>
    <col min="649" max="649" width="18" bestFit="1" customWidth="1"/>
    <col min="650" max="650" width="10" bestFit="1" customWidth="1"/>
    <col min="651" max="651" width="13" bestFit="1" customWidth="1"/>
    <col min="652" max="652" width="20.26953125" bestFit="1" customWidth="1"/>
    <col min="653" max="653" width="23.26953125" bestFit="1" customWidth="1"/>
    <col min="654" max="654" width="19.36328125" bestFit="1" customWidth="1"/>
    <col min="655" max="655" width="22.36328125" bestFit="1" customWidth="1"/>
    <col min="656" max="656" width="10.6328125" bestFit="1" customWidth="1"/>
    <col min="657" max="658" width="9.453125" bestFit="1" customWidth="1"/>
    <col min="659" max="659" width="13.6328125" bestFit="1" customWidth="1"/>
    <col min="660" max="660" width="15.08984375" bestFit="1" customWidth="1"/>
    <col min="661" max="661" width="9.453125" bestFit="1" customWidth="1"/>
    <col min="662" max="662" width="18.08984375" bestFit="1" customWidth="1"/>
    <col min="663" max="663" width="10.453125" bestFit="1" customWidth="1"/>
    <col min="664" max="665" width="9.453125" bestFit="1" customWidth="1"/>
    <col min="666" max="666" width="13.453125" bestFit="1" customWidth="1"/>
    <col min="667" max="667" width="9.54296875" bestFit="1" customWidth="1"/>
    <col min="668" max="670" width="9.453125" bestFit="1" customWidth="1"/>
    <col min="671" max="671" width="12.453125" bestFit="1" customWidth="1"/>
    <col min="672" max="672" width="25.7265625" bestFit="1" customWidth="1"/>
    <col min="673" max="673" width="28.7265625" bestFit="1" customWidth="1"/>
    <col min="674" max="674" width="11" bestFit="1" customWidth="1"/>
    <col min="675" max="675" width="14" bestFit="1" customWidth="1"/>
    <col min="676" max="676" width="12.1796875" bestFit="1" customWidth="1"/>
    <col min="677" max="678" width="9.453125" bestFit="1" customWidth="1"/>
    <col min="679" max="679" width="15.1796875" bestFit="1" customWidth="1"/>
    <col min="680" max="680" width="12.08984375" bestFit="1" customWidth="1"/>
    <col min="681" max="682" width="9.453125" bestFit="1" customWidth="1"/>
    <col min="683" max="683" width="15.08984375" bestFit="1" customWidth="1"/>
    <col min="684" max="684" width="15.90625" bestFit="1" customWidth="1"/>
    <col min="685" max="687" width="9.453125" bestFit="1" customWidth="1"/>
    <col min="688" max="688" width="18.90625" bestFit="1" customWidth="1"/>
    <col min="689" max="689" width="14.36328125" bestFit="1" customWidth="1"/>
    <col min="690" max="690" width="17.453125" bestFit="1" customWidth="1"/>
    <col min="691" max="691" width="9.54296875" bestFit="1" customWidth="1"/>
    <col min="692" max="692" width="12.453125" bestFit="1" customWidth="1"/>
    <col min="693" max="693" width="18" bestFit="1" customWidth="1"/>
    <col min="694" max="694" width="21.08984375" bestFit="1" customWidth="1"/>
    <col min="695" max="695" width="16.54296875" bestFit="1" customWidth="1"/>
    <col min="696" max="696" width="19.54296875" bestFit="1" customWidth="1"/>
    <col min="697" max="697" width="13.54296875" bestFit="1" customWidth="1"/>
    <col min="698" max="699" width="9.453125" bestFit="1" customWidth="1"/>
    <col min="700" max="700" width="16.54296875" bestFit="1" customWidth="1"/>
    <col min="701" max="701" width="13.1796875" bestFit="1" customWidth="1"/>
    <col min="702" max="702" width="16.1796875" bestFit="1" customWidth="1"/>
    <col min="703" max="703" width="9.453125" bestFit="1" customWidth="1"/>
    <col min="704" max="704" width="12.26953125" bestFit="1" customWidth="1"/>
    <col min="705" max="705" width="12.54296875" bestFit="1" customWidth="1"/>
    <col min="706" max="706" width="9.453125" bestFit="1" customWidth="1"/>
    <col min="707" max="707" width="15.54296875" bestFit="1" customWidth="1"/>
    <col min="708" max="708" width="17.08984375" bestFit="1" customWidth="1"/>
    <col min="709" max="709" width="20.08984375" bestFit="1" customWidth="1"/>
    <col min="710" max="710" width="19.08984375" bestFit="1" customWidth="1"/>
    <col min="711" max="713" width="9.453125" bestFit="1" customWidth="1"/>
    <col min="714" max="714" width="22.08984375" bestFit="1" customWidth="1"/>
    <col min="715" max="715" width="16.1796875" bestFit="1" customWidth="1"/>
    <col min="716" max="716" width="19.1796875" bestFit="1" customWidth="1"/>
    <col min="717" max="717" width="13.26953125" bestFit="1" customWidth="1"/>
    <col min="718" max="720" width="9.453125" bestFit="1" customWidth="1"/>
    <col min="721" max="721" width="16.26953125" bestFit="1" customWidth="1"/>
    <col min="722" max="722" width="10.6328125" bestFit="1" customWidth="1"/>
    <col min="723" max="723" width="9.453125" bestFit="1" customWidth="1"/>
    <col min="724" max="724" width="13.6328125" bestFit="1" customWidth="1"/>
    <col min="725" max="725" width="18.08984375" bestFit="1" customWidth="1"/>
    <col min="726" max="727" width="9.453125" bestFit="1" customWidth="1"/>
    <col min="728" max="728" width="21.1796875" bestFit="1" customWidth="1"/>
    <col min="729" max="729" width="19.54296875" bestFit="1" customWidth="1"/>
    <col min="730" max="730" width="9.453125" bestFit="1" customWidth="1"/>
    <col min="731" max="731" width="22.54296875" bestFit="1" customWidth="1"/>
    <col min="732" max="732" width="15.453125" bestFit="1" customWidth="1"/>
    <col min="733" max="733" width="9.453125" bestFit="1" customWidth="1"/>
    <col min="734" max="734" width="18.453125" bestFit="1" customWidth="1"/>
    <col min="735" max="735" width="15.54296875" bestFit="1" customWidth="1"/>
    <col min="736" max="736" width="18.54296875" bestFit="1" customWidth="1"/>
    <col min="737" max="737" width="14.36328125" bestFit="1" customWidth="1"/>
    <col min="738" max="738" width="17.453125" bestFit="1" customWidth="1"/>
    <col min="739" max="739" width="11.81640625" bestFit="1" customWidth="1"/>
    <col min="740" max="740" width="14.81640625" bestFit="1" customWidth="1"/>
    <col min="741" max="741" width="17" bestFit="1" customWidth="1"/>
    <col min="742" max="742" width="20" bestFit="1" customWidth="1"/>
    <col min="743" max="743" width="16.6328125" bestFit="1" customWidth="1"/>
    <col min="744" max="744" width="9.453125" bestFit="1" customWidth="1"/>
    <col min="745" max="745" width="19.6328125" bestFit="1" customWidth="1"/>
    <col min="746" max="746" width="16.36328125" bestFit="1" customWidth="1"/>
    <col min="747" max="747" width="9.453125" bestFit="1" customWidth="1"/>
    <col min="748" max="748" width="19.36328125" bestFit="1" customWidth="1"/>
    <col min="749" max="749" width="9.453125" bestFit="1" customWidth="1"/>
    <col min="750" max="750" width="9.26953125" bestFit="1" customWidth="1"/>
    <col min="751" max="751" width="19" bestFit="1" customWidth="1"/>
    <col min="752" max="752" width="22" bestFit="1" customWidth="1"/>
    <col min="753" max="753" width="13.453125" bestFit="1" customWidth="1"/>
    <col min="754" max="755" width="9.453125" bestFit="1" customWidth="1"/>
    <col min="756" max="756" width="16.453125" bestFit="1" customWidth="1"/>
    <col min="757" max="757" width="15.81640625" bestFit="1" customWidth="1"/>
    <col min="758" max="758" width="9.453125" bestFit="1" customWidth="1"/>
    <col min="759" max="759" width="18.81640625" bestFit="1" customWidth="1"/>
    <col min="760" max="760" width="11.6328125" bestFit="1" customWidth="1"/>
    <col min="761" max="761" width="9.453125" bestFit="1" customWidth="1"/>
    <col min="762" max="762" width="14.6328125" bestFit="1" customWidth="1"/>
    <col min="763" max="763" width="13.36328125" bestFit="1" customWidth="1"/>
    <col min="764" max="764" width="9.453125" bestFit="1" customWidth="1"/>
    <col min="765" max="765" width="16.36328125" bestFit="1" customWidth="1"/>
    <col min="766" max="766" width="13.36328125" bestFit="1" customWidth="1"/>
    <col min="767" max="768" width="9.453125" bestFit="1" customWidth="1"/>
    <col min="769" max="769" width="16.36328125" bestFit="1" customWidth="1"/>
    <col min="770" max="770" width="16.1796875" bestFit="1" customWidth="1"/>
    <col min="771" max="771" width="9.453125" bestFit="1" customWidth="1"/>
    <col min="772" max="772" width="19.1796875" bestFit="1" customWidth="1"/>
    <col min="773" max="773" width="11.54296875" bestFit="1" customWidth="1"/>
    <col min="774" max="775" width="9.453125" bestFit="1" customWidth="1"/>
    <col min="776" max="776" width="14.54296875" bestFit="1" customWidth="1"/>
    <col min="777" max="777" width="12" bestFit="1" customWidth="1"/>
    <col min="778" max="778" width="15" bestFit="1" customWidth="1"/>
    <col min="779" max="779" width="15.90625" bestFit="1" customWidth="1"/>
    <col min="780" max="780" width="18.90625" bestFit="1" customWidth="1"/>
    <col min="781" max="781" width="15.453125" bestFit="1" customWidth="1"/>
    <col min="782" max="783" width="9.453125" bestFit="1" customWidth="1"/>
    <col min="784" max="784" width="18.453125" bestFit="1" customWidth="1"/>
    <col min="785" max="785" width="13.26953125" bestFit="1" customWidth="1"/>
    <col min="786" max="786" width="16.26953125" bestFit="1" customWidth="1"/>
    <col min="787" max="787" width="14.36328125" bestFit="1" customWidth="1"/>
    <col min="788" max="788" width="17.453125" bestFit="1" customWidth="1"/>
    <col min="789" max="789" width="20.54296875" bestFit="1" customWidth="1"/>
    <col min="790" max="792" width="9.453125" bestFit="1" customWidth="1"/>
    <col min="793" max="793" width="23.54296875" bestFit="1" customWidth="1"/>
    <col min="794" max="794" width="16.6328125" bestFit="1" customWidth="1"/>
    <col min="795" max="796" width="9.453125" bestFit="1" customWidth="1"/>
    <col min="797" max="797" width="19.6328125" bestFit="1" customWidth="1"/>
    <col min="798" max="798" width="16.26953125" bestFit="1" customWidth="1"/>
    <col min="799" max="799" width="9.453125" bestFit="1" customWidth="1"/>
    <col min="800" max="800" width="19.26953125" bestFit="1" customWidth="1"/>
    <col min="801" max="801" width="13.81640625" bestFit="1" customWidth="1"/>
    <col min="802" max="802" width="9.453125" bestFit="1" customWidth="1"/>
    <col min="803" max="803" width="16.81640625" bestFit="1" customWidth="1"/>
    <col min="804" max="804" width="14.1796875" bestFit="1" customWidth="1"/>
    <col min="805" max="806" width="9.453125" bestFit="1" customWidth="1"/>
    <col min="807" max="807" width="17.26953125" bestFit="1" customWidth="1"/>
    <col min="808" max="808" width="14.453125" bestFit="1" customWidth="1"/>
    <col min="809" max="809" width="9.453125" bestFit="1" customWidth="1"/>
    <col min="810" max="810" width="17.54296875" bestFit="1" customWidth="1"/>
    <col min="811" max="811" width="16.26953125" bestFit="1" customWidth="1"/>
    <col min="812" max="812" width="19.26953125" bestFit="1" customWidth="1"/>
    <col min="813" max="813" width="16" bestFit="1" customWidth="1"/>
    <col min="814" max="814" width="19" bestFit="1" customWidth="1"/>
    <col min="815" max="815" width="16.6328125" bestFit="1" customWidth="1"/>
    <col min="816" max="816" width="19.6328125" bestFit="1" customWidth="1"/>
    <col min="817" max="817" width="13.54296875" bestFit="1" customWidth="1"/>
    <col min="818" max="819" width="9.453125" bestFit="1" customWidth="1"/>
    <col min="820" max="820" width="16.54296875" bestFit="1" customWidth="1"/>
    <col min="821" max="821" width="16.6328125" bestFit="1" customWidth="1"/>
    <col min="822" max="822" width="19.6328125" bestFit="1" customWidth="1"/>
    <col min="823" max="823" width="14.54296875" bestFit="1" customWidth="1"/>
    <col min="824" max="824" width="17.6328125" bestFit="1" customWidth="1"/>
    <col min="825" max="825" width="20.26953125" bestFit="1" customWidth="1"/>
    <col min="826" max="826" width="23.26953125" bestFit="1" customWidth="1"/>
    <col min="827" max="827" width="15.90625" bestFit="1" customWidth="1"/>
    <col min="828" max="830" width="9.453125" bestFit="1" customWidth="1"/>
    <col min="831" max="831" width="18.90625" bestFit="1" customWidth="1"/>
    <col min="832" max="832" width="17.08984375" bestFit="1" customWidth="1"/>
    <col min="833" max="833" width="9.453125" bestFit="1" customWidth="1"/>
    <col min="834" max="834" width="20.08984375" bestFit="1" customWidth="1"/>
    <col min="835" max="835" width="12.08984375" bestFit="1" customWidth="1"/>
    <col min="836" max="838" width="9.453125" bestFit="1" customWidth="1"/>
    <col min="839" max="839" width="15.08984375" bestFit="1" customWidth="1"/>
    <col min="840" max="840" width="11.90625" bestFit="1" customWidth="1"/>
    <col min="841" max="843" width="9.453125" bestFit="1" customWidth="1"/>
    <col min="844" max="844" width="14.90625" bestFit="1" customWidth="1"/>
    <col min="845" max="845" width="14.7265625" bestFit="1" customWidth="1"/>
    <col min="846" max="847" width="9.453125" bestFit="1" customWidth="1"/>
    <col min="848" max="848" width="17.7265625" bestFit="1" customWidth="1"/>
    <col min="849" max="849" width="12.90625" bestFit="1" customWidth="1"/>
    <col min="850" max="851" width="9.453125" bestFit="1" customWidth="1"/>
    <col min="852" max="852" width="15.90625" bestFit="1" customWidth="1"/>
    <col min="853" max="853" width="14.7265625" bestFit="1" customWidth="1"/>
    <col min="854" max="854" width="17.7265625" bestFit="1" customWidth="1"/>
    <col min="855" max="855" width="17.1796875" bestFit="1" customWidth="1"/>
    <col min="856" max="856" width="20.1796875" bestFit="1" customWidth="1"/>
    <col min="857" max="857" width="15.08984375" bestFit="1" customWidth="1"/>
    <col min="858" max="860" width="9.453125" bestFit="1" customWidth="1"/>
    <col min="861" max="861" width="18.08984375" bestFit="1" customWidth="1"/>
    <col min="862" max="862" width="13.36328125" bestFit="1" customWidth="1"/>
    <col min="863" max="863" width="16.36328125" bestFit="1" customWidth="1"/>
    <col min="864" max="864" width="19.6328125" bestFit="1" customWidth="1"/>
    <col min="865" max="866" width="9.453125" bestFit="1" customWidth="1"/>
    <col min="867" max="867" width="22.6328125" bestFit="1" customWidth="1"/>
    <col min="868" max="868" width="15.36328125" bestFit="1" customWidth="1"/>
    <col min="869" max="869" width="9.453125" bestFit="1" customWidth="1"/>
    <col min="870" max="870" width="18.36328125" bestFit="1" customWidth="1"/>
    <col min="871" max="871" width="13.81640625" bestFit="1" customWidth="1"/>
    <col min="872" max="874" width="9.453125" bestFit="1" customWidth="1"/>
    <col min="875" max="875" width="16.81640625" bestFit="1" customWidth="1"/>
    <col min="876" max="876" width="12.1796875" bestFit="1" customWidth="1"/>
    <col min="877" max="877" width="15.1796875" bestFit="1" customWidth="1"/>
    <col min="878" max="878" width="15.7265625" bestFit="1" customWidth="1"/>
    <col min="879" max="880" width="9.453125" bestFit="1" customWidth="1"/>
    <col min="881" max="881" width="18.7265625" bestFit="1" customWidth="1"/>
    <col min="882" max="882" width="13.6328125" bestFit="1" customWidth="1"/>
    <col min="883" max="883" width="9.453125" bestFit="1" customWidth="1"/>
    <col min="884" max="884" width="16.6328125" bestFit="1" customWidth="1"/>
    <col min="885" max="885" width="14" bestFit="1" customWidth="1"/>
    <col min="886" max="886" width="17.08984375" bestFit="1" customWidth="1"/>
    <col min="887" max="887" width="13.54296875" bestFit="1" customWidth="1"/>
    <col min="888" max="888" width="9.453125" bestFit="1" customWidth="1"/>
    <col min="889" max="889" width="16.54296875" bestFit="1" customWidth="1"/>
    <col min="890" max="890" width="13.453125" bestFit="1" customWidth="1"/>
    <col min="891" max="891" width="16.453125" bestFit="1" customWidth="1"/>
    <col min="892" max="892" width="13.54296875" bestFit="1" customWidth="1"/>
    <col min="893" max="893" width="9.453125" bestFit="1" customWidth="1"/>
    <col min="894" max="894" width="16.54296875" bestFit="1" customWidth="1"/>
    <col min="895" max="895" width="10.1796875" bestFit="1" customWidth="1"/>
    <col min="896" max="896" width="13.1796875" bestFit="1" customWidth="1"/>
    <col min="897" max="897" width="14.36328125" bestFit="1" customWidth="1"/>
    <col min="898" max="898" width="17.453125" bestFit="1" customWidth="1"/>
    <col min="899" max="899" width="10.08984375" bestFit="1" customWidth="1"/>
    <col min="900" max="901" width="13.08984375" bestFit="1" customWidth="1"/>
    <col min="902" max="902" width="16.08984375" bestFit="1" customWidth="1"/>
    <col min="903" max="903" width="10.453125" bestFit="1" customWidth="1"/>
    <col min="904" max="906" width="9.453125" bestFit="1" customWidth="1"/>
    <col min="907" max="907" width="13.453125" bestFit="1" customWidth="1"/>
    <col min="908" max="908" width="13.36328125" bestFit="1" customWidth="1"/>
    <col min="909" max="909" width="16.36328125" bestFit="1" customWidth="1"/>
    <col min="910" max="910" width="13.1796875" bestFit="1" customWidth="1"/>
    <col min="911" max="911" width="9.453125" bestFit="1" customWidth="1"/>
    <col min="912" max="912" width="16.1796875" bestFit="1" customWidth="1"/>
    <col min="913" max="913" width="14.26953125" bestFit="1" customWidth="1"/>
    <col min="914" max="915" width="9.453125" bestFit="1" customWidth="1"/>
    <col min="916" max="916" width="17.36328125" bestFit="1" customWidth="1"/>
    <col min="917" max="917" width="13.90625" bestFit="1" customWidth="1"/>
    <col min="918" max="918" width="9.453125" bestFit="1" customWidth="1"/>
    <col min="919" max="919" width="17" bestFit="1" customWidth="1"/>
    <col min="920" max="920" width="14.36328125" bestFit="1" customWidth="1"/>
    <col min="921" max="921" width="17.453125" bestFit="1" customWidth="1"/>
    <col min="922" max="922" width="15.7265625" bestFit="1" customWidth="1"/>
    <col min="923" max="923" width="18.7265625" bestFit="1" customWidth="1"/>
    <col min="924" max="924" width="15.1796875" bestFit="1" customWidth="1"/>
    <col min="925" max="925" width="9.453125" bestFit="1" customWidth="1"/>
    <col min="926" max="926" width="18.1796875" bestFit="1" customWidth="1"/>
    <col min="927" max="927" width="16.08984375" bestFit="1" customWidth="1"/>
    <col min="928" max="929" width="9.453125" bestFit="1" customWidth="1"/>
    <col min="930" max="930" width="19.08984375" bestFit="1" customWidth="1"/>
    <col min="931" max="931" width="14.7265625" bestFit="1" customWidth="1"/>
    <col min="932" max="932" width="17.7265625" bestFit="1" customWidth="1"/>
    <col min="933" max="933" width="13.6328125" bestFit="1" customWidth="1"/>
    <col min="934" max="935" width="9.453125" bestFit="1" customWidth="1"/>
    <col min="936" max="937" width="16.6328125" bestFit="1" customWidth="1"/>
    <col min="938" max="938" width="19.6328125" bestFit="1" customWidth="1"/>
    <col min="939" max="939" width="16.36328125" bestFit="1" customWidth="1"/>
    <col min="940" max="942" width="9.453125" bestFit="1" customWidth="1"/>
    <col min="943" max="943" width="19.36328125" bestFit="1" customWidth="1"/>
    <col min="944" max="944" width="16.36328125" bestFit="1" customWidth="1"/>
    <col min="945" max="945" width="9.453125" bestFit="1" customWidth="1"/>
    <col min="946" max="946" width="19.36328125" bestFit="1" customWidth="1"/>
    <col min="947" max="947" width="15.453125" bestFit="1" customWidth="1"/>
    <col min="948" max="949" width="9.453125" bestFit="1" customWidth="1"/>
    <col min="950" max="950" width="18.453125" bestFit="1" customWidth="1"/>
    <col min="951" max="951" width="13.6328125" bestFit="1" customWidth="1"/>
    <col min="952" max="954" width="9.453125" bestFit="1" customWidth="1"/>
    <col min="955" max="955" width="16.6328125" bestFit="1" customWidth="1"/>
    <col min="956" max="956" width="16" bestFit="1" customWidth="1"/>
    <col min="957" max="957" width="9.453125" bestFit="1" customWidth="1"/>
    <col min="958" max="958" width="19" bestFit="1" customWidth="1"/>
    <col min="959" max="959" width="16.81640625" bestFit="1" customWidth="1"/>
    <col min="960" max="961" width="9.453125" bestFit="1" customWidth="1"/>
    <col min="962" max="962" width="19.81640625" bestFit="1" customWidth="1"/>
    <col min="963" max="963" width="15.36328125" bestFit="1" customWidth="1"/>
    <col min="964" max="966" width="9.453125" bestFit="1" customWidth="1"/>
    <col min="967" max="967" width="18.36328125" bestFit="1" customWidth="1"/>
    <col min="968" max="968" width="19.81640625" bestFit="1" customWidth="1"/>
    <col min="969" max="971" width="9.453125" bestFit="1" customWidth="1"/>
    <col min="972" max="972" width="22.81640625" bestFit="1" customWidth="1"/>
    <col min="973" max="973" width="12.7265625" bestFit="1" customWidth="1"/>
    <col min="974" max="976" width="9.453125" bestFit="1" customWidth="1"/>
    <col min="977" max="977" width="15.7265625" bestFit="1" customWidth="1"/>
    <col min="978" max="978" width="13.81640625" bestFit="1" customWidth="1"/>
    <col min="979" max="979" width="16.81640625" bestFit="1" customWidth="1"/>
    <col min="980" max="980" width="13.453125" bestFit="1" customWidth="1"/>
    <col min="981" max="981" width="16.453125" bestFit="1" customWidth="1"/>
    <col min="982" max="982" width="15.81640625" bestFit="1" customWidth="1"/>
    <col min="983" max="985" width="9.453125" bestFit="1" customWidth="1"/>
    <col min="986" max="986" width="18.81640625" bestFit="1" customWidth="1"/>
    <col min="987" max="987" width="18.6328125" bestFit="1" customWidth="1"/>
    <col min="988" max="988" width="21.7265625" bestFit="1" customWidth="1"/>
    <col min="989" max="989" width="14.81640625" bestFit="1" customWidth="1"/>
    <col min="990" max="990" width="17.81640625" bestFit="1" customWidth="1"/>
    <col min="991" max="991" width="16.1796875" bestFit="1" customWidth="1"/>
    <col min="992" max="994" width="9.453125" bestFit="1" customWidth="1"/>
    <col min="995" max="995" width="19.1796875" bestFit="1" customWidth="1"/>
    <col min="996" max="996" width="16.36328125" bestFit="1" customWidth="1"/>
    <col min="997" max="998" width="9.453125" bestFit="1" customWidth="1"/>
    <col min="999" max="999" width="19.36328125" bestFit="1" customWidth="1"/>
    <col min="1000" max="1000" width="11" bestFit="1" customWidth="1"/>
    <col min="1001" max="1001" width="14" bestFit="1" customWidth="1"/>
    <col min="1002" max="1002" width="13.90625" bestFit="1" customWidth="1"/>
    <col min="1003" max="1004" width="9.453125" bestFit="1" customWidth="1"/>
    <col min="1005" max="1006" width="17" bestFit="1" customWidth="1"/>
    <col min="1007" max="1007" width="20" bestFit="1" customWidth="1"/>
    <col min="1008" max="1008" width="13.453125" bestFit="1" customWidth="1"/>
    <col min="1009" max="1010" width="9.453125" bestFit="1" customWidth="1"/>
    <col min="1011" max="1011" width="16.453125" bestFit="1" customWidth="1"/>
    <col min="1012" max="1012" width="16" bestFit="1" customWidth="1"/>
    <col min="1013" max="1013" width="19" bestFit="1" customWidth="1"/>
    <col min="1014" max="1014" width="18.26953125" bestFit="1" customWidth="1"/>
    <col min="1015" max="1015" width="9.453125" bestFit="1" customWidth="1"/>
    <col min="1016" max="1016" width="21.36328125" bestFit="1" customWidth="1"/>
    <col min="1017" max="1017" width="15.26953125" bestFit="1" customWidth="1"/>
    <col min="1018" max="1020" width="9.453125" bestFit="1" customWidth="1"/>
    <col min="1021" max="1021" width="18.26953125" bestFit="1" customWidth="1"/>
    <col min="1022" max="1022" width="14.36328125" bestFit="1" customWidth="1"/>
    <col min="1023" max="1023" width="17.453125" bestFit="1" customWidth="1"/>
    <col min="1024" max="1024" width="14.7265625" bestFit="1" customWidth="1"/>
    <col min="1025" max="1026" width="9.453125" bestFit="1" customWidth="1"/>
    <col min="1027" max="1027" width="17.7265625" bestFit="1" customWidth="1"/>
    <col min="1028" max="1028" width="9.453125" bestFit="1" customWidth="1"/>
    <col min="1029" max="1029" width="9" bestFit="1" customWidth="1"/>
    <col min="1030" max="1030" width="13.453125" bestFit="1" customWidth="1"/>
    <col min="1031" max="1033" width="9.453125" bestFit="1" customWidth="1"/>
    <col min="1034" max="1034" width="16.453125" bestFit="1" customWidth="1"/>
    <col min="1035" max="1035" width="12.453125" bestFit="1" customWidth="1"/>
    <col min="1036" max="1036" width="9.453125" bestFit="1" customWidth="1"/>
    <col min="1037" max="1037" width="15.453125" bestFit="1" customWidth="1"/>
    <col min="1038" max="1038" width="11.90625" bestFit="1" customWidth="1"/>
    <col min="1039" max="1039" width="14.90625" bestFit="1" customWidth="1"/>
    <col min="1040" max="1040" width="15.36328125" bestFit="1" customWidth="1"/>
    <col min="1041" max="1041" width="18.36328125" bestFit="1" customWidth="1"/>
    <col min="1042" max="1042" width="10" bestFit="1" customWidth="1"/>
    <col min="1043" max="1044" width="9.453125" bestFit="1" customWidth="1"/>
    <col min="1045" max="1045" width="13" bestFit="1" customWidth="1"/>
    <col min="1046" max="1046" width="12.54296875" bestFit="1" customWidth="1"/>
    <col min="1047" max="1047" width="15.54296875" bestFit="1" customWidth="1"/>
    <col min="1048" max="1048" width="10.6328125" bestFit="1" customWidth="1"/>
    <col min="1049" max="1049" width="13.6328125" bestFit="1" customWidth="1"/>
    <col min="1050" max="1050" width="11.08984375" bestFit="1" customWidth="1"/>
    <col min="1051" max="1051" width="9.453125" bestFit="1" customWidth="1"/>
    <col min="1052" max="1052" width="14.08984375" bestFit="1" customWidth="1"/>
    <col min="1053" max="1053" width="9.6328125" bestFit="1" customWidth="1"/>
    <col min="1054" max="1054" width="12.54296875" bestFit="1" customWidth="1"/>
    <col min="1055" max="1055" width="14.08984375" bestFit="1" customWidth="1"/>
    <col min="1056" max="1056" width="17.1796875" bestFit="1" customWidth="1"/>
    <col min="1057" max="1057" width="11.26953125" bestFit="1" customWidth="1"/>
    <col min="1058" max="1059" width="9.453125" bestFit="1" customWidth="1"/>
    <col min="1060" max="1060" width="14.26953125" bestFit="1" customWidth="1"/>
    <col min="1061" max="1061" width="10.90625" bestFit="1" customWidth="1"/>
    <col min="1062" max="1063" width="9.453125" bestFit="1" customWidth="1"/>
    <col min="1064" max="1064" width="13.90625" bestFit="1" customWidth="1"/>
    <col min="1065" max="1065" width="12.453125" bestFit="1" customWidth="1"/>
    <col min="1066" max="1066" width="15.453125" bestFit="1" customWidth="1"/>
    <col min="1067" max="1067" width="21.453125" bestFit="1" customWidth="1"/>
    <col min="1068" max="1069" width="9.453125" bestFit="1" customWidth="1"/>
    <col min="1070" max="1070" width="24.453125" bestFit="1" customWidth="1"/>
    <col min="1071" max="1071" width="15.08984375" bestFit="1" customWidth="1"/>
    <col min="1072" max="1072" width="18.08984375" bestFit="1" customWidth="1"/>
    <col min="1073" max="1073" width="12.81640625" bestFit="1" customWidth="1"/>
    <col min="1074" max="1074" width="9.453125" bestFit="1" customWidth="1"/>
    <col min="1075" max="1075" width="15.81640625" bestFit="1" customWidth="1"/>
    <col min="1076" max="1076" width="12.6328125" bestFit="1" customWidth="1"/>
    <col min="1077" max="1079" width="9.453125" bestFit="1" customWidth="1"/>
    <col min="1080" max="1080" width="15.6328125" bestFit="1" customWidth="1"/>
    <col min="1081" max="1081" width="11.36328125" bestFit="1" customWidth="1"/>
    <col min="1082" max="1082" width="14.36328125" bestFit="1" customWidth="1"/>
    <col min="1083" max="1083" width="14.453125" bestFit="1" customWidth="1"/>
    <col min="1084" max="1084" width="17.54296875" bestFit="1" customWidth="1"/>
    <col min="1085" max="1085" width="20.54296875" bestFit="1" customWidth="1"/>
    <col min="1086" max="1086" width="23.54296875" bestFit="1" customWidth="1"/>
    <col min="1087" max="1087" width="13.36328125" bestFit="1" customWidth="1"/>
    <col min="1088" max="1088" width="16.36328125" bestFit="1" customWidth="1"/>
    <col min="1089" max="1089" width="16.08984375" bestFit="1" customWidth="1"/>
    <col min="1090" max="1090" width="19.08984375" bestFit="1" customWidth="1"/>
    <col min="1091" max="1091" width="15.08984375" bestFit="1" customWidth="1"/>
    <col min="1092" max="1092" width="9.453125" bestFit="1" customWidth="1"/>
    <col min="1093" max="1093" width="18.08984375" bestFit="1" customWidth="1"/>
    <col min="1094" max="1094" width="17.453125" bestFit="1" customWidth="1"/>
    <col min="1095" max="1095" width="9.453125" bestFit="1" customWidth="1"/>
    <col min="1096" max="1096" width="20.453125" bestFit="1" customWidth="1"/>
    <col min="1097" max="1097" width="13.81640625" bestFit="1" customWidth="1"/>
    <col min="1098" max="1099" width="9.453125" bestFit="1" customWidth="1"/>
    <col min="1100" max="1100" width="16.81640625" bestFit="1" customWidth="1"/>
    <col min="1101" max="1101" width="13.7265625" bestFit="1" customWidth="1"/>
    <col min="1102" max="1102" width="9.453125" bestFit="1" customWidth="1"/>
    <col min="1103" max="1103" width="16.7265625" bestFit="1" customWidth="1"/>
    <col min="1104" max="1104" width="9.453125" bestFit="1" customWidth="1"/>
    <col min="1105" max="1105" width="10.36328125" bestFit="1" customWidth="1"/>
    <col min="1106" max="1106" width="12.7265625" bestFit="1" customWidth="1"/>
    <col min="1107" max="1109" width="9.453125" bestFit="1" customWidth="1"/>
    <col min="1110" max="1110" width="15.7265625" bestFit="1" customWidth="1"/>
    <col min="1111" max="1111" width="14.81640625" bestFit="1" customWidth="1"/>
    <col min="1112" max="1112" width="17.81640625" bestFit="1" customWidth="1"/>
    <col min="1113" max="1113" width="13.90625" bestFit="1" customWidth="1"/>
    <col min="1114" max="1114" width="17" bestFit="1" customWidth="1"/>
    <col min="1115" max="1115" width="13.26953125" bestFit="1" customWidth="1"/>
    <col min="1116" max="1118" width="9.453125" bestFit="1" customWidth="1"/>
    <col min="1119" max="1119" width="16.26953125" bestFit="1" customWidth="1"/>
    <col min="1120" max="1120" width="18" bestFit="1" customWidth="1"/>
    <col min="1121" max="1123" width="9.453125" bestFit="1" customWidth="1"/>
    <col min="1124" max="1124" width="21.08984375" bestFit="1" customWidth="1"/>
    <col min="1125" max="1125" width="16.36328125" bestFit="1" customWidth="1"/>
    <col min="1126" max="1126" width="19.36328125" bestFit="1" customWidth="1"/>
    <col min="1127" max="1127" width="11.6328125" bestFit="1" customWidth="1"/>
    <col min="1128" max="1128" width="14.6328125" bestFit="1" customWidth="1"/>
    <col min="1129" max="1129" width="11.453125" bestFit="1" customWidth="1"/>
    <col min="1130" max="1132" width="9.453125" bestFit="1" customWidth="1"/>
    <col min="1133" max="1133" width="14.453125" bestFit="1" customWidth="1"/>
    <col min="1134" max="1134" width="14.26953125" bestFit="1" customWidth="1"/>
    <col min="1135" max="1135" width="17.36328125" bestFit="1" customWidth="1"/>
    <col min="1136" max="1136" width="12.36328125" bestFit="1" customWidth="1"/>
    <col min="1137" max="1137" width="9.453125" bestFit="1" customWidth="1"/>
    <col min="1138" max="1138" width="15.36328125" bestFit="1" customWidth="1"/>
    <col min="1139" max="1139" width="12.54296875" bestFit="1" customWidth="1"/>
    <col min="1140" max="1140" width="15.54296875" bestFit="1" customWidth="1"/>
    <col min="1141" max="1141" width="9.7265625" bestFit="1" customWidth="1"/>
    <col min="1142" max="1142" width="12.6328125" bestFit="1" customWidth="1"/>
    <col min="1143" max="1143" width="11.453125" bestFit="1" customWidth="1"/>
    <col min="1144" max="1144" width="9.453125" bestFit="1" customWidth="1"/>
    <col min="1145" max="1145" width="14.453125" bestFit="1" customWidth="1"/>
    <col min="1146" max="1146" width="13.36328125" bestFit="1" customWidth="1"/>
    <col min="1147" max="1149" width="9.453125" bestFit="1" customWidth="1"/>
    <col min="1150" max="1150" width="16.36328125" bestFit="1" customWidth="1"/>
    <col min="1151" max="1151" width="14.54296875" bestFit="1" customWidth="1"/>
    <col min="1152" max="1152" width="9.453125" bestFit="1" customWidth="1"/>
    <col min="1153" max="1153" width="17.6328125" bestFit="1" customWidth="1"/>
    <col min="1154" max="1154" width="19.26953125" bestFit="1" customWidth="1"/>
    <col min="1155" max="1155" width="22.26953125" bestFit="1" customWidth="1"/>
    <col min="1156" max="1158" width="9.453125" bestFit="1" customWidth="1"/>
    <col min="1159" max="1159" width="10.6328125" bestFit="1" customWidth="1"/>
    <col min="1160" max="1160" width="14.7265625" bestFit="1" customWidth="1"/>
    <col min="1161" max="1161" width="9.453125" bestFit="1" customWidth="1"/>
    <col min="1162" max="1162" width="17.7265625" bestFit="1" customWidth="1"/>
    <col min="1163" max="1163" width="13.36328125" bestFit="1" customWidth="1"/>
    <col min="1164" max="1164" width="16.36328125" bestFit="1" customWidth="1"/>
    <col min="1165" max="1165" width="12.36328125" bestFit="1" customWidth="1"/>
    <col min="1166" max="1168" width="9.453125" bestFit="1" customWidth="1"/>
    <col min="1169" max="1169" width="15.36328125" bestFit="1" customWidth="1"/>
    <col min="1170" max="1170" width="18.81640625" bestFit="1" customWidth="1"/>
    <col min="1171" max="1171" width="21.81640625" bestFit="1" customWidth="1"/>
    <col min="1172" max="1172" width="19.453125" bestFit="1" customWidth="1"/>
    <col min="1173" max="1173" width="22.453125" bestFit="1" customWidth="1"/>
    <col min="1174" max="1174" width="11.6328125" bestFit="1" customWidth="1"/>
    <col min="1175" max="1175" width="14.6328125" bestFit="1" customWidth="1"/>
    <col min="1176" max="1176" width="11.36328125" bestFit="1" customWidth="1"/>
    <col min="1177" max="1179" width="9.453125" bestFit="1" customWidth="1"/>
    <col min="1180" max="1180" width="14.36328125" bestFit="1" customWidth="1"/>
    <col min="1181" max="1181" width="9.453125" bestFit="1" customWidth="1"/>
    <col min="1182" max="1182" width="11.453125" bestFit="1" customWidth="1"/>
    <col min="1183" max="1183" width="15.81640625" bestFit="1" customWidth="1"/>
    <col min="1184" max="1184" width="18.81640625" bestFit="1" customWidth="1"/>
    <col min="1185" max="1185" width="15.54296875" bestFit="1" customWidth="1"/>
    <col min="1186" max="1188" width="9.453125" bestFit="1" customWidth="1"/>
    <col min="1189" max="1189" width="18.54296875" bestFit="1" customWidth="1"/>
    <col min="1190" max="1190" width="14.90625" bestFit="1" customWidth="1"/>
    <col min="1191" max="1191" width="17.90625" bestFit="1" customWidth="1"/>
    <col min="1192" max="1192" width="15" bestFit="1" customWidth="1"/>
    <col min="1193" max="1193" width="18" bestFit="1" customWidth="1"/>
    <col min="1194" max="1194" width="14.36328125" bestFit="1" customWidth="1"/>
    <col min="1195" max="1195" width="17.453125" bestFit="1" customWidth="1"/>
    <col min="1196" max="1196" width="13.26953125" bestFit="1" customWidth="1"/>
    <col min="1197" max="1197" width="16.26953125" bestFit="1" customWidth="1"/>
    <col min="1198" max="1198" width="17.81640625" bestFit="1" customWidth="1"/>
    <col min="1199" max="1201" width="9.453125" bestFit="1" customWidth="1"/>
    <col min="1202" max="1202" width="20.81640625" bestFit="1" customWidth="1"/>
    <col min="1203" max="1203" width="10.81640625" bestFit="1" customWidth="1"/>
    <col min="1204" max="1204" width="13.81640625" bestFit="1" customWidth="1"/>
    <col min="1205" max="1207" width="9.453125" bestFit="1" customWidth="1"/>
    <col min="1208" max="1208" width="11.7265625" bestFit="1" customWidth="1"/>
    <col min="1209" max="1209" width="16.26953125" bestFit="1" customWidth="1"/>
    <col min="1210" max="1210" width="19.26953125" bestFit="1" customWidth="1"/>
    <col min="1211" max="1211" width="16.36328125" bestFit="1" customWidth="1"/>
    <col min="1212" max="1214" width="9.453125" bestFit="1" customWidth="1"/>
    <col min="1215" max="1215" width="19.36328125" bestFit="1" customWidth="1"/>
    <col min="1216" max="1216" width="11.54296875" bestFit="1" customWidth="1"/>
    <col min="1217" max="1217" width="14.54296875" bestFit="1" customWidth="1"/>
    <col min="1218" max="1218" width="16.26953125" bestFit="1" customWidth="1"/>
    <col min="1219" max="1219" width="19.26953125" bestFit="1" customWidth="1"/>
    <col min="1220" max="1220" width="14.26953125" bestFit="1" customWidth="1"/>
    <col min="1221" max="1221" width="9.453125" bestFit="1" customWidth="1"/>
    <col min="1222" max="1222" width="17.36328125" bestFit="1" customWidth="1"/>
    <col min="1223" max="1223" width="15" bestFit="1" customWidth="1"/>
    <col min="1224" max="1224" width="9.453125" bestFit="1" customWidth="1"/>
    <col min="1225" max="1225" width="18" bestFit="1" customWidth="1"/>
    <col min="1226" max="1226" width="14.26953125" bestFit="1" customWidth="1"/>
    <col min="1227" max="1229" width="9.453125" bestFit="1" customWidth="1"/>
    <col min="1230" max="1230" width="17.36328125" bestFit="1" customWidth="1"/>
    <col min="1231" max="1231" width="13.1796875" bestFit="1" customWidth="1"/>
    <col min="1232" max="1233" width="9.453125" bestFit="1" customWidth="1"/>
    <col min="1234" max="1234" width="16.1796875" bestFit="1" customWidth="1"/>
    <col min="1235" max="1235" width="17.81640625" bestFit="1" customWidth="1"/>
    <col min="1236" max="1236" width="20.81640625" bestFit="1" customWidth="1"/>
    <col min="1237" max="1237" width="15.08984375" bestFit="1" customWidth="1"/>
    <col min="1238" max="1239" width="9.453125" bestFit="1" customWidth="1"/>
    <col min="1240" max="1240" width="18.08984375" bestFit="1" customWidth="1"/>
    <col min="1241" max="1241" width="13.81640625" bestFit="1" customWidth="1"/>
    <col min="1242" max="1242" width="9.453125" bestFit="1" customWidth="1"/>
    <col min="1243" max="1243" width="16.81640625" bestFit="1" customWidth="1"/>
    <col min="1244" max="1244" width="11.7265625" bestFit="1" customWidth="1"/>
    <col min="1245" max="1245" width="14.7265625" bestFit="1" customWidth="1"/>
    <col min="1246" max="1246" width="12.54296875" bestFit="1" customWidth="1"/>
    <col min="1247" max="1248" width="9.453125" bestFit="1" customWidth="1"/>
    <col min="1249" max="1249" width="15.54296875" bestFit="1" customWidth="1"/>
    <col min="1250" max="1250" width="14.90625" bestFit="1" customWidth="1"/>
    <col min="1251" max="1252" width="9.453125" bestFit="1" customWidth="1"/>
    <col min="1253" max="1253" width="17.90625" bestFit="1" customWidth="1"/>
    <col min="1254" max="1254" width="12.54296875" bestFit="1" customWidth="1"/>
    <col min="1255" max="1257" width="9.453125" bestFit="1" customWidth="1"/>
    <col min="1258" max="1258" width="15.54296875" bestFit="1" customWidth="1"/>
    <col min="1259" max="1259" width="13.36328125" bestFit="1" customWidth="1"/>
    <col min="1260" max="1260" width="9.453125" bestFit="1" customWidth="1"/>
    <col min="1261" max="1261" width="16.36328125" bestFit="1" customWidth="1"/>
    <col min="1262" max="1262" width="17" bestFit="1" customWidth="1"/>
    <col min="1263" max="1263" width="9.453125" bestFit="1" customWidth="1"/>
    <col min="1264" max="1264" width="20" bestFit="1" customWidth="1"/>
    <col min="1265" max="1265" width="17.36328125" bestFit="1" customWidth="1"/>
    <col min="1266" max="1268" width="9.453125" bestFit="1" customWidth="1"/>
    <col min="1269" max="1269" width="20.36328125" bestFit="1" customWidth="1"/>
    <col min="1270" max="1270" width="15.26953125" bestFit="1" customWidth="1"/>
    <col min="1271" max="1271" width="18.26953125" bestFit="1" customWidth="1"/>
    <col min="1272" max="1272" width="20.1796875" bestFit="1" customWidth="1"/>
    <col min="1273" max="1273" width="23.1796875" bestFit="1" customWidth="1"/>
    <col min="1274" max="1274" width="16.08984375" bestFit="1" customWidth="1"/>
    <col min="1275" max="1275" width="9.453125" bestFit="1" customWidth="1"/>
    <col min="1276" max="1276" width="19.08984375" bestFit="1" customWidth="1"/>
    <col min="1277" max="1277" width="15.453125" bestFit="1" customWidth="1"/>
    <col min="1278" max="1278" width="18.453125" bestFit="1" customWidth="1"/>
    <col min="1279" max="1279" width="11.36328125" bestFit="1" customWidth="1"/>
    <col min="1280" max="1280" width="14.36328125" bestFit="1" customWidth="1"/>
    <col min="1281" max="1281" width="15.81640625" bestFit="1" customWidth="1"/>
    <col min="1282" max="1283" width="9.453125" bestFit="1" customWidth="1"/>
    <col min="1284" max="1284" width="18.81640625" bestFit="1" customWidth="1"/>
    <col min="1285" max="1285" width="13" bestFit="1" customWidth="1"/>
    <col min="1286" max="1286" width="9.453125" bestFit="1" customWidth="1"/>
    <col min="1287" max="1287" width="16" bestFit="1" customWidth="1"/>
    <col min="1288" max="1288" width="15.36328125" bestFit="1" customWidth="1"/>
    <col min="1289" max="1290" width="9.453125" bestFit="1" customWidth="1"/>
    <col min="1291" max="1291" width="18.36328125" bestFit="1" customWidth="1"/>
    <col min="1292" max="1292" width="10.26953125" bestFit="1" customWidth="1"/>
    <col min="1293" max="1294" width="9.453125" bestFit="1" customWidth="1"/>
    <col min="1295" max="1295" width="13.26953125" bestFit="1" customWidth="1"/>
    <col min="1296" max="1296" width="11.6328125" bestFit="1" customWidth="1"/>
    <col min="1297" max="1298" width="9.453125" bestFit="1" customWidth="1"/>
    <col min="1299" max="1299" width="14.6328125" bestFit="1" customWidth="1"/>
    <col min="1300" max="1300" width="11.90625" bestFit="1" customWidth="1"/>
    <col min="1301" max="1301" width="9.453125" bestFit="1" customWidth="1"/>
    <col min="1302" max="1302" width="14.90625" bestFit="1" customWidth="1"/>
    <col min="1303" max="1303" width="12.08984375" bestFit="1" customWidth="1"/>
    <col min="1304" max="1304" width="9.453125" bestFit="1" customWidth="1"/>
    <col min="1305" max="1305" width="15.08984375" bestFit="1" customWidth="1"/>
    <col min="1306" max="1306" width="15" bestFit="1" customWidth="1"/>
    <col min="1307" max="1307" width="18" bestFit="1" customWidth="1"/>
    <col min="1308" max="1308" width="10.90625" bestFit="1" customWidth="1"/>
    <col min="1309" max="1309" width="13.90625" bestFit="1" customWidth="1"/>
    <col min="1310" max="1310" width="12.36328125" bestFit="1" customWidth="1"/>
    <col min="1311" max="1311" width="15.36328125" bestFit="1" customWidth="1"/>
    <col min="1312" max="1312" width="11.81640625" bestFit="1" customWidth="1"/>
    <col min="1313" max="1313" width="9.453125" bestFit="1" customWidth="1"/>
    <col min="1314" max="1314" width="14.81640625" bestFit="1" customWidth="1"/>
    <col min="1315" max="1315" width="13.26953125" bestFit="1" customWidth="1"/>
    <col min="1316" max="1316" width="16.26953125" bestFit="1" customWidth="1"/>
    <col min="1317" max="1317" width="12.26953125" bestFit="1" customWidth="1"/>
    <col min="1318" max="1318" width="9.453125" bestFit="1" customWidth="1"/>
    <col min="1319" max="1319" width="15.26953125" bestFit="1" customWidth="1"/>
    <col min="1320" max="1320" width="14.36328125" bestFit="1" customWidth="1"/>
    <col min="1321" max="1321" width="17.453125" bestFit="1" customWidth="1"/>
    <col min="1322" max="1322" width="16.90625" bestFit="1" customWidth="1"/>
    <col min="1323" max="1323" width="9.453125" bestFit="1" customWidth="1"/>
    <col min="1324" max="1324" width="19.90625" bestFit="1" customWidth="1"/>
    <col min="1325" max="1325" width="14.7265625" bestFit="1" customWidth="1"/>
    <col min="1326" max="1326" width="17.7265625" bestFit="1" customWidth="1"/>
    <col min="1327" max="1327" width="15.90625" bestFit="1" customWidth="1"/>
    <col min="1328" max="1329" width="9.453125" bestFit="1" customWidth="1"/>
    <col min="1330" max="1330" width="18.90625" bestFit="1" customWidth="1"/>
    <col min="1331" max="1331" width="11.453125" bestFit="1" customWidth="1"/>
    <col min="1332" max="1333" width="9.453125" bestFit="1" customWidth="1"/>
    <col min="1334" max="1335" width="14.453125" bestFit="1" customWidth="1"/>
    <col min="1336" max="1336" width="17.54296875" bestFit="1" customWidth="1"/>
    <col min="1337" max="1337" width="12.90625" bestFit="1" customWidth="1"/>
    <col min="1338" max="1339" width="9.453125" bestFit="1" customWidth="1"/>
    <col min="1340" max="1340" width="15.90625" bestFit="1" customWidth="1"/>
    <col min="1341" max="1341" width="16.90625" bestFit="1" customWidth="1"/>
    <col min="1342" max="1343" width="9.453125" bestFit="1" customWidth="1"/>
    <col min="1344" max="1344" width="19.90625" bestFit="1" customWidth="1"/>
    <col min="1345" max="1345" width="18.453125" bestFit="1" customWidth="1"/>
    <col min="1346" max="1347" width="9.453125" bestFit="1" customWidth="1"/>
    <col min="1348" max="1348" width="21.54296875" bestFit="1" customWidth="1"/>
    <col min="1349" max="1349" width="18.6328125" bestFit="1" customWidth="1"/>
    <col min="1350" max="1351" width="9.453125" bestFit="1" customWidth="1"/>
    <col min="1352" max="1352" width="21.7265625" bestFit="1" customWidth="1"/>
    <col min="1353" max="1353" width="15.26953125" bestFit="1" customWidth="1"/>
    <col min="1354" max="1356" width="9.453125" bestFit="1" customWidth="1"/>
    <col min="1357" max="1357" width="18.26953125" bestFit="1" customWidth="1"/>
    <col min="1358" max="1358" width="16.26953125" bestFit="1" customWidth="1"/>
    <col min="1359" max="1361" width="9.453125" bestFit="1" customWidth="1"/>
    <col min="1362" max="1362" width="19.26953125" bestFit="1" customWidth="1"/>
    <col min="1363" max="1363" width="14.54296875" bestFit="1" customWidth="1"/>
    <col min="1364" max="1364" width="9.453125" bestFit="1" customWidth="1"/>
    <col min="1365" max="1365" width="17.6328125" bestFit="1" customWidth="1"/>
    <col min="1366" max="1366" width="11.54296875" bestFit="1" customWidth="1"/>
    <col min="1367" max="1368" width="9.453125" bestFit="1" customWidth="1"/>
    <col min="1369" max="1369" width="14.54296875" bestFit="1" customWidth="1"/>
    <col min="1370" max="1370" width="17.26953125" bestFit="1" customWidth="1"/>
    <col min="1371" max="1371" width="20.26953125" bestFit="1" customWidth="1"/>
    <col min="1372" max="1372" width="15.08984375" bestFit="1" customWidth="1"/>
    <col min="1373" max="1374" width="9.453125" bestFit="1" customWidth="1"/>
    <col min="1375" max="1375" width="18.08984375" bestFit="1" customWidth="1"/>
    <col min="1376" max="1376" width="13.08984375" bestFit="1" customWidth="1"/>
    <col min="1377" max="1377" width="9.453125" bestFit="1" customWidth="1"/>
    <col min="1378" max="1378" width="16.08984375" bestFit="1" customWidth="1"/>
    <col min="1379" max="1379" width="16.90625" bestFit="1" customWidth="1"/>
    <col min="1380" max="1382" width="9.453125" bestFit="1" customWidth="1"/>
    <col min="1383" max="1383" width="19.90625" bestFit="1" customWidth="1"/>
    <col min="1384" max="1384" width="14.08984375" bestFit="1" customWidth="1"/>
    <col min="1385" max="1385" width="9.453125" bestFit="1" customWidth="1"/>
    <col min="1386" max="1386" width="17.1796875" bestFit="1" customWidth="1"/>
    <col min="1387" max="1387" width="13.6328125" bestFit="1" customWidth="1"/>
    <col min="1388" max="1388" width="16.6328125" bestFit="1" customWidth="1"/>
    <col min="1389" max="1389" width="12.453125" bestFit="1" customWidth="1"/>
    <col min="1390" max="1392" width="9.453125" bestFit="1" customWidth="1"/>
    <col min="1393" max="1393" width="15.453125" bestFit="1" customWidth="1"/>
    <col min="1394" max="1394" width="17.81640625" bestFit="1" customWidth="1"/>
    <col min="1395" max="1397" width="9.453125" bestFit="1" customWidth="1"/>
    <col min="1398" max="1398" width="20.81640625" bestFit="1" customWidth="1"/>
    <col min="1399" max="1399" width="18" bestFit="1" customWidth="1"/>
    <col min="1400" max="1400" width="21.08984375" bestFit="1" customWidth="1"/>
    <col min="1401" max="1401" width="15.81640625" bestFit="1" customWidth="1"/>
    <col min="1402" max="1402" width="18.81640625" bestFit="1" customWidth="1"/>
    <col min="1403" max="1403" width="19.90625" bestFit="1" customWidth="1"/>
    <col min="1404" max="1404" width="22.90625" bestFit="1" customWidth="1"/>
    <col min="1405" max="1405" width="17.7265625" bestFit="1" customWidth="1"/>
    <col min="1406" max="1408" width="9.453125" bestFit="1" customWidth="1"/>
    <col min="1409" max="1409" width="20.7265625" bestFit="1" customWidth="1"/>
    <col min="1410" max="1410" width="16.36328125" bestFit="1" customWidth="1"/>
    <col min="1411" max="1411" width="19.36328125" bestFit="1" customWidth="1"/>
    <col min="1412" max="1412" width="17.90625" bestFit="1" customWidth="1"/>
    <col min="1413" max="1413" width="20.90625" bestFit="1" customWidth="1"/>
    <col min="1414" max="1414" width="12.7265625" bestFit="1" customWidth="1"/>
    <col min="1415" max="1417" width="9.453125" bestFit="1" customWidth="1"/>
    <col min="1418" max="1418" width="15.7265625" bestFit="1" customWidth="1"/>
    <col min="1419" max="1419" width="16.54296875" bestFit="1" customWidth="1"/>
    <col min="1420" max="1420" width="19.54296875" bestFit="1" customWidth="1"/>
    <col min="1421" max="1421" width="14.453125" bestFit="1" customWidth="1"/>
    <col min="1422" max="1423" width="9.453125" bestFit="1" customWidth="1"/>
    <col min="1424" max="1424" width="17.54296875" bestFit="1" customWidth="1"/>
    <col min="1425" max="1425" width="13.6328125" bestFit="1" customWidth="1"/>
    <col min="1426" max="1426" width="16.6328125" bestFit="1" customWidth="1"/>
    <col min="1427" max="1427" width="17.1796875" bestFit="1" customWidth="1"/>
    <col min="1428" max="1428" width="20.1796875" bestFit="1" customWidth="1"/>
    <col min="1429" max="1429" width="15.36328125" bestFit="1" customWidth="1"/>
    <col min="1430" max="1430" width="9.453125" bestFit="1" customWidth="1"/>
    <col min="1431" max="1431" width="18.36328125" bestFit="1" customWidth="1"/>
    <col min="1432" max="1432" width="13" bestFit="1" customWidth="1"/>
    <col min="1433" max="1433" width="16" bestFit="1" customWidth="1"/>
    <col min="1434" max="1434" width="14.90625" bestFit="1" customWidth="1"/>
    <col min="1435" max="1435" width="17.90625" bestFit="1" customWidth="1"/>
    <col min="1436" max="1436" width="16.26953125" bestFit="1" customWidth="1"/>
    <col min="1437" max="1437" width="19.26953125" bestFit="1" customWidth="1"/>
    <col min="1438" max="1438" width="14.08984375" bestFit="1" customWidth="1"/>
    <col min="1439" max="1439" width="17.1796875" bestFit="1" customWidth="1"/>
    <col min="1440" max="1440" width="13.1796875" bestFit="1" customWidth="1"/>
    <col min="1441" max="1441" width="9.453125" bestFit="1" customWidth="1"/>
    <col min="1442" max="1442" width="16.1796875" bestFit="1" customWidth="1"/>
    <col min="1443" max="1443" width="12.90625" bestFit="1" customWidth="1"/>
    <col min="1444" max="1445" width="9.453125" bestFit="1" customWidth="1"/>
    <col min="1446" max="1446" width="15.90625" bestFit="1" customWidth="1"/>
    <col min="1447" max="1447" width="13.36328125" bestFit="1" customWidth="1"/>
    <col min="1448" max="1448" width="9.453125" bestFit="1" customWidth="1"/>
    <col min="1449" max="1449" width="16.36328125" bestFit="1" customWidth="1"/>
    <col min="1450" max="1450" width="16.6328125" bestFit="1" customWidth="1"/>
    <col min="1451" max="1451" width="9.453125" bestFit="1" customWidth="1"/>
    <col min="1452" max="1452" width="19.6328125" bestFit="1" customWidth="1"/>
    <col min="1453" max="1453" width="18.453125" bestFit="1" customWidth="1"/>
    <col min="1454" max="1454" width="21.54296875" bestFit="1" customWidth="1"/>
    <col min="1455" max="1455" width="15.453125" bestFit="1" customWidth="1"/>
    <col min="1456" max="1456" width="18.453125" bestFit="1" customWidth="1"/>
    <col min="1457" max="1457" width="17.1796875" bestFit="1" customWidth="1"/>
    <col min="1458" max="1459" width="9.453125" bestFit="1" customWidth="1"/>
    <col min="1460" max="1460" width="20.1796875" bestFit="1" customWidth="1"/>
    <col min="1461" max="1461" width="13.26953125" bestFit="1" customWidth="1"/>
    <col min="1462" max="1462" width="16.26953125" bestFit="1" customWidth="1"/>
    <col min="1463" max="1463" width="14.1796875" bestFit="1" customWidth="1"/>
    <col min="1464" max="1464" width="17.26953125" bestFit="1" customWidth="1"/>
    <col min="1465" max="1465" width="12.08984375" bestFit="1" customWidth="1"/>
    <col min="1466" max="1466" width="15.08984375" bestFit="1" customWidth="1"/>
    <col min="1467" max="1467" width="17.1796875" bestFit="1" customWidth="1"/>
    <col min="1468" max="1468" width="9.453125" bestFit="1" customWidth="1"/>
    <col min="1469" max="1469" width="20.1796875" bestFit="1" customWidth="1"/>
    <col min="1470" max="1470" width="20.81640625" bestFit="1" customWidth="1"/>
    <col min="1471" max="1471" width="23.81640625" bestFit="1" customWidth="1"/>
    <col min="1472" max="1472" width="14.26953125" bestFit="1" customWidth="1"/>
    <col min="1473" max="1475" width="9.453125" bestFit="1" customWidth="1"/>
    <col min="1476" max="1476" width="17.36328125" bestFit="1" customWidth="1"/>
    <col min="1477" max="1477" width="14" bestFit="1" customWidth="1"/>
    <col min="1478" max="1478" width="17.08984375" bestFit="1" customWidth="1"/>
    <col min="1479" max="1479" width="16.26953125" bestFit="1" customWidth="1"/>
    <col min="1480" max="1480" width="19.26953125" bestFit="1" customWidth="1"/>
    <col min="1481" max="1481" width="11.54296875" bestFit="1" customWidth="1"/>
    <col min="1482" max="1484" width="9.453125" bestFit="1" customWidth="1"/>
    <col min="1485" max="1485" width="14.54296875" bestFit="1" customWidth="1"/>
    <col min="1486" max="1486" width="15.36328125" bestFit="1" customWidth="1"/>
    <col min="1487" max="1487" width="18.36328125" bestFit="1" customWidth="1"/>
    <col min="1488" max="1488" width="15.54296875" bestFit="1" customWidth="1"/>
    <col min="1489" max="1489" width="9.453125" bestFit="1" customWidth="1"/>
    <col min="1490" max="1490" width="18.54296875" bestFit="1" customWidth="1"/>
    <col min="1491" max="1491" width="16.453125" bestFit="1" customWidth="1"/>
    <col min="1492" max="1492" width="19.453125" bestFit="1" customWidth="1"/>
    <col min="1493" max="1493" width="14.90625" bestFit="1" customWidth="1"/>
    <col min="1494" max="1495" width="9.453125" bestFit="1" customWidth="1"/>
    <col min="1496" max="1496" width="17.90625" bestFit="1" customWidth="1"/>
    <col min="1497" max="1497" width="15.90625" bestFit="1" customWidth="1"/>
    <col min="1498" max="1500" width="9.453125" bestFit="1" customWidth="1"/>
    <col min="1501" max="1501" width="18.90625" bestFit="1" customWidth="1"/>
    <col min="1502" max="1502" width="16.36328125" bestFit="1" customWidth="1"/>
    <col min="1503" max="1504" width="9.453125" bestFit="1" customWidth="1"/>
    <col min="1505" max="1505" width="19.36328125" bestFit="1" customWidth="1"/>
    <col min="1506" max="1506" width="15.453125" bestFit="1" customWidth="1"/>
    <col min="1507" max="1507" width="18.453125" bestFit="1" customWidth="1"/>
    <col min="1508" max="1508" width="13.6328125" bestFit="1" customWidth="1"/>
    <col min="1509" max="1510" width="9.453125" bestFit="1" customWidth="1"/>
    <col min="1511" max="1511" width="16.6328125" bestFit="1" customWidth="1"/>
    <col min="1512" max="1512" width="19.453125" bestFit="1" customWidth="1"/>
    <col min="1513" max="1513" width="22.453125" bestFit="1" customWidth="1"/>
    <col min="1514" max="1514" width="13.81640625" bestFit="1" customWidth="1"/>
    <col min="1515" max="1515" width="16.81640625" bestFit="1" customWidth="1"/>
    <col min="1516" max="1516" width="13" bestFit="1" customWidth="1"/>
    <col min="1517" max="1517" width="16" bestFit="1" customWidth="1"/>
    <col min="1518" max="1518" width="15.36328125" bestFit="1" customWidth="1"/>
    <col min="1519" max="1519" width="9.453125" bestFit="1" customWidth="1"/>
    <col min="1520" max="1520" width="18.36328125" bestFit="1" customWidth="1"/>
    <col min="1521" max="1521" width="17.1796875" bestFit="1" customWidth="1"/>
    <col min="1522" max="1522" width="9.453125" bestFit="1" customWidth="1"/>
    <col min="1523" max="1523" width="20.1796875" bestFit="1" customWidth="1"/>
    <col min="1524" max="1524" width="17.36328125" bestFit="1" customWidth="1"/>
    <col min="1525" max="1526" width="9.453125" bestFit="1" customWidth="1"/>
    <col min="1527" max="1527" width="20.36328125" bestFit="1" customWidth="1"/>
    <col min="1528" max="1528" width="21.81640625" bestFit="1" customWidth="1"/>
    <col min="1529" max="1529" width="24.81640625" bestFit="1" customWidth="1"/>
    <col min="1530" max="1530" width="16.26953125" bestFit="1" customWidth="1"/>
    <col min="1531" max="1531" width="9.453125" bestFit="1" customWidth="1"/>
    <col min="1532" max="1532" width="19.26953125" bestFit="1" customWidth="1"/>
    <col min="1533" max="1533" width="20.26953125" bestFit="1" customWidth="1"/>
    <col min="1534" max="1534" width="23.26953125" bestFit="1" customWidth="1"/>
    <col min="1535" max="1535" width="20" bestFit="1" customWidth="1"/>
    <col min="1536" max="1538" width="9.453125" bestFit="1" customWidth="1"/>
    <col min="1539" max="1539" width="23" bestFit="1" customWidth="1"/>
    <col min="1540" max="1540" width="13.54296875" bestFit="1" customWidth="1"/>
    <col min="1541" max="1541" width="16.54296875" bestFit="1" customWidth="1"/>
    <col min="1542" max="1542" width="16.36328125" bestFit="1" customWidth="1"/>
    <col min="1543" max="1545" width="9.453125" bestFit="1" customWidth="1"/>
    <col min="1546" max="1546" width="19.36328125" bestFit="1" customWidth="1"/>
    <col min="1547" max="1547" width="15.90625" bestFit="1" customWidth="1"/>
    <col min="1548" max="1550" width="9.453125" bestFit="1" customWidth="1"/>
    <col min="1551" max="1551" width="18.90625" bestFit="1" customWidth="1"/>
    <col min="1552" max="1552" width="16" bestFit="1" customWidth="1"/>
    <col min="1553" max="1553" width="19" bestFit="1" customWidth="1"/>
    <col min="1554" max="1554" width="11.6328125" bestFit="1" customWidth="1"/>
    <col min="1555" max="1555" width="14.6328125" bestFit="1" customWidth="1"/>
    <col min="1556" max="1556" width="13.08984375" bestFit="1" customWidth="1"/>
    <col min="1557" max="1557" width="9.453125" bestFit="1" customWidth="1"/>
    <col min="1558" max="1558" width="16.08984375" bestFit="1" customWidth="1"/>
    <col min="1559" max="1559" width="15.54296875" bestFit="1" customWidth="1"/>
    <col min="1560" max="1562" width="9.453125" bestFit="1" customWidth="1"/>
    <col min="1563" max="1563" width="18.54296875" bestFit="1" customWidth="1"/>
    <col min="1564" max="1564" width="17.1796875" bestFit="1" customWidth="1"/>
    <col min="1565" max="1565" width="20.1796875" bestFit="1" customWidth="1"/>
    <col min="1566" max="1566" width="12.453125" bestFit="1" customWidth="1"/>
    <col min="1567" max="1569" width="9.453125" bestFit="1" customWidth="1"/>
    <col min="1570" max="1570" width="15.453125" bestFit="1" customWidth="1"/>
    <col min="1571" max="1571" width="13.1796875" bestFit="1" customWidth="1"/>
    <col min="1572" max="1572" width="9.453125" bestFit="1" customWidth="1"/>
    <col min="1573" max="1573" width="16.1796875" bestFit="1" customWidth="1"/>
    <col min="1574" max="1574" width="17.453125" bestFit="1" customWidth="1"/>
    <col min="1575" max="1577" width="9.453125" bestFit="1" customWidth="1"/>
    <col min="1578" max="1578" width="20.453125" bestFit="1" customWidth="1"/>
    <col min="1579" max="1579" width="19.26953125" bestFit="1" customWidth="1"/>
    <col min="1580" max="1580" width="22.26953125" bestFit="1" customWidth="1"/>
    <col min="1581" max="1581" width="15.81640625" bestFit="1" customWidth="1"/>
    <col min="1582" max="1583" width="9.453125" bestFit="1" customWidth="1"/>
    <col min="1584" max="1584" width="18.81640625" bestFit="1" customWidth="1"/>
    <col min="1585" max="1585" width="23.08984375" bestFit="1" customWidth="1"/>
    <col min="1586" max="1586" width="26.08984375" bestFit="1" customWidth="1"/>
    <col min="1587" max="1587" width="11.453125" bestFit="1" customWidth="1"/>
    <col min="1588" max="1588" width="9.453125" bestFit="1" customWidth="1"/>
    <col min="1589" max="1589" width="14.453125" bestFit="1" customWidth="1"/>
    <col min="1590" max="1590" width="15.453125" bestFit="1" customWidth="1"/>
    <col min="1591" max="1593" width="9.453125" bestFit="1" customWidth="1"/>
    <col min="1594" max="1594" width="18.453125" bestFit="1" customWidth="1"/>
    <col min="1595" max="1595" width="13.6328125" bestFit="1" customWidth="1"/>
    <col min="1596" max="1598" width="9.453125" bestFit="1" customWidth="1"/>
    <col min="1599" max="1599" width="16.6328125" bestFit="1" customWidth="1"/>
    <col min="1600" max="1600" width="17.453125" bestFit="1" customWidth="1"/>
    <col min="1601" max="1603" width="9.453125" bestFit="1" customWidth="1"/>
    <col min="1604" max="1604" width="20.453125" bestFit="1" customWidth="1"/>
    <col min="1605" max="1605" width="13.36328125" bestFit="1" customWidth="1"/>
    <col min="1606" max="1606" width="16.36328125" bestFit="1" customWidth="1"/>
    <col min="1607" max="1607" width="13.08984375" bestFit="1" customWidth="1"/>
    <col min="1608" max="1608" width="16.08984375" bestFit="1" customWidth="1"/>
    <col min="1609" max="1609" width="9.453125" bestFit="1" customWidth="1"/>
    <col min="1610" max="1610" width="10.6328125" bestFit="1" customWidth="1"/>
    <col min="1611" max="1611" width="16.26953125" bestFit="1" customWidth="1"/>
    <col min="1612" max="1612" width="9.453125" bestFit="1" customWidth="1"/>
    <col min="1613" max="1613" width="19.26953125" bestFit="1" customWidth="1"/>
    <col min="1614" max="1614" width="13.26953125" bestFit="1" customWidth="1"/>
    <col min="1615" max="1615" width="9.453125" bestFit="1" customWidth="1"/>
    <col min="1616" max="1616" width="16.26953125" bestFit="1" customWidth="1"/>
    <col min="1617" max="1617" width="13.6328125" bestFit="1" customWidth="1"/>
    <col min="1618" max="1618" width="16.6328125" bestFit="1" customWidth="1"/>
    <col min="1619" max="1619" width="20.453125" bestFit="1" customWidth="1"/>
    <col min="1620" max="1620" width="23.453125" bestFit="1" customWidth="1"/>
    <col min="1621" max="1621" width="12.90625" bestFit="1" customWidth="1"/>
    <col min="1622" max="1622" width="15.90625" bestFit="1" customWidth="1"/>
    <col min="1623" max="1623" width="16.08984375" bestFit="1" customWidth="1"/>
    <col min="1624" max="1624" width="19.08984375" bestFit="1" customWidth="1"/>
    <col min="1625" max="1625" width="14.1796875" bestFit="1" customWidth="1"/>
    <col min="1626" max="1628" width="9.453125" bestFit="1" customWidth="1"/>
    <col min="1629" max="1629" width="17.26953125" bestFit="1" customWidth="1"/>
    <col min="1630" max="1630" width="13.08984375" bestFit="1" customWidth="1"/>
    <col min="1631" max="1633" width="9.453125" bestFit="1" customWidth="1"/>
    <col min="1634" max="1634" width="16.08984375" bestFit="1" customWidth="1"/>
    <col min="1635" max="1635" width="9.453125" bestFit="1" customWidth="1"/>
    <col min="1636" max="1636" width="10.26953125" bestFit="1" customWidth="1"/>
    <col min="1637" max="1637" width="14.26953125" bestFit="1" customWidth="1"/>
    <col min="1638" max="1639" width="9.453125" bestFit="1" customWidth="1"/>
    <col min="1640" max="1640" width="17.36328125" bestFit="1" customWidth="1"/>
    <col min="1641" max="1641" width="15.1796875" bestFit="1" customWidth="1"/>
    <col min="1642" max="1644" width="9.453125" bestFit="1" customWidth="1"/>
    <col min="1645" max="1645" width="18.1796875" bestFit="1" customWidth="1"/>
    <col min="1646" max="1646" width="13.08984375" bestFit="1" customWidth="1"/>
    <col min="1647" max="1647" width="16.08984375" bestFit="1" customWidth="1"/>
    <col min="1648" max="1648" width="12.54296875" bestFit="1" customWidth="1"/>
    <col min="1649" max="1649" width="15.54296875" bestFit="1" customWidth="1"/>
    <col min="1650" max="1650" width="15.36328125" bestFit="1" customWidth="1"/>
    <col min="1651" max="1651" width="18.36328125" bestFit="1" customWidth="1"/>
    <col min="1652" max="1652" width="12.453125" bestFit="1" customWidth="1"/>
    <col min="1653" max="1653" width="9.453125" bestFit="1" customWidth="1"/>
    <col min="1654" max="1654" width="15.453125" bestFit="1" customWidth="1"/>
    <col min="1655" max="1655" width="16.26953125" bestFit="1" customWidth="1"/>
    <col min="1656" max="1656" width="9.453125" bestFit="1" customWidth="1"/>
    <col min="1657" max="1657" width="19.26953125" bestFit="1" customWidth="1"/>
    <col min="1658" max="1658" width="19.1796875" bestFit="1" customWidth="1"/>
    <col min="1659" max="1661" width="9.453125" bestFit="1" customWidth="1"/>
    <col min="1662" max="1662" width="22.1796875" bestFit="1" customWidth="1"/>
    <col min="1663" max="1663" width="14.90625" bestFit="1" customWidth="1"/>
    <col min="1664" max="1665" width="9.453125" bestFit="1" customWidth="1"/>
    <col min="1666" max="1666" width="17.90625" bestFit="1" customWidth="1"/>
    <col min="1667" max="1667" width="11.90625" bestFit="1" customWidth="1"/>
    <col min="1668" max="1669" width="9.453125" bestFit="1" customWidth="1"/>
    <col min="1670" max="1670" width="14.90625" bestFit="1" customWidth="1"/>
    <col min="1671" max="1674" width="9.453125" bestFit="1" customWidth="1"/>
    <col min="1675" max="1675" width="10.54296875" bestFit="1" customWidth="1"/>
    <col min="1676" max="1676" width="14" bestFit="1" customWidth="1"/>
    <col min="1677" max="1679" width="9.453125" bestFit="1" customWidth="1"/>
    <col min="1680" max="1680" width="17.08984375" bestFit="1" customWidth="1"/>
    <col min="1681" max="1681" width="16.54296875" bestFit="1" customWidth="1"/>
    <col min="1682" max="1682" width="19.54296875" bestFit="1" customWidth="1"/>
    <col min="1683" max="1683" width="13.54296875" bestFit="1" customWidth="1"/>
    <col min="1684" max="1685" width="9.453125" bestFit="1" customWidth="1"/>
    <col min="1686" max="1686" width="16.54296875" bestFit="1" customWidth="1"/>
    <col min="1687" max="1687" width="13.26953125" bestFit="1" customWidth="1"/>
    <col min="1688" max="1690" width="9.453125" bestFit="1" customWidth="1"/>
    <col min="1691" max="1691" width="16.26953125" bestFit="1" customWidth="1"/>
    <col min="1692" max="1692" width="11.36328125" bestFit="1" customWidth="1"/>
    <col min="1693" max="1693" width="14.36328125" bestFit="1" customWidth="1"/>
    <col min="1694" max="1694" width="12.6328125" bestFit="1" customWidth="1"/>
    <col min="1695" max="1696" width="9.453125" bestFit="1" customWidth="1"/>
    <col min="1697" max="1697" width="15.6328125" bestFit="1" customWidth="1"/>
    <col min="1698" max="1698" width="10.81640625" bestFit="1" customWidth="1"/>
    <col min="1699" max="1701" width="9.453125" bestFit="1" customWidth="1"/>
    <col min="1702" max="1702" width="13.81640625" bestFit="1" customWidth="1"/>
    <col min="1703" max="1703" width="12.6328125" bestFit="1" customWidth="1"/>
    <col min="1704" max="1704" width="9.453125" bestFit="1" customWidth="1"/>
    <col min="1705" max="1705" width="15.6328125" bestFit="1" customWidth="1"/>
    <col min="1706" max="1706" width="18" bestFit="1" customWidth="1"/>
    <col min="1707" max="1707" width="21.08984375" bestFit="1" customWidth="1"/>
    <col min="1708" max="1708" width="17.6328125" bestFit="1" customWidth="1"/>
    <col min="1709" max="1710" width="9.453125" bestFit="1" customWidth="1"/>
    <col min="1711" max="1711" width="20.6328125" bestFit="1" customWidth="1"/>
    <col min="1712" max="1712" width="26.54296875" bestFit="1" customWidth="1"/>
    <col min="1713" max="1713" width="9.453125" bestFit="1" customWidth="1"/>
    <col min="1714" max="1714" width="29.6328125" bestFit="1" customWidth="1"/>
    <col min="1715" max="1715" width="20.6328125" bestFit="1" customWidth="1"/>
    <col min="1716" max="1717" width="9.453125" bestFit="1" customWidth="1"/>
    <col min="1718" max="1718" width="23.6328125" bestFit="1" customWidth="1"/>
    <col min="1719" max="1719" width="15.1796875" bestFit="1" customWidth="1"/>
    <col min="1720" max="1720" width="18.1796875" bestFit="1" customWidth="1"/>
    <col min="1721" max="1721" width="15.7265625" bestFit="1" customWidth="1"/>
    <col min="1722" max="1722" width="18.7265625" bestFit="1" customWidth="1"/>
    <col min="1723" max="1723" width="14.453125" bestFit="1" customWidth="1"/>
    <col min="1724" max="1724" width="9.453125" bestFit="1" customWidth="1"/>
    <col min="1725" max="1725" width="17.54296875" bestFit="1" customWidth="1"/>
    <col min="1726" max="1726" width="16.26953125" bestFit="1" customWidth="1"/>
    <col min="1727" max="1729" width="9.453125" bestFit="1" customWidth="1"/>
    <col min="1730" max="1730" width="19.26953125" bestFit="1" customWidth="1"/>
    <col min="1731" max="1731" width="17.453125" bestFit="1" customWidth="1"/>
    <col min="1732" max="1732" width="20.453125" bestFit="1" customWidth="1"/>
    <col min="1733" max="1733" width="15.7265625" bestFit="1" customWidth="1"/>
    <col min="1734" max="1734" width="9.453125" bestFit="1" customWidth="1"/>
    <col min="1735" max="1735" width="18.7265625" bestFit="1" customWidth="1"/>
    <col min="1736" max="1736" width="9.453125" bestFit="1" customWidth="1"/>
    <col min="1737" max="1737" width="12.26953125" bestFit="1" customWidth="1"/>
    <col min="1738" max="1738" width="18.54296875" bestFit="1" customWidth="1"/>
    <col min="1739" max="1739" width="9.453125" bestFit="1" customWidth="1"/>
    <col min="1740" max="1740" width="21.6328125" bestFit="1" customWidth="1"/>
    <col min="1741" max="1741" width="13.36328125" bestFit="1" customWidth="1"/>
    <col min="1742" max="1742" width="16.36328125" bestFit="1" customWidth="1"/>
    <col min="1743" max="1743" width="15.90625" bestFit="1" customWidth="1"/>
    <col min="1744" max="1744" width="18.90625" bestFit="1" customWidth="1"/>
    <col min="1745" max="1745" width="15.453125" bestFit="1" customWidth="1"/>
    <col min="1746" max="1746" width="18.453125" bestFit="1" customWidth="1"/>
    <col min="1747" max="1747" width="11.7265625" bestFit="1" customWidth="1"/>
    <col min="1748" max="1748" width="9.453125" bestFit="1" customWidth="1"/>
    <col min="1749" max="1749" width="14.7265625" bestFit="1" customWidth="1"/>
    <col min="1750" max="1750" width="15" bestFit="1" customWidth="1"/>
    <col min="1751" max="1751" width="18" bestFit="1" customWidth="1"/>
    <col min="1752" max="1752" width="14.90625" bestFit="1" customWidth="1"/>
    <col min="1753" max="1753" width="17.90625" bestFit="1" customWidth="1"/>
    <col min="1754" max="1754" width="14" bestFit="1" customWidth="1"/>
    <col min="1755" max="1757" width="9.453125" bestFit="1" customWidth="1"/>
    <col min="1758" max="1758" width="17.08984375" bestFit="1" customWidth="1"/>
    <col min="1759" max="1759" width="12.7265625" bestFit="1" customWidth="1"/>
    <col min="1760" max="1760" width="9.453125" bestFit="1" customWidth="1"/>
    <col min="1761" max="1761" width="15.7265625" bestFit="1" customWidth="1"/>
    <col min="1762" max="1762" width="13.7265625" bestFit="1" customWidth="1"/>
    <col min="1763" max="1765" width="9.453125" bestFit="1" customWidth="1"/>
    <col min="1766" max="1766" width="16.7265625" bestFit="1" customWidth="1"/>
    <col min="1767" max="1767" width="13" bestFit="1" customWidth="1"/>
    <col min="1768" max="1768" width="9.453125" bestFit="1" customWidth="1"/>
    <col min="1769" max="1769" width="16" bestFit="1" customWidth="1"/>
    <col min="1770" max="1770" width="17.36328125" bestFit="1" customWidth="1"/>
    <col min="1771" max="1771" width="9.453125" bestFit="1" customWidth="1"/>
    <col min="1772" max="1772" width="20.36328125" bestFit="1" customWidth="1"/>
    <col min="1773" max="1773" width="16.36328125" bestFit="1" customWidth="1"/>
    <col min="1774" max="1776" width="9.453125" bestFit="1" customWidth="1"/>
    <col min="1777" max="1777" width="19.36328125" bestFit="1" customWidth="1"/>
    <col min="1778" max="1778" width="16.453125" bestFit="1" customWidth="1"/>
    <col min="1779" max="1780" width="9.453125" bestFit="1" customWidth="1"/>
    <col min="1781" max="1781" width="19.453125" bestFit="1" customWidth="1"/>
    <col min="1782" max="1782" width="16" bestFit="1" customWidth="1"/>
    <col min="1783" max="1783" width="19" bestFit="1" customWidth="1"/>
    <col min="1784" max="1784" width="13.453125" bestFit="1" customWidth="1"/>
    <col min="1785" max="1785" width="16.453125" bestFit="1" customWidth="1"/>
    <col min="1786" max="1786" width="15.54296875" bestFit="1" customWidth="1"/>
    <col min="1787" max="1789" width="9.453125" bestFit="1" customWidth="1"/>
    <col min="1790" max="1790" width="18.54296875" bestFit="1" customWidth="1"/>
    <col min="1791" max="1791" width="13" bestFit="1" customWidth="1"/>
    <col min="1792" max="1792" width="16" bestFit="1" customWidth="1"/>
    <col min="1793" max="1793" width="13.08984375" bestFit="1" customWidth="1"/>
    <col min="1794" max="1795" width="9.453125" bestFit="1" customWidth="1"/>
    <col min="1796" max="1796" width="16.08984375" bestFit="1" customWidth="1"/>
    <col min="1797" max="1797" width="19.6328125" bestFit="1" customWidth="1"/>
    <col min="1798" max="1799" width="9.453125" bestFit="1" customWidth="1"/>
    <col min="1800" max="1800" width="22.6328125" bestFit="1" customWidth="1"/>
    <col min="1801" max="1801" width="13.453125" bestFit="1" customWidth="1"/>
    <col min="1802" max="1802" width="16.453125" bestFit="1" customWidth="1"/>
    <col min="1803" max="1803" width="14.90625" bestFit="1" customWidth="1"/>
    <col min="1804" max="1804" width="17.90625" bestFit="1" customWidth="1"/>
    <col min="1805" max="1805" width="14.1796875" bestFit="1" customWidth="1"/>
    <col min="1806" max="1806" width="9.453125" bestFit="1" customWidth="1"/>
    <col min="1807" max="1807" width="17.26953125" bestFit="1" customWidth="1"/>
    <col min="1808" max="1808" width="14.54296875" bestFit="1" customWidth="1"/>
    <col min="1809" max="1809" width="17.6328125" bestFit="1" customWidth="1"/>
    <col min="1810" max="1810" width="11.81640625" bestFit="1" customWidth="1"/>
    <col min="1811" max="1811" width="14.81640625" bestFit="1" customWidth="1"/>
    <col min="1812" max="1812" width="13.90625" bestFit="1" customWidth="1"/>
    <col min="1813" max="1813" width="9.453125" bestFit="1" customWidth="1"/>
    <col min="1814" max="1814" width="17" bestFit="1" customWidth="1"/>
    <col min="1815" max="1815" width="14.7265625" bestFit="1" customWidth="1"/>
    <col min="1816" max="1818" width="9.453125" bestFit="1" customWidth="1"/>
    <col min="1819" max="1819" width="17.7265625" bestFit="1" customWidth="1"/>
    <col min="1820" max="1820" width="12.36328125" bestFit="1" customWidth="1"/>
    <col min="1821" max="1822" width="9.453125" bestFit="1" customWidth="1"/>
    <col min="1823" max="1823" width="15.36328125" bestFit="1" customWidth="1"/>
    <col min="1824" max="1824" width="15.81640625" bestFit="1" customWidth="1"/>
    <col min="1825" max="1825" width="18.81640625" bestFit="1" customWidth="1"/>
    <col min="1826" max="1826" width="12.90625" bestFit="1" customWidth="1"/>
    <col min="1827" max="1827" width="9.453125" bestFit="1" customWidth="1"/>
    <col min="1828" max="1828" width="15.90625" bestFit="1" customWidth="1"/>
    <col min="1829" max="1829" width="16" bestFit="1" customWidth="1"/>
    <col min="1830" max="1830" width="19" bestFit="1" customWidth="1"/>
    <col min="1831" max="1831" width="16" bestFit="1" customWidth="1"/>
    <col min="1832" max="1833" width="9.453125" bestFit="1" customWidth="1"/>
    <col min="1834" max="1834" width="19" bestFit="1" customWidth="1"/>
    <col min="1835" max="1835" width="12.453125" bestFit="1" customWidth="1"/>
    <col min="1836" max="1838" width="9.453125" bestFit="1" customWidth="1"/>
    <col min="1839" max="1839" width="15.453125" bestFit="1" customWidth="1"/>
    <col min="1840" max="1840" width="15.26953125" bestFit="1" customWidth="1"/>
    <col min="1841" max="1841" width="9.453125" bestFit="1" customWidth="1"/>
    <col min="1842" max="1842" width="18.26953125" bestFit="1" customWidth="1"/>
    <col min="1843" max="1843" width="17" bestFit="1" customWidth="1"/>
    <col min="1844" max="1846" width="9.453125" bestFit="1" customWidth="1"/>
    <col min="1847" max="1847" width="20" bestFit="1" customWidth="1"/>
    <col min="1848" max="1848" width="12" bestFit="1" customWidth="1"/>
    <col min="1849" max="1849" width="9.453125" bestFit="1" customWidth="1"/>
    <col min="1850" max="1850" width="15" bestFit="1" customWidth="1"/>
    <col min="1851" max="1851" width="11.90625" bestFit="1" customWidth="1"/>
    <col min="1852" max="1852" width="9.453125" bestFit="1" customWidth="1"/>
    <col min="1853" max="1853" width="14.90625" bestFit="1" customWidth="1"/>
    <col min="1854" max="1854" width="10.54296875" bestFit="1" customWidth="1"/>
    <col min="1855" max="1855" width="13.54296875" bestFit="1" customWidth="1"/>
    <col min="1856" max="1856" width="14.81640625" bestFit="1" customWidth="1"/>
    <col min="1857" max="1857" width="17.81640625" bestFit="1" customWidth="1"/>
    <col min="1858" max="1858" width="11.7265625" bestFit="1" customWidth="1"/>
    <col min="1859" max="1860" width="9.453125" bestFit="1" customWidth="1"/>
    <col min="1861" max="1861" width="14.7265625" bestFit="1" customWidth="1"/>
    <col min="1862" max="1862" width="12.08984375" bestFit="1" customWidth="1"/>
    <col min="1863" max="1863" width="15.08984375" bestFit="1" customWidth="1"/>
    <col min="1864" max="1864" width="13.453125" bestFit="1" customWidth="1"/>
    <col min="1865" max="1865" width="16.453125" bestFit="1" customWidth="1"/>
    <col min="1866" max="1866" width="12.90625" bestFit="1" customWidth="1"/>
    <col min="1867" max="1867" width="9.453125" bestFit="1" customWidth="1"/>
    <col min="1868" max="1868" width="15.90625" bestFit="1" customWidth="1"/>
    <col min="1869" max="1869" width="11.81640625" bestFit="1" customWidth="1"/>
    <col min="1870" max="1872" width="9.453125" bestFit="1" customWidth="1"/>
    <col min="1873" max="1873" width="14.81640625" bestFit="1" customWidth="1"/>
    <col min="1874" max="1874" width="13.7265625" bestFit="1" customWidth="1"/>
    <col min="1875" max="1875" width="16.7265625" bestFit="1" customWidth="1"/>
    <col min="1876" max="1876" width="17.1796875" bestFit="1" customWidth="1"/>
    <col min="1877" max="1877" width="9.453125" bestFit="1" customWidth="1"/>
    <col min="1878" max="1878" width="20.1796875" bestFit="1" customWidth="1"/>
    <col min="1879" max="1879" width="13.26953125" bestFit="1" customWidth="1"/>
    <col min="1880" max="1880" width="16.26953125" bestFit="1" customWidth="1"/>
    <col min="1881" max="1881" width="15" bestFit="1" customWidth="1"/>
    <col min="1882" max="1882" width="9.453125" bestFit="1" customWidth="1"/>
    <col min="1883" max="1883" width="18" bestFit="1" customWidth="1"/>
    <col min="1884" max="1884" width="17" bestFit="1" customWidth="1"/>
    <col min="1885" max="1887" width="9.453125" bestFit="1" customWidth="1"/>
    <col min="1888" max="1888" width="20" bestFit="1" customWidth="1"/>
    <col min="1889" max="1889" width="14.90625" bestFit="1" customWidth="1"/>
    <col min="1890" max="1890" width="17.90625" bestFit="1" customWidth="1"/>
    <col min="1891" max="1891" width="17" bestFit="1" customWidth="1"/>
    <col min="1892" max="1892" width="20" bestFit="1" customWidth="1"/>
    <col min="1893" max="1893" width="17.6328125" bestFit="1" customWidth="1"/>
    <col min="1894" max="1894" width="9.453125" bestFit="1" customWidth="1"/>
    <col min="1895" max="1895" width="20.6328125" bestFit="1" customWidth="1"/>
    <col min="1896" max="1896" width="15.7265625" bestFit="1" customWidth="1"/>
    <col min="1897" max="1898" width="9.453125" bestFit="1" customWidth="1"/>
    <col min="1899" max="1899" width="18.7265625" bestFit="1" customWidth="1"/>
    <col min="1900" max="1900" width="18.08984375" bestFit="1" customWidth="1"/>
    <col min="1901" max="1901" width="21.1796875" bestFit="1" customWidth="1"/>
    <col min="1902" max="1902" width="19.453125" bestFit="1" customWidth="1"/>
    <col min="1903" max="1903" width="22.453125" bestFit="1" customWidth="1"/>
    <col min="1904" max="1904" width="12.81640625" bestFit="1" customWidth="1"/>
    <col min="1905" max="1905" width="15.81640625" bestFit="1" customWidth="1"/>
    <col min="1906" max="1906" width="14.1796875" bestFit="1" customWidth="1"/>
    <col min="1907" max="1909" width="9.453125" bestFit="1" customWidth="1"/>
    <col min="1910" max="1910" width="17.26953125" bestFit="1" customWidth="1"/>
    <col min="1911" max="1911" width="12.7265625" bestFit="1" customWidth="1"/>
    <col min="1912" max="1912" width="9.453125" bestFit="1" customWidth="1"/>
    <col min="1913" max="1913" width="15.7265625" bestFit="1" customWidth="1"/>
    <col min="1914" max="1914" width="12.08984375" bestFit="1" customWidth="1"/>
    <col min="1915" max="1917" width="9.453125" bestFit="1" customWidth="1"/>
    <col min="1918" max="1918" width="15.08984375" bestFit="1" customWidth="1"/>
    <col min="1919" max="1919" width="14.26953125" bestFit="1" customWidth="1"/>
    <col min="1920" max="1922" width="9.453125" bestFit="1" customWidth="1"/>
    <col min="1923" max="1923" width="17.36328125" bestFit="1" customWidth="1"/>
    <col min="1924" max="1924" width="17.6328125" bestFit="1" customWidth="1"/>
    <col min="1925" max="1926" width="9.453125" bestFit="1" customWidth="1"/>
    <col min="1927" max="1927" width="20.6328125" bestFit="1" customWidth="1"/>
    <col min="1928" max="1928" width="13.36328125" bestFit="1" customWidth="1"/>
    <col min="1929" max="1929" width="16.36328125" bestFit="1" customWidth="1"/>
    <col min="1930" max="1930" width="14.08984375" bestFit="1" customWidth="1"/>
    <col min="1931" max="1933" width="9.453125" bestFit="1" customWidth="1"/>
    <col min="1934" max="1934" width="17.1796875" bestFit="1" customWidth="1"/>
    <col min="1935" max="1935" width="14.7265625" bestFit="1" customWidth="1"/>
    <col min="1936" max="1936" width="9.453125" bestFit="1" customWidth="1"/>
    <col min="1937" max="1937" width="17.7265625" bestFit="1" customWidth="1"/>
    <col min="1938" max="1938" width="16.36328125" bestFit="1" customWidth="1"/>
    <col min="1939" max="1939" width="19.36328125" bestFit="1" customWidth="1"/>
    <col min="1940" max="1940" width="9.453125" bestFit="1" customWidth="1"/>
    <col min="1941" max="1941" width="12.26953125" bestFit="1" customWidth="1"/>
    <col min="1942" max="1942" width="11.36328125" bestFit="1" customWidth="1"/>
    <col min="1943" max="1943" width="14.36328125" bestFit="1" customWidth="1"/>
    <col min="1944" max="1944" width="12.26953125" bestFit="1" customWidth="1"/>
    <col min="1945" max="1945" width="9.453125" bestFit="1" customWidth="1"/>
    <col min="1946" max="1946" width="15.26953125" bestFit="1" customWidth="1"/>
    <col min="1947" max="1947" width="15.54296875" bestFit="1" customWidth="1"/>
    <col min="1948" max="1950" width="9.453125" bestFit="1" customWidth="1"/>
    <col min="1951" max="1951" width="18.54296875" bestFit="1" customWidth="1"/>
    <col min="1952" max="1952" width="16.36328125" bestFit="1" customWidth="1"/>
    <col min="1953" max="1953" width="19.36328125" bestFit="1" customWidth="1"/>
    <col min="1954" max="1954" width="15" bestFit="1" customWidth="1"/>
    <col min="1955" max="1955" width="9.453125" bestFit="1" customWidth="1"/>
    <col min="1956" max="1956" width="18" bestFit="1" customWidth="1"/>
    <col min="1957" max="1957" width="19.90625" bestFit="1" customWidth="1"/>
    <col min="1958" max="1958" width="22.90625" bestFit="1" customWidth="1"/>
    <col min="1959" max="1959" width="19.90625" bestFit="1" customWidth="1"/>
    <col min="1960" max="1960" width="22.90625" bestFit="1" customWidth="1"/>
    <col min="1961" max="1961" width="16" bestFit="1" customWidth="1"/>
    <col min="1962" max="1962" width="19" bestFit="1" customWidth="1"/>
    <col min="1963" max="1963" width="16.81640625" bestFit="1" customWidth="1"/>
    <col min="1964" max="1964" width="19.81640625" bestFit="1" customWidth="1"/>
    <col min="1965" max="1965" width="14.7265625" bestFit="1" customWidth="1"/>
    <col min="1966" max="1966" width="9.453125" bestFit="1" customWidth="1"/>
    <col min="1967" max="1967" width="17.7265625" bestFit="1" customWidth="1"/>
    <col min="1968" max="1968" width="11.90625" bestFit="1" customWidth="1"/>
    <col min="1969" max="1971" width="9.453125" bestFit="1" customWidth="1"/>
    <col min="1972" max="1972" width="14.90625" bestFit="1" customWidth="1"/>
    <col min="1973" max="1973" width="14.08984375" bestFit="1" customWidth="1"/>
    <col min="1974" max="1974" width="9.453125" bestFit="1" customWidth="1"/>
    <col min="1975" max="1975" width="17.1796875" bestFit="1" customWidth="1"/>
    <col min="1976" max="1976" width="13.1796875" bestFit="1" customWidth="1"/>
    <col min="1977" max="1978" width="9.453125" bestFit="1" customWidth="1"/>
    <col min="1979" max="1979" width="16.1796875" bestFit="1" customWidth="1"/>
    <col min="1980" max="1980" width="14.54296875" bestFit="1" customWidth="1"/>
    <col min="1981" max="1981" width="9.453125" bestFit="1" customWidth="1"/>
    <col min="1982" max="1982" width="17.6328125" bestFit="1" customWidth="1"/>
    <col min="1983" max="1983" width="15.54296875" bestFit="1" customWidth="1"/>
    <col min="1984" max="1984" width="18.54296875" bestFit="1" customWidth="1"/>
    <col min="1985" max="1985" width="16.26953125" bestFit="1" customWidth="1"/>
    <col min="1986" max="1986" width="19.26953125" bestFit="1" customWidth="1"/>
    <col min="1987" max="1987" width="15.1796875" bestFit="1" customWidth="1"/>
    <col min="1988" max="1988" width="18.1796875" bestFit="1" customWidth="1"/>
    <col min="1989" max="1989" width="13.90625" bestFit="1" customWidth="1"/>
    <col min="1990" max="1990" width="17" bestFit="1" customWidth="1"/>
    <col min="1991" max="1991" width="17.08984375" bestFit="1" customWidth="1"/>
    <col min="1992" max="1992" width="20.08984375" bestFit="1" customWidth="1"/>
    <col min="1993" max="1993" width="17.26953125" bestFit="1" customWidth="1"/>
    <col min="1994" max="1994" width="20.26953125" bestFit="1" customWidth="1"/>
    <col min="1995" max="1995" width="13.6328125" bestFit="1" customWidth="1"/>
    <col min="1996" max="1996" width="16.6328125" bestFit="1" customWidth="1"/>
    <col min="1997" max="1997" width="17.08984375" bestFit="1" customWidth="1"/>
    <col min="1998" max="1998" width="20.08984375" bestFit="1" customWidth="1"/>
    <col min="1999" max="1999" width="16.6328125" bestFit="1" customWidth="1"/>
    <col min="2000" max="2000" width="9.453125" bestFit="1" customWidth="1"/>
    <col min="2001" max="2001" width="19.6328125" bestFit="1" customWidth="1"/>
    <col min="2002" max="2002" width="13.90625" bestFit="1" customWidth="1"/>
    <col min="2003" max="2005" width="9.453125" bestFit="1" customWidth="1"/>
    <col min="2006" max="2006" width="17" bestFit="1" customWidth="1"/>
    <col min="2007" max="2007" width="18.6328125" bestFit="1" customWidth="1"/>
    <col min="2008" max="2008" width="21.7265625" bestFit="1" customWidth="1"/>
    <col min="2009" max="2009" width="10.90625" bestFit="1" customWidth="1"/>
    <col min="2010" max="2010" width="13.90625" bestFit="1" customWidth="1"/>
    <col min="2011" max="2011" width="12.26953125" bestFit="1" customWidth="1"/>
    <col min="2012" max="2012" width="15.26953125" bestFit="1" customWidth="1"/>
    <col min="2013" max="2013" width="21.453125" bestFit="1" customWidth="1"/>
    <col min="2014" max="2014" width="9.453125" bestFit="1" customWidth="1"/>
    <col min="2015" max="2015" width="24.453125" bestFit="1" customWidth="1"/>
    <col min="2016" max="2016" width="17.90625" bestFit="1" customWidth="1"/>
    <col min="2017" max="2019" width="9.453125" bestFit="1" customWidth="1"/>
    <col min="2020" max="2020" width="20.90625" bestFit="1" customWidth="1"/>
    <col min="2021" max="2021" width="13.08984375" bestFit="1" customWidth="1"/>
    <col min="2022" max="2022" width="16.08984375" bestFit="1" customWidth="1"/>
    <col min="2023" max="2023" width="12.36328125" bestFit="1" customWidth="1"/>
    <col min="2024" max="2025" width="9.453125" bestFit="1" customWidth="1"/>
    <col min="2026" max="2026" width="15.36328125" bestFit="1" customWidth="1"/>
    <col min="2027" max="2027" width="14.36328125" bestFit="1" customWidth="1"/>
    <col min="2028" max="2030" width="9.453125" bestFit="1" customWidth="1"/>
    <col min="2031" max="2031" width="17.453125" bestFit="1" customWidth="1"/>
    <col min="2032" max="2032" width="12.26953125" bestFit="1" customWidth="1"/>
    <col min="2033" max="2034" width="9.453125" bestFit="1" customWidth="1"/>
    <col min="2035" max="2035" width="15.26953125" bestFit="1" customWidth="1"/>
    <col min="2036" max="2036" width="17.6328125" bestFit="1" customWidth="1"/>
    <col min="2037" max="2037" width="20.6328125" bestFit="1" customWidth="1"/>
    <col min="2038" max="2038" width="10.26953125" bestFit="1" customWidth="1"/>
    <col min="2039" max="2039" width="13.26953125" bestFit="1" customWidth="1"/>
    <col min="2040" max="2040" width="14.54296875" bestFit="1" customWidth="1"/>
    <col min="2041" max="2041" width="17.6328125" bestFit="1" customWidth="1"/>
    <col min="2042" max="2042" width="15.36328125" bestFit="1" customWidth="1"/>
    <col min="2043" max="2043" width="18.36328125" bestFit="1" customWidth="1"/>
    <col min="2044" max="2044" width="14.1796875" bestFit="1" customWidth="1"/>
    <col min="2045" max="2045" width="9.453125" bestFit="1" customWidth="1"/>
    <col min="2046" max="2046" width="17.26953125" bestFit="1" customWidth="1"/>
    <col min="2047" max="2047" width="22.54296875" bestFit="1" customWidth="1"/>
    <col min="2048" max="2048" width="9.453125" bestFit="1" customWidth="1"/>
    <col min="2049" max="2049" width="25.6328125" bestFit="1" customWidth="1"/>
    <col min="2050" max="2050" width="13.08984375" bestFit="1" customWidth="1"/>
    <col min="2051" max="2053" width="9.453125" bestFit="1" customWidth="1"/>
    <col min="2054" max="2054" width="16.08984375" bestFit="1" customWidth="1"/>
    <col min="2055" max="2055" width="18.54296875" bestFit="1" customWidth="1"/>
    <col min="2056" max="2056" width="21.6328125" bestFit="1" customWidth="1"/>
    <col min="2057" max="2057" width="15" bestFit="1" customWidth="1"/>
    <col min="2058" max="2058" width="9.453125" bestFit="1" customWidth="1"/>
    <col min="2059" max="2059" width="18" bestFit="1" customWidth="1"/>
    <col min="2060" max="2060" width="14.54296875" bestFit="1" customWidth="1"/>
    <col min="2061" max="2061" width="17.6328125" bestFit="1" customWidth="1"/>
    <col min="2062" max="2062" width="15.90625" bestFit="1" customWidth="1"/>
    <col min="2063" max="2063" width="9.453125" bestFit="1" customWidth="1"/>
    <col min="2064" max="2064" width="18.90625" bestFit="1" customWidth="1"/>
    <col min="2065" max="2065" width="16.453125" bestFit="1" customWidth="1"/>
    <col min="2066" max="2066" width="19.453125" bestFit="1" customWidth="1"/>
    <col min="2067" max="2067" width="14.81640625" bestFit="1" customWidth="1"/>
    <col min="2068" max="2068" width="9.453125" bestFit="1" customWidth="1"/>
    <col min="2069" max="2069" width="17.81640625" bestFit="1" customWidth="1"/>
    <col min="2070" max="2070" width="13.54296875" bestFit="1" customWidth="1"/>
    <col min="2071" max="2072" width="9.453125" bestFit="1" customWidth="1"/>
    <col min="2073" max="2073" width="16.54296875" bestFit="1" customWidth="1"/>
    <col min="2074" max="2074" width="16.6328125" bestFit="1" customWidth="1"/>
    <col min="2075" max="2077" width="9.453125" bestFit="1" customWidth="1"/>
    <col min="2078" max="2078" width="19.6328125" bestFit="1" customWidth="1"/>
    <col min="2079" max="2079" width="14.08984375" bestFit="1" customWidth="1"/>
    <col min="2080" max="2080" width="17.1796875" bestFit="1" customWidth="1"/>
    <col min="2081" max="2081" width="16" bestFit="1" customWidth="1"/>
    <col min="2082" max="2082" width="19" bestFit="1" customWidth="1"/>
    <col min="2083" max="2083" width="17.453125" bestFit="1" customWidth="1"/>
    <col min="2084" max="2086" width="9.453125" bestFit="1" customWidth="1"/>
    <col min="2087" max="2087" width="20.453125" bestFit="1" customWidth="1"/>
    <col min="2088" max="2088" width="14" bestFit="1" customWidth="1"/>
    <col min="2089" max="2091" width="9.453125" bestFit="1" customWidth="1"/>
    <col min="2092" max="2092" width="17.08984375" bestFit="1" customWidth="1"/>
    <col min="2093" max="2093" width="13.81640625" bestFit="1" customWidth="1"/>
    <col min="2094" max="2094" width="16.81640625" bestFit="1" customWidth="1"/>
    <col min="2095" max="2095" width="13.7265625" bestFit="1" customWidth="1"/>
    <col min="2096" max="2096" width="9.453125" bestFit="1" customWidth="1"/>
    <col min="2097" max="2097" width="16.7265625" bestFit="1" customWidth="1"/>
    <col min="2098" max="2098" width="15.26953125" bestFit="1" customWidth="1"/>
    <col min="2099" max="2100" width="9.453125" bestFit="1" customWidth="1"/>
    <col min="2101" max="2101" width="18.26953125" bestFit="1" customWidth="1"/>
    <col min="2102" max="2102" width="17.453125" bestFit="1" customWidth="1"/>
    <col min="2103" max="2104" width="9.453125" bestFit="1" customWidth="1"/>
    <col min="2105" max="2105" width="20.453125" bestFit="1" customWidth="1"/>
    <col min="2106" max="2106" width="14.90625" bestFit="1" customWidth="1"/>
    <col min="2107" max="2107" width="17.90625" bestFit="1" customWidth="1"/>
    <col min="2108" max="2108" width="13.26953125" bestFit="1" customWidth="1"/>
    <col min="2109" max="2111" width="9.453125" bestFit="1" customWidth="1"/>
    <col min="2112" max="2112" width="16.26953125" bestFit="1" customWidth="1"/>
    <col min="2113" max="2113" width="14.26953125" bestFit="1" customWidth="1"/>
    <col min="2114" max="2114" width="9.453125" bestFit="1" customWidth="1"/>
    <col min="2115" max="2115" width="17.36328125" bestFit="1" customWidth="1"/>
    <col min="2116" max="2116" width="13.6328125" bestFit="1" customWidth="1"/>
    <col min="2117" max="2118" width="9.453125" bestFit="1" customWidth="1"/>
    <col min="2119" max="2119" width="16.6328125" bestFit="1" customWidth="1"/>
    <col min="2120" max="2120" width="13.90625" bestFit="1" customWidth="1"/>
    <col min="2121" max="2122" width="9.453125" bestFit="1" customWidth="1"/>
    <col min="2123" max="2123" width="17" bestFit="1" customWidth="1"/>
    <col min="2124" max="2124" width="13.81640625" bestFit="1" customWidth="1"/>
    <col min="2125" max="2127" width="9.453125" bestFit="1" customWidth="1"/>
    <col min="2128" max="2128" width="16.81640625" bestFit="1" customWidth="1"/>
    <col min="2129" max="2129" width="12.453125" bestFit="1" customWidth="1"/>
    <col min="2130" max="2130" width="9.453125" bestFit="1" customWidth="1"/>
    <col min="2131" max="2131" width="15.453125" bestFit="1" customWidth="1"/>
    <col min="2132" max="2135" width="9.453125" bestFit="1" customWidth="1"/>
    <col min="2136" max="2136" width="11.26953125" bestFit="1" customWidth="1"/>
    <col min="2137" max="2137" width="10.7265625" bestFit="1" customWidth="1"/>
    <col min="2138" max="2138" width="13.7265625" bestFit="1" customWidth="1"/>
    <col min="2139" max="2139" width="13.81640625" bestFit="1" customWidth="1"/>
    <col min="2140" max="2141" width="9.453125" bestFit="1" customWidth="1"/>
    <col min="2142" max="2142" width="16.81640625" bestFit="1" customWidth="1"/>
    <col min="2143" max="2143" width="16" bestFit="1" customWidth="1"/>
    <col min="2144" max="2146" width="9.453125" bestFit="1" customWidth="1"/>
    <col min="2147" max="2147" width="19" bestFit="1" customWidth="1"/>
    <col min="2148" max="2148" width="11.453125" bestFit="1" customWidth="1"/>
    <col min="2149" max="2149" width="14.453125" bestFit="1" customWidth="1"/>
    <col min="2150" max="2150" width="12.54296875" bestFit="1" customWidth="1"/>
    <col min="2151" max="2152" width="15.54296875" bestFit="1" customWidth="1"/>
    <col min="2153" max="2154" width="9.453125" bestFit="1" customWidth="1"/>
    <col min="2155" max="2155" width="18.54296875" bestFit="1" customWidth="1"/>
    <col min="2156" max="2156" width="11.90625" bestFit="1" customWidth="1"/>
    <col min="2157" max="2158" width="9.453125" bestFit="1" customWidth="1"/>
    <col min="2159" max="2159" width="14.90625" bestFit="1" customWidth="1"/>
    <col min="2160" max="2160" width="11.7265625" bestFit="1" customWidth="1"/>
    <col min="2161" max="2161" width="14.7265625" bestFit="1" customWidth="1"/>
    <col min="2162" max="2162" width="18.36328125" bestFit="1" customWidth="1"/>
    <col min="2163" max="2163" width="21.453125" bestFit="1" customWidth="1"/>
    <col min="2164" max="2164" width="14.453125" bestFit="1" customWidth="1"/>
    <col min="2165" max="2166" width="9.453125" bestFit="1" customWidth="1"/>
    <col min="2167" max="2167" width="17.54296875" bestFit="1" customWidth="1"/>
    <col min="2168" max="2168" width="15.6328125" bestFit="1" customWidth="1"/>
    <col min="2169" max="2169" width="18.6328125" bestFit="1" customWidth="1"/>
    <col min="2170" max="2170" width="15.08984375" bestFit="1" customWidth="1"/>
    <col min="2171" max="2171" width="9.453125" bestFit="1" customWidth="1"/>
    <col min="2172" max="2172" width="18.08984375" bestFit="1" customWidth="1"/>
    <col min="2173" max="2173" width="16" bestFit="1" customWidth="1"/>
    <col min="2174" max="2174" width="19" bestFit="1" customWidth="1"/>
    <col min="2175" max="2175" width="14.90625" bestFit="1" customWidth="1"/>
    <col min="2176" max="2176" width="17.90625" bestFit="1" customWidth="1"/>
    <col min="2177" max="2178" width="9.453125" bestFit="1" customWidth="1"/>
    <col min="2179" max="2179" width="10.6328125" bestFit="1" customWidth="1"/>
    <col min="2180" max="2180" width="18.26953125" bestFit="1" customWidth="1"/>
    <col min="2181" max="2181" width="21.36328125" bestFit="1" customWidth="1"/>
    <col min="2182" max="2182" width="8.54296875" bestFit="1" customWidth="1"/>
    <col min="2183" max="2183" width="11.453125" bestFit="1" customWidth="1"/>
    <col min="2184" max="2184" width="10.7265625" bestFit="1" customWidth="1"/>
  </cols>
  <sheetData>
    <row r="1" spans="1:9" x14ac:dyDescent="0.35">
      <c r="A1" s="5" t="s">
        <v>10</v>
      </c>
      <c r="B1" t="s">
        <v>2355</v>
      </c>
    </row>
    <row r="2" spans="1:9" x14ac:dyDescent="0.35">
      <c r="A2" s="5" t="s">
        <v>13</v>
      </c>
      <c r="B2" t="s">
        <v>2355</v>
      </c>
      <c r="D2" s="36" t="s">
        <v>2358</v>
      </c>
      <c r="E2" s="36"/>
      <c r="G2" s="36" t="s">
        <v>2359</v>
      </c>
      <c r="H2" s="36"/>
      <c r="I2" s="36"/>
    </row>
    <row r="3" spans="1:9" x14ac:dyDescent="0.35">
      <c r="A3" s="5" t="s">
        <v>12</v>
      </c>
      <c r="B3" t="s">
        <v>2355</v>
      </c>
      <c r="D3" s="36"/>
      <c r="E3" s="36"/>
      <c r="G3" s="36"/>
      <c r="H3" s="36"/>
      <c r="I3" s="36"/>
    </row>
    <row r="4" spans="1:9" x14ac:dyDescent="0.35">
      <c r="A4" s="5" t="s">
        <v>14</v>
      </c>
      <c r="B4" t="s">
        <v>2355</v>
      </c>
    </row>
    <row r="5" spans="1:9" x14ac:dyDescent="0.35">
      <c r="D5" t="str">
        <f>_xlfn.XLOOKUP(MAX('Final Premier League Data'!O:O),'Final Premier League Data'!O:O,'Final Premier League Data'!A:A)</f>
        <v>Mesut Özil</v>
      </c>
    </row>
    <row r="6" spans="1:9" x14ac:dyDescent="0.35">
      <c r="A6" s="5" t="s">
        <v>2356</v>
      </c>
      <c r="D6" t="str">
        <f>_xlfn.XLOOKUP(MAX('Final Premier League Data'!M:M),'Final Premier League Data'!M:M,'Final Premier League Data'!A:A)</f>
        <v>Mohamed Salah</v>
      </c>
    </row>
    <row r="7" spans="1:9" x14ac:dyDescent="0.35">
      <c r="A7" s="6" t="s">
        <v>49</v>
      </c>
      <c r="D7" t="str">
        <f>_xlfn.XLOOKUP(MAX('Final Premier League Data'!P:P),'Final Premier League Data'!P:P,'Final Premier League Data'!A:A)</f>
        <v>Etienne Capoue</v>
      </c>
    </row>
    <row r="8" spans="1:9" x14ac:dyDescent="0.35">
      <c r="A8" s="13" t="s">
        <v>39</v>
      </c>
      <c r="D8" t="str">
        <f>_xlfn.XLOOKUP(MAX('Final Premier League Data'!Q:Q),'Final Premier League Data'!Q:Q,'Final Premier League Data'!A:A)</f>
        <v>Victor Wanyama</v>
      </c>
    </row>
    <row r="9" spans="1:9" x14ac:dyDescent="0.35">
      <c r="A9" s="13" t="s">
        <v>47</v>
      </c>
    </row>
    <row r="10" spans="1:9" x14ac:dyDescent="0.35">
      <c r="A10" s="13" t="s">
        <v>43</v>
      </c>
    </row>
    <row r="11" spans="1:9" x14ac:dyDescent="0.35">
      <c r="A11" s="13" t="s">
        <v>46</v>
      </c>
    </row>
    <row r="12" spans="1:9" x14ac:dyDescent="0.35">
      <c r="A12" s="6" t="s">
        <v>53</v>
      </c>
    </row>
    <row r="13" spans="1:9" x14ac:dyDescent="0.35">
      <c r="A13" s="13" t="s">
        <v>39</v>
      </c>
    </row>
    <row r="14" spans="1:9" x14ac:dyDescent="0.35">
      <c r="A14" s="13" t="s">
        <v>47</v>
      </c>
    </row>
    <row r="15" spans="1:9" x14ac:dyDescent="0.35">
      <c r="A15" s="13" t="s">
        <v>43</v>
      </c>
    </row>
    <row r="16" spans="1:9" x14ac:dyDescent="0.35">
      <c r="A16" s="13" t="s">
        <v>46</v>
      </c>
    </row>
    <row r="17" spans="1:9" ht="18.5" customHeight="1" x14ac:dyDescent="0.35">
      <c r="A17" s="6" t="s">
        <v>57</v>
      </c>
      <c r="D17" s="43" t="s">
        <v>2360</v>
      </c>
      <c r="E17" s="43"/>
      <c r="G17" s="43" t="s">
        <v>2361</v>
      </c>
      <c r="H17" s="43"/>
      <c r="I17" s="43"/>
    </row>
    <row r="18" spans="1:9" x14ac:dyDescent="0.35">
      <c r="A18" s="13" t="s">
        <v>43</v>
      </c>
      <c r="D18" s="43"/>
      <c r="E18" s="43"/>
      <c r="G18" s="43"/>
      <c r="H18" s="43"/>
      <c r="I18" s="43"/>
    </row>
    <row r="19" spans="1:9" x14ac:dyDescent="0.35">
      <c r="A19" s="13" t="s">
        <v>46</v>
      </c>
      <c r="D19" s="43"/>
      <c r="E19" s="43"/>
      <c r="G19" s="43"/>
      <c r="H19" s="43"/>
      <c r="I19" s="43"/>
    </row>
    <row r="20" spans="1:9" x14ac:dyDescent="0.35">
      <c r="A20" s="6" t="s">
        <v>60</v>
      </c>
    </row>
    <row r="21" spans="1:9" x14ac:dyDescent="0.35">
      <c r="A21" s="13" t="s">
        <v>39</v>
      </c>
    </row>
    <row r="22" spans="1:9" x14ac:dyDescent="0.35">
      <c r="A22" s="13" t="s">
        <v>47</v>
      </c>
    </row>
    <row r="23" spans="1:9" x14ac:dyDescent="0.35">
      <c r="A23" s="13" t="s">
        <v>43</v>
      </c>
    </row>
    <row r="24" spans="1:9" x14ac:dyDescent="0.35">
      <c r="A24" s="13" t="s">
        <v>46</v>
      </c>
    </row>
    <row r="25" spans="1:9" x14ac:dyDescent="0.35">
      <c r="A25" s="6" t="s">
        <v>63</v>
      </c>
    </row>
    <row r="26" spans="1:9" x14ac:dyDescent="0.35">
      <c r="A26" s="13" t="s">
        <v>46</v>
      </c>
    </row>
    <row r="27" spans="1:9" x14ac:dyDescent="0.35">
      <c r="A27" s="6" t="s">
        <v>65</v>
      </c>
    </row>
    <row r="28" spans="1:9" x14ac:dyDescent="0.35">
      <c r="A28" s="13" t="s">
        <v>47</v>
      </c>
    </row>
    <row r="29" spans="1:9" x14ac:dyDescent="0.35">
      <c r="A29" s="13" t="s">
        <v>43</v>
      </c>
    </row>
    <row r="30" spans="1:9" x14ac:dyDescent="0.35">
      <c r="A30" s="13" t="s">
        <v>46</v>
      </c>
    </row>
    <row r="31" spans="1:9" x14ac:dyDescent="0.35">
      <c r="A31" s="6" t="s">
        <v>68</v>
      </c>
    </row>
    <row r="32" spans="1:9" x14ac:dyDescent="0.35">
      <c r="A32" s="13" t="s">
        <v>39</v>
      </c>
    </row>
    <row r="33" spans="1:1" x14ac:dyDescent="0.35">
      <c r="A33" s="6" t="s">
        <v>70</v>
      </c>
    </row>
    <row r="34" spans="1:1" x14ac:dyDescent="0.35">
      <c r="A34" s="13" t="s">
        <v>47</v>
      </c>
    </row>
    <row r="35" spans="1:1" x14ac:dyDescent="0.35">
      <c r="A35" s="6" t="s">
        <v>73</v>
      </c>
    </row>
    <row r="36" spans="1:1" x14ac:dyDescent="0.35">
      <c r="A36" s="13" t="s">
        <v>46</v>
      </c>
    </row>
    <row r="37" spans="1:1" x14ac:dyDescent="0.35">
      <c r="A37" s="6" t="s">
        <v>75</v>
      </c>
    </row>
    <row r="38" spans="1:1" x14ac:dyDescent="0.35">
      <c r="A38" s="13" t="s">
        <v>47</v>
      </c>
    </row>
    <row r="39" spans="1:1" x14ac:dyDescent="0.35">
      <c r="A39" s="6" t="s">
        <v>76</v>
      </c>
    </row>
    <row r="40" spans="1:1" x14ac:dyDescent="0.35">
      <c r="A40" s="13" t="s">
        <v>47</v>
      </c>
    </row>
    <row r="41" spans="1:1" x14ac:dyDescent="0.35">
      <c r="A41" s="6" t="s">
        <v>77</v>
      </c>
    </row>
    <row r="42" spans="1:1" x14ac:dyDescent="0.35">
      <c r="A42" s="13" t="s">
        <v>39</v>
      </c>
    </row>
    <row r="43" spans="1:1" x14ac:dyDescent="0.35">
      <c r="A43" s="6" t="s">
        <v>79</v>
      </c>
    </row>
    <row r="44" spans="1:1" x14ac:dyDescent="0.35">
      <c r="A44" s="13" t="s">
        <v>39</v>
      </c>
    </row>
    <row r="45" spans="1:1" x14ac:dyDescent="0.35">
      <c r="A45" s="13" t="s">
        <v>47</v>
      </c>
    </row>
    <row r="46" spans="1:1" x14ac:dyDescent="0.35">
      <c r="A46" s="13" t="s">
        <v>43</v>
      </c>
    </row>
    <row r="47" spans="1:1" x14ac:dyDescent="0.35">
      <c r="A47" s="13" t="s">
        <v>46</v>
      </c>
    </row>
    <row r="48" spans="1:1" x14ac:dyDescent="0.35">
      <c r="A48" s="6" t="s">
        <v>81</v>
      </c>
    </row>
    <row r="49" spans="1:1" x14ac:dyDescent="0.35">
      <c r="A49" s="13" t="s">
        <v>46</v>
      </c>
    </row>
    <row r="50" spans="1:1" x14ac:dyDescent="0.35">
      <c r="A50" s="6" t="s">
        <v>83</v>
      </c>
    </row>
    <row r="51" spans="1:1" x14ac:dyDescent="0.35">
      <c r="A51" s="13" t="s">
        <v>39</v>
      </c>
    </row>
    <row r="52" spans="1:1" x14ac:dyDescent="0.35">
      <c r="A52" s="13" t="s">
        <v>47</v>
      </c>
    </row>
    <row r="53" spans="1:1" x14ac:dyDescent="0.35">
      <c r="A53" s="13" t="s">
        <v>43</v>
      </c>
    </row>
    <row r="54" spans="1:1" x14ac:dyDescent="0.35">
      <c r="A54" s="13" t="s">
        <v>46</v>
      </c>
    </row>
    <row r="55" spans="1:1" x14ac:dyDescent="0.35">
      <c r="A55" s="6" t="s">
        <v>85</v>
      </c>
    </row>
    <row r="56" spans="1:1" x14ac:dyDescent="0.35">
      <c r="A56" s="13" t="s">
        <v>46</v>
      </c>
    </row>
    <row r="57" spans="1:1" x14ac:dyDescent="0.35">
      <c r="A57" s="6" t="s">
        <v>86</v>
      </c>
    </row>
    <row r="58" spans="1:1" x14ac:dyDescent="0.35">
      <c r="A58" s="13" t="s">
        <v>47</v>
      </c>
    </row>
    <row r="59" spans="1:1" x14ac:dyDescent="0.35">
      <c r="A59" s="6" t="s">
        <v>88</v>
      </c>
    </row>
    <row r="60" spans="1:1" x14ac:dyDescent="0.35">
      <c r="A60" s="13" t="s">
        <v>39</v>
      </c>
    </row>
    <row r="61" spans="1:1" x14ac:dyDescent="0.35">
      <c r="A61" s="13" t="s">
        <v>47</v>
      </c>
    </row>
    <row r="62" spans="1:1" x14ac:dyDescent="0.35">
      <c r="A62" s="13" t="s">
        <v>46</v>
      </c>
    </row>
    <row r="63" spans="1:1" x14ac:dyDescent="0.35">
      <c r="A63" s="6" t="s">
        <v>91</v>
      </c>
    </row>
    <row r="64" spans="1:1" x14ac:dyDescent="0.35">
      <c r="A64" s="13" t="s">
        <v>46</v>
      </c>
    </row>
    <row r="65" spans="1:1" x14ac:dyDescent="0.35">
      <c r="A65" s="6" t="s">
        <v>92</v>
      </c>
    </row>
    <row r="66" spans="1:1" x14ac:dyDescent="0.35">
      <c r="A66" s="13" t="s">
        <v>39</v>
      </c>
    </row>
    <row r="67" spans="1:1" x14ac:dyDescent="0.35">
      <c r="A67" s="13" t="s">
        <v>47</v>
      </c>
    </row>
    <row r="68" spans="1:1" x14ac:dyDescent="0.35">
      <c r="A68" s="6" t="s">
        <v>94</v>
      </c>
    </row>
    <row r="69" spans="1:1" x14ac:dyDescent="0.35">
      <c r="A69" s="13" t="s">
        <v>47</v>
      </c>
    </row>
    <row r="70" spans="1:1" x14ac:dyDescent="0.35">
      <c r="A70" s="6" t="s">
        <v>96</v>
      </c>
    </row>
    <row r="71" spans="1:1" x14ac:dyDescent="0.35">
      <c r="A71" s="13" t="s">
        <v>43</v>
      </c>
    </row>
    <row r="72" spans="1:1" x14ac:dyDescent="0.35">
      <c r="A72" s="13" t="s">
        <v>46</v>
      </c>
    </row>
    <row r="73" spans="1:1" x14ac:dyDescent="0.35">
      <c r="A73" s="6" t="s">
        <v>98</v>
      </c>
    </row>
    <row r="74" spans="1:1" x14ac:dyDescent="0.35">
      <c r="A74" s="13" t="s">
        <v>43</v>
      </c>
    </row>
    <row r="75" spans="1:1" x14ac:dyDescent="0.35">
      <c r="A75" s="6" t="s">
        <v>100</v>
      </c>
    </row>
    <row r="76" spans="1:1" x14ac:dyDescent="0.35">
      <c r="A76" s="13" t="s">
        <v>47</v>
      </c>
    </row>
    <row r="77" spans="1:1" x14ac:dyDescent="0.35">
      <c r="A77" s="6" t="s">
        <v>102</v>
      </c>
    </row>
    <row r="78" spans="1:1" x14ac:dyDescent="0.35">
      <c r="A78" s="13" t="s">
        <v>43</v>
      </c>
    </row>
    <row r="79" spans="1:1" x14ac:dyDescent="0.35">
      <c r="A79" s="6" t="s">
        <v>104</v>
      </c>
    </row>
    <row r="80" spans="1:1" x14ac:dyDescent="0.35">
      <c r="A80" s="13" t="s">
        <v>47</v>
      </c>
    </row>
    <row r="81" spans="1:1" x14ac:dyDescent="0.35">
      <c r="A81" s="6" t="s">
        <v>106</v>
      </c>
    </row>
    <row r="82" spans="1:1" x14ac:dyDescent="0.35">
      <c r="A82" s="13" t="s">
        <v>43</v>
      </c>
    </row>
    <row r="83" spans="1:1" x14ac:dyDescent="0.35">
      <c r="A83" s="13" t="s">
        <v>46</v>
      </c>
    </row>
    <row r="84" spans="1:1" x14ac:dyDescent="0.35">
      <c r="A84" s="6" t="s">
        <v>107</v>
      </c>
    </row>
    <row r="85" spans="1:1" x14ac:dyDescent="0.35">
      <c r="A85" s="13" t="s">
        <v>39</v>
      </c>
    </row>
    <row r="86" spans="1:1" x14ac:dyDescent="0.35">
      <c r="A86" s="6" t="s">
        <v>109</v>
      </c>
    </row>
    <row r="87" spans="1:1" x14ac:dyDescent="0.35">
      <c r="A87" s="13" t="s">
        <v>39</v>
      </c>
    </row>
    <row r="88" spans="1:1" x14ac:dyDescent="0.35">
      <c r="A88" s="13" t="s">
        <v>47</v>
      </c>
    </row>
    <row r="89" spans="1:1" x14ac:dyDescent="0.35">
      <c r="A89" s="13" t="s">
        <v>43</v>
      </c>
    </row>
    <row r="90" spans="1:1" x14ac:dyDescent="0.35">
      <c r="A90" s="6" t="s">
        <v>110</v>
      </c>
    </row>
    <row r="91" spans="1:1" x14ac:dyDescent="0.35">
      <c r="A91" s="13" t="s">
        <v>39</v>
      </c>
    </row>
    <row r="92" spans="1:1" x14ac:dyDescent="0.35">
      <c r="A92" s="6" t="s">
        <v>111</v>
      </c>
    </row>
    <row r="93" spans="1:1" x14ac:dyDescent="0.35">
      <c r="A93" s="13" t="s">
        <v>43</v>
      </c>
    </row>
    <row r="94" spans="1:1" x14ac:dyDescent="0.35">
      <c r="A94" s="6" t="s">
        <v>113</v>
      </c>
    </row>
    <row r="95" spans="1:1" x14ac:dyDescent="0.35">
      <c r="A95" s="13" t="s">
        <v>39</v>
      </c>
    </row>
    <row r="96" spans="1:1" x14ac:dyDescent="0.35">
      <c r="A96" s="13" t="s">
        <v>47</v>
      </c>
    </row>
    <row r="97" spans="1:1" x14ac:dyDescent="0.35">
      <c r="A97" s="6" t="s">
        <v>116</v>
      </c>
    </row>
    <row r="98" spans="1:1" x14ac:dyDescent="0.35">
      <c r="A98" s="13" t="s">
        <v>39</v>
      </c>
    </row>
    <row r="99" spans="1:1" x14ac:dyDescent="0.35">
      <c r="A99" s="13" t="s">
        <v>46</v>
      </c>
    </row>
    <row r="100" spans="1:1" x14ac:dyDescent="0.35">
      <c r="A100" s="6" t="s">
        <v>118</v>
      </c>
    </row>
    <row r="101" spans="1:1" x14ac:dyDescent="0.35">
      <c r="A101" s="13" t="s">
        <v>39</v>
      </c>
    </row>
    <row r="102" spans="1:1" x14ac:dyDescent="0.35">
      <c r="A102" s="13" t="s">
        <v>47</v>
      </c>
    </row>
    <row r="103" spans="1:1" x14ac:dyDescent="0.35">
      <c r="A103" s="13" t="s">
        <v>43</v>
      </c>
    </row>
    <row r="104" spans="1:1" x14ac:dyDescent="0.35">
      <c r="A104" s="13" t="s">
        <v>46</v>
      </c>
    </row>
    <row r="105" spans="1:1" x14ac:dyDescent="0.35">
      <c r="A105" s="6" t="s">
        <v>119</v>
      </c>
    </row>
    <row r="106" spans="1:1" x14ac:dyDescent="0.35">
      <c r="A106" s="13" t="s">
        <v>39</v>
      </c>
    </row>
    <row r="107" spans="1:1" x14ac:dyDescent="0.35">
      <c r="A107" s="13" t="s">
        <v>47</v>
      </c>
    </row>
    <row r="108" spans="1:1" x14ac:dyDescent="0.35">
      <c r="A108" s="13" t="s">
        <v>43</v>
      </c>
    </row>
    <row r="109" spans="1:1" x14ac:dyDescent="0.35">
      <c r="A109" s="6" t="s">
        <v>120</v>
      </c>
    </row>
    <row r="110" spans="1:1" x14ac:dyDescent="0.35">
      <c r="A110" s="13" t="s">
        <v>43</v>
      </c>
    </row>
    <row r="111" spans="1:1" x14ac:dyDescent="0.35">
      <c r="A111" s="13" t="s">
        <v>46</v>
      </c>
    </row>
    <row r="112" spans="1:1" x14ac:dyDescent="0.35">
      <c r="A112" s="6" t="s">
        <v>121</v>
      </c>
    </row>
    <row r="113" spans="1:1" x14ac:dyDescent="0.35">
      <c r="A113" s="13" t="s">
        <v>46</v>
      </c>
    </row>
    <row r="114" spans="1:1" x14ac:dyDescent="0.35">
      <c r="A114" s="6" t="s">
        <v>122</v>
      </c>
    </row>
    <row r="115" spans="1:1" x14ac:dyDescent="0.35">
      <c r="A115" s="13" t="s">
        <v>39</v>
      </c>
    </row>
    <row r="116" spans="1:1" x14ac:dyDescent="0.35">
      <c r="A116" s="6" t="s">
        <v>124</v>
      </c>
    </row>
    <row r="117" spans="1:1" x14ac:dyDescent="0.35">
      <c r="A117" s="13" t="s">
        <v>43</v>
      </c>
    </row>
    <row r="118" spans="1:1" x14ac:dyDescent="0.35">
      <c r="A118" s="13" t="s">
        <v>46</v>
      </c>
    </row>
    <row r="119" spans="1:1" x14ac:dyDescent="0.35">
      <c r="A119" s="6" t="s">
        <v>125</v>
      </c>
    </row>
    <row r="120" spans="1:1" x14ac:dyDescent="0.35">
      <c r="A120" s="13" t="s">
        <v>39</v>
      </c>
    </row>
    <row r="121" spans="1:1" x14ac:dyDescent="0.35">
      <c r="A121" s="6" t="s">
        <v>127</v>
      </c>
    </row>
    <row r="122" spans="1:1" x14ac:dyDescent="0.35">
      <c r="A122" s="13" t="s">
        <v>39</v>
      </c>
    </row>
    <row r="123" spans="1:1" x14ac:dyDescent="0.35">
      <c r="A123" s="13" t="s">
        <v>47</v>
      </c>
    </row>
    <row r="124" spans="1:1" x14ac:dyDescent="0.35">
      <c r="A124" s="13" t="s">
        <v>43</v>
      </c>
    </row>
    <row r="125" spans="1:1" x14ac:dyDescent="0.35">
      <c r="A125" s="13" t="s">
        <v>46</v>
      </c>
    </row>
    <row r="126" spans="1:1" x14ac:dyDescent="0.35">
      <c r="A126" s="6" t="s">
        <v>130</v>
      </c>
    </row>
    <row r="127" spans="1:1" x14ac:dyDescent="0.35">
      <c r="A127" s="13" t="s">
        <v>47</v>
      </c>
    </row>
    <row r="128" spans="1:1" x14ac:dyDescent="0.35">
      <c r="A128" s="13" t="s">
        <v>43</v>
      </c>
    </row>
    <row r="129" spans="1:1" x14ac:dyDescent="0.35">
      <c r="A129" s="13" t="s">
        <v>46</v>
      </c>
    </row>
    <row r="130" spans="1:1" x14ac:dyDescent="0.35">
      <c r="A130" s="6" t="s">
        <v>131</v>
      </c>
    </row>
    <row r="131" spans="1:1" x14ac:dyDescent="0.35">
      <c r="A131" s="13" t="s">
        <v>47</v>
      </c>
    </row>
    <row r="132" spans="1:1" x14ac:dyDescent="0.35">
      <c r="A132" s="6" t="s">
        <v>133</v>
      </c>
    </row>
    <row r="133" spans="1:1" x14ac:dyDescent="0.35">
      <c r="A133" s="13" t="s">
        <v>46</v>
      </c>
    </row>
    <row r="134" spans="1:1" x14ac:dyDescent="0.35">
      <c r="A134" s="6" t="s">
        <v>136</v>
      </c>
    </row>
    <row r="135" spans="1:1" x14ac:dyDescent="0.35">
      <c r="A135" s="13" t="s">
        <v>39</v>
      </c>
    </row>
    <row r="136" spans="1:1" x14ac:dyDescent="0.35">
      <c r="A136" s="13" t="s">
        <v>47</v>
      </c>
    </row>
    <row r="137" spans="1:1" x14ac:dyDescent="0.35">
      <c r="A137" s="13" t="s">
        <v>43</v>
      </c>
    </row>
    <row r="138" spans="1:1" x14ac:dyDescent="0.35">
      <c r="A138" s="6" t="s">
        <v>137</v>
      </c>
    </row>
    <row r="139" spans="1:1" x14ac:dyDescent="0.35">
      <c r="A139" s="13" t="s">
        <v>39</v>
      </c>
    </row>
    <row r="140" spans="1:1" x14ac:dyDescent="0.35">
      <c r="A140" s="6" t="s">
        <v>856</v>
      </c>
    </row>
    <row r="141" spans="1:1" x14ac:dyDescent="0.35">
      <c r="A141" s="13" t="s">
        <v>43</v>
      </c>
    </row>
    <row r="142" spans="1:1" x14ac:dyDescent="0.35">
      <c r="A142" s="13" t="s">
        <v>46</v>
      </c>
    </row>
    <row r="143" spans="1:1" x14ac:dyDescent="0.35">
      <c r="A143" s="6" t="s">
        <v>858</v>
      </c>
    </row>
    <row r="144" spans="1:1" x14ac:dyDescent="0.35">
      <c r="A144" s="13" t="s">
        <v>47</v>
      </c>
    </row>
    <row r="145" spans="1:1" x14ac:dyDescent="0.35">
      <c r="A145" s="6" t="s">
        <v>139</v>
      </c>
    </row>
    <row r="146" spans="1:1" x14ac:dyDescent="0.35">
      <c r="A146" s="13" t="s">
        <v>39</v>
      </c>
    </row>
    <row r="147" spans="1:1" x14ac:dyDescent="0.35">
      <c r="A147" s="6" t="s">
        <v>140</v>
      </c>
    </row>
    <row r="148" spans="1:1" x14ac:dyDescent="0.35">
      <c r="A148" s="13" t="s">
        <v>39</v>
      </c>
    </row>
    <row r="149" spans="1:1" x14ac:dyDescent="0.35">
      <c r="A149" s="13" t="s">
        <v>47</v>
      </c>
    </row>
    <row r="150" spans="1:1" x14ac:dyDescent="0.35">
      <c r="A150" s="13" t="s">
        <v>43</v>
      </c>
    </row>
    <row r="151" spans="1:1" x14ac:dyDescent="0.35">
      <c r="A151" s="13" t="s">
        <v>46</v>
      </c>
    </row>
    <row r="152" spans="1:1" x14ac:dyDescent="0.35">
      <c r="A152" s="6" t="s">
        <v>141</v>
      </c>
    </row>
    <row r="153" spans="1:1" x14ac:dyDescent="0.35">
      <c r="A153" s="13" t="s">
        <v>39</v>
      </c>
    </row>
    <row r="154" spans="1:1" x14ac:dyDescent="0.35">
      <c r="A154" s="13" t="s">
        <v>47</v>
      </c>
    </row>
    <row r="155" spans="1:1" x14ac:dyDescent="0.35">
      <c r="A155" s="13" t="s">
        <v>43</v>
      </c>
    </row>
    <row r="156" spans="1:1" x14ac:dyDescent="0.35">
      <c r="A156" s="6" t="s">
        <v>142</v>
      </c>
    </row>
    <row r="157" spans="1:1" x14ac:dyDescent="0.35">
      <c r="A157" s="13" t="s">
        <v>43</v>
      </c>
    </row>
    <row r="158" spans="1:1" x14ac:dyDescent="0.35">
      <c r="A158" s="6" t="s">
        <v>144</v>
      </c>
    </row>
    <row r="159" spans="1:1" x14ac:dyDescent="0.35">
      <c r="A159" s="13" t="s">
        <v>46</v>
      </c>
    </row>
    <row r="160" spans="1:1" x14ac:dyDescent="0.35">
      <c r="A160" s="6" t="s">
        <v>147</v>
      </c>
    </row>
    <row r="161" spans="1:1" x14ac:dyDescent="0.35">
      <c r="A161" s="13" t="s">
        <v>47</v>
      </c>
    </row>
    <row r="162" spans="1:1" x14ac:dyDescent="0.35">
      <c r="A162" s="13" t="s">
        <v>43</v>
      </c>
    </row>
    <row r="163" spans="1:1" x14ac:dyDescent="0.35">
      <c r="A163" s="13" t="s">
        <v>46</v>
      </c>
    </row>
    <row r="164" spans="1:1" x14ac:dyDescent="0.35">
      <c r="A164" s="6" t="s">
        <v>145</v>
      </c>
    </row>
    <row r="165" spans="1:1" x14ac:dyDescent="0.35">
      <c r="A165" s="13" t="s">
        <v>46</v>
      </c>
    </row>
    <row r="166" spans="1:1" x14ac:dyDescent="0.35">
      <c r="A166" s="6" t="s">
        <v>148</v>
      </c>
    </row>
    <row r="167" spans="1:1" x14ac:dyDescent="0.35">
      <c r="A167" s="13" t="s">
        <v>39</v>
      </c>
    </row>
    <row r="168" spans="1:1" x14ac:dyDescent="0.35">
      <c r="A168" s="6" t="s">
        <v>150</v>
      </c>
    </row>
    <row r="169" spans="1:1" x14ac:dyDescent="0.35">
      <c r="A169" s="13" t="s">
        <v>47</v>
      </c>
    </row>
    <row r="170" spans="1:1" x14ac:dyDescent="0.35">
      <c r="A170" s="6" t="s">
        <v>151</v>
      </c>
    </row>
    <row r="171" spans="1:1" x14ac:dyDescent="0.35">
      <c r="A171" s="13" t="s">
        <v>43</v>
      </c>
    </row>
    <row r="172" spans="1:1" x14ac:dyDescent="0.35">
      <c r="A172" s="6" t="s">
        <v>153</v>
      </c>
    </row>
    <row r="173" spans="1:1" x14ac:dyDescent="0.35">
      <c r="A173" s="13" t="s">
        <v>46</v>
      </c>
    </row>
    <row r="174" spans="1:1" x14ac:dyDescent="0.35">
      <c r="A174" s="6" t="s">
        <v>149</v>
      </c>
    </row>
    <row r="175" spans="1:1" x14ac:dyDescent="0.35">
      <c r="A175" s="13" t="s">
        <v>46</v>
      </c>
    </row>
    <row r="176" spans="1:1" x14ac:dyDescent="0.35">
      <c r="A176" s="6" t="s">
        <v>155</v>
      </c>
    </row>
    <row r="177" spans="1:1" x14ac:dyDescent="0.35">
      <c r="A177" s="13" t="s">
        <v>47</v>
      </c>
    </row>
    <row r="178" spans="1:1" x14ac:dyDescent="0.35">
      <c r="A178" s="13" t="s">
        <v>43</v>
      </c>
    </row>
    <row r="179" spans="1:1" x14ac:dyDescent="0.35">
      <c r="A179" s="13" t="s">
        <v>46</v>
      </c>
    </row>
    <row r="180" spans="1:1" x14ac:dyDescent="0.35">
      <c r="A180" s="6" t="s">
        <v>156</v>
      </c>
    </row>
    <row r="181" spans="1:1" x14ac:dyDescent="0.35">
      <c r="A181" s="13" t="s">
        <v>39</v>
      </c>
    </row>
    <row r="182" spans="1:1" x14ac:dyDescent="0.35">
      <c r="A182" s="13" t="s">
        <v>47</v>
      </c>
    </row>
    <row r="183" spans="1:1" x14ac:dyDescent="0.35">
      <c r="A183" s="13" t="s">
        <v>43</v>
      </c>
    </row>
    <row r="184" spans="1:1" x14ac:dyDescent="0.35">
      <c r="A184" s="13" t="s">
        <v>46</v>
      </c>
    </row>
    <row r="185" spans="1:1" x14ac:dyDescent="0.35">
      <c r="A185" s="6" t="s">
        <v>157</v>
      </c>
    </row>
    <row r="186" spans="1:1" x14ac:dyDescent="0.35">
      <c r="A186" s="13" t="s">
        <v>39</v>
      </c>
    </row>
    <row r="187" spans="1:1" x14ac:dyDescent="0.35">
      <c r="A187" s="13" t="s">
        <v>47</v>
      </c>
    </row>
    <row r="188" spans="1:1" x14ac:dyDescent="0.35">
      <c r="A188" s="13" t="s">
        <v>43</v>
      </c>
    </row>
    <row r="189" spans="1:1" x14ac:dyDescent="0.35">
      <c r="A189" s="13" t="s">
        <v>46</v>
      </c>
    </row>
    <row r="190" spans="1:1" x14ac:dyDescent="0.35">
      <c r="A190" s="6" t="s">
        <v>158</v>
      </c>
    </row>
    <row r="191" spans="1:1" x14ac:dyDescent="0.35">
      <c r="A191" s="13" t="s">
        <v>39</v>
      </c>
    </row>
    <row r="192" spans="1:1" x14ac:dyDescent="0.35">
      <c r="A192" s="13" t="s">
        <v>47</v>
      </c>
    </row>
    <row r="193" spans="1:1" x14ac:dyDescent="0.35">
      <c r="A193" s="13" t="s">
        <v>43</v>
      </c>
    </row>
    <row r="194" spans="1:1" x14ac:dyDescent="0.35">
      <c r="A194" s="13" t="s">
        <v>46</v>
      </c>
    </row>
    <row r="195" spans="1:1" x14ac:dyDescent="0.35">
      <c r="A195" s="6" t="s">
        <v>159</v>
      </c>
    </row>
    <row r="196" spans="1:1" x14ac:dyDescent="0.35">
      <c r="A196" s="13" t="s">
        <v>39</v>
      </c>
    </row>
    <row r="197" spans="1:1" x14ac:dyDescent="0.35">
      <c r="A197" s="13" t="s">
        <v>47</v>
      </c>
    </row>
    <row r="198" spans="1:1" x14ac:dyDescent="0.35">
      <c r="A198" s="13" t="s">
        <v>43</v>
      </c>
    </row>
    <row r="199" spans="1:1" x14ac:dyDescent="0.35">
      <c r="A199" s="6" t="s">
        <v>160</v>
      </c>
    </row>
    <row r="200" spans="1:1" x14ac:dyDescent="0.35">
      <c r="A200" s="13" t="s">
        <v>39</v>
      </c>
    </row>
    <row r="201" spans="1:1" x14ac:dyDescent="0.35">
      <c r="A201" s="13" t="s">
        <v>47</v>
      </c>
    </row>
    <row r="202" spans="1:1" x14ac:dyDescent="0.35">
      <c r="A202" s="6" t="s">
        <v>161</v>
      </c>
    </row>
    <row r="203" spans="1:1" x14ac:dyDescent="0.35">
      <c r="A203" s="13" t="s">
        <v>39</v>
      </c>
    </row>
    <row r="204" spans="1:1" x14ac:dyDescent="0.35">
      <c r="A204" s="13" t="s">
        <v>47</v>
      </c>
    </row>
    <row r="205" spans="1:1" x14ac:dyDescent="0.35">
      <c r="A205" s="13" t="s">
        <v>43</v>
      </c>
    </row>
    <row r="206" spans="1:1" x14ac:dyDescent="0.35">
      <c r="A206" s="13" t="s">
        <v>46</v>
      </c>
    </row>
    <row r="207" spans="1:1" x14ac:dyDescent="0.35">
      <c r="A207" s="6" t="s">
        <v>162</v>
      </c>
    </row>
    <row r="208" spans="1:1" x14ac:dyDescent="0.35">
      <c r="A208" s="13" t="s">
        <v>43</v>
      </c>
    </row>
    <row r="209" spans="1:1" x14ac:dyDescent="0.35">
      <c r="A209" s="13" t="s">
        <v>46</v>
      </c>
    </row>
    <row r="210" spans="1:1" x14ac:dyDescent="0.35">
      <c r="A210" s="6" t="s">
        <v>163</v>
      </c>
    </row>
    <row r="211" spans="1:1" x14ac:dyDescent="0.35">
      <c r="A211" s="13" t="s">
        <v>39</v>
      </c>
    </row>
    <row r="212" spans="1:1" x14ac:dyDescent="0.35">
      <c r="A212" s="13" t="s">
        <v>47</v>
      </c>
    </row>
    <row r="213" spans="1:1" x14ac:dyDescent="0.35">
      <c r="A213" s="13" t="s">
        <v>43</v>
      </c>
    </row>
    <row r="214" spans="1:1" x14ac:dyDescent="0.35">
      <c r="A214" s="13" t="s">
        <v>46</v>
      </c>
    </row>
    <row r="215" spans="1:1" x14ac:dyDescent="0.35">
      <c r="A215" s="6" t="s">
        <v>164</v>
      </c>
    </row>
    <row r="216" spans="1:1" x14ac:dyDescent="0.35">
      <c r="A216" s="13" t="s">
        <v>47</v>
      </c>
    </row>
    <row r="217" spans="1:1" x14ac:dyDescent="0.35">
      <c r="A217" s="6" t="s">
        <v>165</v>
      </c>
    </row>
    <row r="218" spans="1:1" x14ac:dyDescent="0.35">
      <c r="A218" s="13" t="s">
        <v>43</v>
      </c>
    </row>
    <row r="219" spans="1:1" x14ac:dyDescent="0.35">
      <c r="A219" s="13" t="s">
        <v>46</v>
      </c>
    </row>
    <row r="220" spans="1:1" x14ac:dyDescent="0.35">
      <c r="A220" s="6" t="s">
        <v>166</v>
      </c>
    </row>
    <row r="221" spans="1:1" x14ac:dyDescent="0.35">
      <c r="A221" s="13" t="s">
        <v>39</v>
      </c>
    </row>
    <row r="222" spans="1:1" x14ac:dyDescent="0.35">
      <c r="A222" s="13" t="s">
        <v>47</v>
      </c>
    </row>
    <row r="223" spans="1:1" x14ac:dyDescent="0.35">
      <c r="A223" s="13" t="s">
        <v>43</v>
      </c>
    </row>
    <row r="224" spans="1:1" x14ac:dyDescent="0.35">
      <c r="A224" s="6" t="s">
        <v>168</v>
      </c>
    </row>
    <row r="225" spans="1:1" x14ac:dyDescent="0.35">
      <c r="A225" s="13" t="s">
        <v>46</v>
      </c>
    </row>
    <row r="226" spans="1:1" x14ac:dyDescent="0.35">
      <c r="A226" s="6" t="s">
        <v>171</v>
      </c>
    </row>
    <row r="227" spans="1:1" x14ac:dyDescent="0.35">
      <c r="A227" s="13" t="s">
        <v>39</v>
      </c>
    </row>
    <row r="228" spans="1:1" x14ac:dyDescent="0.35">
      <c r="A228" s="6" t="s">
        <v>173</v>
      </c>
    </row>
    <row r="229" spans="1:1" x14ac:dyDescent="0.35">
      <c r="A229" s="13" t="s">
        <v>47</v>
      </c>
    </row>
    <row r="230" spans="1:1" x14ac:dyDescent="0.35">
      <c r="A230" s="13" t="s">
        <v>43</v>
      </c>
    </row>
    <row r="231" spans="1:1" x14ac:dyDescent="0.35">
      <c r="A231" s="13" t="s">
        <v>46</v>
      </c>
    </row>
    <row r="232" spans="1:1" x14ac:dyDescent="0.35">
      <c r="A232" s="6" t="s">
        <v>175</v>
      </c>
    </row>
    <row r="233" spans="1:1" x14ac:dyDescent="0.35">
      <c r="A233" s="13" t="s">
        <v>47</v>
      </c>
    </row>
    <row r="234" spans="1:1" x14ac:dyDescent="0.35">
      <c r="A234" s="13" t="s">
        <v>43</v>
      </c>
    </row>
    <row r="235" spans="1:1" x14ac:dyDescent="0.35">
      <c r="A235" s="13" t="s">
        <v>46</v>
      </c>
    </row>
    <row r="236" spans="1:1" x14ac:dyDescent="0.35">
      <c r="A236" s="6" t="s">
        <v>176</v>
      </c>
    </row>
    <row r="237" spans="1:1" x14ac:dyDescent="0.35">
      <c r="A237" s="13" t="s">
        <v>47</v>
      </c>
    </row>
    <row r="238" spans="1:1" x14ac:dyDescent="0.35">
      <c r="A238" s="6" t="s">
        <v>177</v>
      </c>
    </row>
    <row r="239" spans="1:1" x14ac:dyDescent="0.35">
      <c r="A239" s="13" t="s">
        <v>39</v>
      </c>
    </row>
    <row r="240" spans="1:1" x14ac:dyDescent="0.35">
      <c r="A240" s="13" t="s">
        <v>43</v>
      </c>
    </row>
    <row r="241" spans="1:1" x14ac:dyDescent="0.35">
      <c r="A241" s="13" t="s">
        <v>46</v>
      </c>
    </row>
    <row r="242" spans="1:1" x14ac:dyDescent="0.35">
      <c r="A242" s="6" t="s">
        <v>178</v>
      </c>
    </row>
    <row r="243" spans="1:1" x14ac:dyDescent="0.35">
      <c r="A243" s="13" t="s">
        <v>39</v>
      </c>
    </row>
    <row r="244" spans="1:1" x14ac:dyDescent="0.35">
      <c r="A244" s="13" t="s">
        <v>47</v>
      </c>
    </row>
    <row r="245" spans="1:1" x14ac:dyDescent="0.35">
      <c r="A245" s="13" t="s">
        <v>43</v>
      </c>
    </row>
    <row r="246" spans="1:1" x14ac:dyDescent="0.35">
      <c r="A246" s="6" t="s">
        <v>179</v>
      </c>
    </row>
    <row r="247" spans="1:1" x14ac:dyDescent="0.35">
      <c r="A247" s="13" t="s">
        <v>39</v>
      </c>
    </row>
    <row r="248" spans="1:1" x14ac:dyDescent="0.35">
      <c r="A248" s="13" t="s">
        <v>47</v>
      </c>
    </row>
    <row r="249" spans="1:1" x14ac:dyDescent="0.35">
      <c r="A249" s="13" t="s">
        <v>43</v>
      </c>
    </row>
    <row r="250" spans="1:1" x14ac:dyDescent="0.35">
      <c r="A250" s="13" t="s">
        <v>46</v>
      </c>
    </row>
    <row r="251" spans="1:1" x14ac:dyDescent="0.35">
      <c r="A251" s="6" t="s">
        <v>180</v>
      </c>
    </row>
    <row r="252" spans="1:1" x14ac:dyDescent="0.35">
      <c r="A252" s="13" t="s">
        <v>46</v>
      </c>
    </row>
    <row r="253" spans="1:1" x14ac:dyDescent="0.35">
      <c r="A253" s="6" t="s">
        <v>181</v>
      </c>
    </row>
    <row r="254" spans="1:1" x14ac:dyDescent="0.35">
      <c r="A254" s="13" t="s">
        <v>39</v>
      </c>
    </row>
    <row r="255" spans="1:1" x14ac:dyDescent="0.35">
      <c r="A255" s="13" t="s">
        <v>43</v>
      </c>
    </row>
    <row r="256" spans="1:1" x14ac:dyDescent="0.35">
      <c r="A256" s="13" t="s">
        <v>46</v>
      </c>
    </row>
    <row r="257" spans="1:1" x14ac:dyDescent="0.35">
      <c r="A257" s="6" t="s">
        <v>182</v>
      </c>
    </row>
    <row r="258" spans="1:1" x14ac:dyDescent="0.35">
      <c r="A258" s="13" t="s">
        <v>39</v>
      </c>
    </row>
    <row r="259" spans="1:1" x14ac:dyDescent="0.35">
      <c r="A259" s="13" t="s">
        <v>47</v>
      </c>
    </row>
    <row r="260" spans="1:1" x14ac:dyDescent="0.35">
      <c r="A260" s="6" t="s">
        <v>183</v>
      </c>
    </row>
    <row r="261" spans="1:1" x14ac:dyDescent="0.35">
      <c r="A261" s="13" t="s">
        <v>43</v>
      </c>
    </row>
    <row r="262" spans="1:1" x14ac:dyDescent="0.35">
      <c r="A262" s="6" t="s">
        <v>185</v>
      </c>
    </row>
    <row r="263" spans="1:1" x14ac:dyDescent="0.35">
      <c r="A263" s="13" t="s">
        <v>39</v>
      </c>
    </row>
    <row r="264" spans="1:1" x14ac:dyDescent="0.35">
      <c r="A264" s="6" t="s">
        <v>186</v>
      </c>
    </row>
    <row r="265" spans="1:1" x14ac:dyDescent="0.35">
      <c r="A265" s="13" t="s">
        <v>39</v>
      </c>
    </row>
    <row r="266" spans="1:1" x14ac:dyDescent="0.35">
      <c r="A266" s="13" t="s">
        <v>43</v>
      </c>
    </row>
    <row r="267" spans="1:1" x14ac:dyDescent="0.35">
      <c r="A267" s="6" t="s">
        <v>188</v>
      </c>
    </row>
    <row r="268" spans="1:1" x14ac:dyDescent="0.35">
      <c r="A268" s="13" t="s">
        <v>39</v>
      </c>
    </row>
    <row r="269" spans="1:1" x14ac:dyDescent="0.35">
      <c r="A269" s="6" t="s">
        <v>189</v>
      </c>
    </row>
    <row r="270" spans="1:1" x14ac:dyDescent="0.35">
      <c r="A270" s="13" t="s">
        <v>47</v>
      </c>
    </row>
    <row r="271" spans="1:1" x14ac:dyDescent="0.35">
      <c r="A271" s="13" t="s">
        <v>43</v>
      </c>
    </row>
    <row r="272" spans="1:1" x14ac:dyDescent="0.35">
      <c r="A272" s="13" t="s">
        <v>46</v>
      </c>
    </row>
    <row r="273" spans="1:1" x14ac:dyDescent="0.35">
      <c r="A273" s="6" t="s">
        <v>190</v>
      </c>
    </row>
    <row r="274" spans="1:1" x14ac:dyDescent="0.35">
      <c r="A274" s="13" t="s">
        <v>39</v>
      </c>
    </row>
    <row r="275" spans="1:1" x14ac:dyDescent="0.35">
      <c r="A275" s="13" t="s">
        <v>47</v>
      </c>
    </row>
    <row r="276" spans="1:1" x14ac:dyDescent="0.35">
      <c r="A276" s="13" t="s">
        <v>43</v>
      </c>
    </row>
    <row r="277" spans="1:1" x14ac:dyDescent="0.35">
      <c r="A277" s="13" t="s">
        <v>46</v>
      </c>
    </row>
    <row r="278" spans="1:1" x14ac:dyDescent="0.35">
      <c r="A278" s="6" t="s">
        <v>192</v>
      </c>
    </row>
    <row r="279" spans="1:1" x14ac:dyDescent="0.35">
      <c r="A279" s="13" t="s">
        <v>47</v>
      </c>
    </row>
    <row r="280" spans="1:1" x14ac:dyDescent="0.35">
      <c r="A280" s="6" t="s">
        <v>193</v>
      </c>
    </row>
    <row r="281" spans="1:1" x14ac:dyDescent="0.35">
      <c r="A281" s="13" t="s">
        <v>47</v>
      </c>
    </row>
    <row r="282" spans="1:1" x14ac:dyDescent="0.35">
      <c r="A282" s="13" t="s">
        <v>43</v>
      </c>
    </row>
    <row r="283" spans="1:1" x14ac:dyDescent="0.35">
      <c r="A283" s="13" t="s">
        <v>46</v>
      </c>
    </row>
    <row r="284" spans="1:1" x14ac:dyDescent="0.35">
      <c r="A284" s="6" t="s">
        <v>194</v>
      </c>
    </row>
    <row r="285" spans="1:1" x14ac:dyDescent="0.35">
      <c r="A285" s="13" t="s">
        <v>39</v>
      </c>
    </row>
    <row r="286" spans="1:1" x14ac:dyDescent="0.35">
      <c r="A286" s="6" t="s">
        <v>195</v>
      </c>
    </row>
    <row r="287" spans="1:1" x14ac:dyDescent="0.35">
      <c r="A287" s="13" t="s">
        <v>39</v>
      </c>
    </row>
    <row r="288" spans="1:1" x14ac:dyDescent="0.35">
      <c r="A288" s="13" t="s">
        <v>47</v>
      </c>
    </row>
    <row r="289" spans="1:1" x14ac:dyDescent="0.35">
      <c r="A289" s="13" t="s">
        <v>43</v>
      </c>
    </row>
    <row r="290" spans="1:1" x14ac:dyDescent="0.35">
      <c r="A290" s="6" t="s">
        <v>196</v>
      </c>
    </row>
    <row r="291" spans="1:1" x14ac:dyDescent="0.35">
      <c r="A291" s="13" t="s">
        <v>46</v>
      </c>
    </row>
    <row r="292" spans="1:1" x14ac:dyDescent="0.35">
      <c r="A292" s="6" t="s">
        <v>197</v>
      </c>
    </row>
    <row r="293" spans="1:1" x14ac:dyDescent="0.35">
      <c r="A293" s="13" t="s">
        <v>43</v>
      </c>
    </row>
    <row r="294" spans="1:1" x14ac:dyDescent="0.35">
      <c r="A294" s="13" t="s">
        <v>46</v>
      </c>
    </row>
    <row r="295" spans="1:1" x14ac:dyDescent="0.35">
      <c r="A295" s="6" t="s">
        <v>199</v>
      </c>
    </row>
    <row r="296" spans="1:1" x14ac:dyDescent="0.35">
      <c r="A296" s="13" t="s">
        <v>46</v>
      </c>
    </row>
    <row r="297" spans="1:1" x14ac:dyDescent="0.35">
      <c r="A297" s="6" t="s">
        <v>200</v>
      </c>
    </row>
    <row r="298" spans="1:1" x14ac:dyDescent="0.35">
      <c r="A298" s="13" t="s">
        <v>46</v>
      </c>
    </row>
    <row r="299" spans="1:1" x14ac:dyDescent="0.35">
      <c r="A299" s="6" t="s">
        <v>201</v>
      </c>
    </row>
    <row r="300" spans="1:1" x14ac:dyDescent="0.35">
      <c r="A300" s="13" t="s">
        <v>47</v>
      </c>
    </row>
    <row r="301" spans="1:1" x14ac:dyDescent="0.35">
      <c r="A301" s="6" t="s">
        <v>203</v>
      </c>
    </row>
    <row r="302" spans="1:1" x14ac:dyDescent="0.35">
      <c r="A302" s="13" t="s">
        <v>43</v>
      </c>
    </row>
    <row r="303" spans="1:1" x14ac:dyDescent="0.35">
      <c r="A303" s="13" t="s">
        <v>46</v>
      </c>
    </row>
    <row r="304" spans="1:1" x14ac:dyDescent="0.35">
      <c r="A304" s="6" t="s">
        <v>204</v>
      </c>
    </row>
    <row r="305" spans="1:1" x14ac:dyDescent="0.35">
      <c r="A305" s="13" t="s">
        <v>39</v>
      </c>
    </row>
    <row r="306" spans="1:1" x14ac:dyDescent="0.35">
      <c r="A306" s="6" t="s">
        <v>206</v>
      </c>
    </row>
    <row r="307" spans="1:1" x14ac:dyDescent="0.35">
      <c r="A307" s="13" t="s">
        <v>39</v>
      </c>
    </row>
    <row r="308" spans="1:1" x14ac:dyDescent="0.35">
      <c r="A308" s="13" t="s">
        <v>47</v>
      </c>
    </row>
    <row r="309" spans="1:1" x14ac:dyDescent="0.35">
      <c r="A309" s="6" t="s">
        <v>207</v>
      </c>
    </row>
    <row r="310" spans="1:1" x14ac:dyDescent="0.35">
      <c r="A310" s="13" t="s">
        <v>46</v>
      </c>
    </row>
    <row r="311" spans="1:1" x14ac:dyDescent="0.35">
      <c r="A311" s="6" t="s">
        <v>208</v>
      </c>
    </row>
    <row r="312" spans="1:1" x14ac:dyDescent="0.35">
      <c r="A312" s="13" t="s">
        <v>39</v>
      </c>
    </row>
    <row r="313" spans="1:1" x14ac:dyDescent="0.35">
      <c r="A313" s="6" t="s">
        <v>209</v>
      </c>
    </row>
    <row r="314" spans="1:1" x14ac:dyDescent="0.35">
      <c r="A314" s="13" t="s">
        <v>47</v>
      </c>
    </row>
    <row r="315" spans="1:1" x14ac:dyDescent="0.35">
      <c r="A315" s="6" t="s">
        <v>210</v>
      </c>
    </row>
    <row r="316" spans="1:1" x14ac:dyDescent="0.35">
      <c r="A316" s="13" t="s">
        <v>39</v>
      </c>
    </row>
    <row r="317" spans="1:1" x14ac:dyDescent="0.35">
      <c r="A317" s="13" t="s">
        <v>47</v>
      </c>
    </row>
    <row r="318" spans="1:1" x14ac:dyDescent="0.35">
      <c r="A318" s="6" t="s">
        <v>211</v>
      </c>
    </row>
    <row r="319" spans="1:1" x14ac:dyDescent="0.35">
      <c r="A319" s="13" t="s">
        <v>39</v>
      </c>
    </row>
    <row r="320" spans="1:1" x14ac:dyDescent="0.35">
      <c r="A320" s="6" t="s">
        <v>212</v>
      </c>
    </row>
    <row r="321" spans="1:1" x14ac:dyDescent="0.35">
      <c r="A321" s="13" t="s">
        <v>43</v>
      </c>
    </row>
    <row r="322" spans="1:1" x14ac:dyDescent="0.35">
      <c r="A322" s="13" t="s">
        <v>46</v>
      </c>
    </row>
    <row r="323" spans="1:1" x14ac:dyDescent="0.35">
      <c r="A323" s="6" t="s">
        <v>213</v>
      </c>
    </row>
    <row r="324" spans="1:1" x14ac:dyDescent="0.35">
      <c r="A324" s="13" t="s">
        <v>46</v>
      </c>
    </row>
    <row r="325" spans="1:1" x14ac:dyDescent="0.35">
      <c r="A325" s="6" t="s">
        <v>215</v>
      </c>
    </row>
    <row r="326" spans="1:1" x14ac:dyDescent="0.35">
      <c r="A326" s="13" t="s">
        <v>47</v>
      </c>
    </row>
    <row r="327" spans="1:1" x14ac:dyDescent="0.35">
      <c r="A327" s="13" t="s">
        <v>43</v>
      </c>
    </row>
    <row r="328" spans="1:1" x14ac:dyDescent="0.35">
      <c r="A328" s="6" t="s">
        <v>217</v>
      </c>
    </row>
    <row r="329" spans="1:1" x14ac:dyDescent="0.35">
      <c r="A329" s="13" t="s">
        <v>39</v>
      </c>
    </row>
    <row r="330" spans="1:1" x14ac:dyDescent="0.35">
      <c r="A330" s="13" t="s">
        <v>47</v>
      </c>
    </row>
    <row r="331" spans="1:1" x14ac:dyDescent="0.35">
      <c r="A331" s="6" t="s">
        <v>221</v>
      </c>
    </row>
    <row r="332" spans="1:1" x14ac:dyDescent="0.35">
      <c r="A332" s="13" t="s">
        <v>46</v>
      </c>
    </row>
    <row r="333" spans="1:1" x14ac:dyDescent="0.35">
      <c r="A333" s="6" t="s">
        <v>222</v>
      </c>
    </row>
    <row r="334" spans="1:1" x14ac:dyDescent="0.35">
      <c r="A334" s="13" t="s">
        <v>39</v>
      </c>
    </row>
    <row r="335" spans="1:1" x14ac:dyDescent="0.35">
      <c r="A335" s="6" t="s">
        <v>223</v>
      </c>
    </row>
    <row r="336" spans="1:1" x14ac:dyDescent="0.35">
      <c r="A336" s="13" t="s">
        <v>46</v>
      </c>
    </row>
    <row r="337" spans="1:1" x14ac:dyDescent="0.35">
      <c r="A337" s="6" t="s">
        <v>224</v>
      </c>
    </row>
    <row r="338" spans="1:1" x14ac:dyDescent="0.35">
      <c r="A338" s="13" t="s">
        <v>47</v>
      </c>
    </row>
    <row r="339" spans="1:1" x14ac:dyDescent="0.35">
      <c r="A339" s="13" t="s">
        <v>43</v>
      </c>
    </row>
    <row r="340" spans="1:1" x14ac:dyDescent="0.35">
      <c r="A340" s="13" t="s">
        <v>46</v>
      </c>
    </row>
    <row r="341" spans="1:1" x14ac:dyDescent="0.35">
      <c r="A341" s="6" t="s">
        <v>225</v>
      </c>
    </row>
    <row r="342" spans="1:1" x14ac:dyDescent="0.35">
      <c r="A342" s="13" t="s">
        <v>39</v>
      </c>
    </row>
    <row r="343" spans="1:1" x14ac:dyDescent="0.35">
      <c r="A343" s="13" t="s">
        <v>47</v>
      </c>
    </row>
    <row r="344" spans="1:1" x14ac:dyDescent="0.35">
      <c r="A344" s="13" t="s">
        <v>43</v>
      </c>
    </row>
    <row r="345" spans="1:1" x14ac:dyDescent="0.35">
      <c r="A345" s="13" t="s">
        <v>46</v>
      </c>
    </row>
    <row r="346" spans="1:1" x14ac:dyDescent="0.35">
      <c r="A346" s="6" t="s">
        <v>226</v>
      </c>
    </row>
    <row r="347" spans="1:1" x14ac:dyDescent="0.35">
      <c r="A347" s="13" t="s">
        <v>39</v>
      </c>
    </row>
    <row r="348" spans="1:1" x14ac:dyDescent="0.35">
      <c r="A348" s="6" t="s">
        <v>227</v>
      </c>
    </row>
    <row r="349" spans="1:1" x14ac:dyDescent="0.35">
      <c r="A349" s="13" t="s">
        <v>39</v>
      </c>
    </row>
    <row r="350" spans="1:1" x14ac:dyDescent="0.35">
      <c r="A350" s="6" t="s">
        <v>228</v>
      </c>
    </row>
    <row r="351" spans="1:1" x14ac:dyDescent="0.35">
      <c r="A351" s="13" t="s">
        <v>39</v>
      </c>
    </row>
    <row r="352" spans="1:1" x14ac:dyDescent="0.35">
      <c r="A352" s="6" t="s">
        <v>229</v>
      </c>
    </row>
    <row r="353" spans="1:1" x14ac:dyDescent="0.35">
      <c r="A353" s="13" t="s">
        <v>39</v>
      </c>
    </row>
    <row r="354" spans="1:1" x14ac:dyDescent="0.35">
      <c r="A354" s="6" t="s">
        <v>230</v>
      </c>
    </row>
    <row r="355" spans="1:1" x14ac:dyDescent="0.35">
      <c r="A355" s="13" t="s">
        <v>39</v>
      </c>
    </row>
    <row r="356" spans="1:1" x14ac:dyDescent="0.35">
      <c r="A356" s="6" t="s">
        <v>219</v>
      </c>
    </row>
    <row r="357" spans="1:1" x14ac:dyDescent="0.35">
      <c r="A357" s="13" t="s">
        <v>39</v>
      </c>
    </row>
    <row r="358" spans="1:1" x14ac:dyDescent="0.35">
      <c r="A358" s="13" t="s">
        <v>47</v>
      </c>
    </row>
    <row r="359" spans="1:1" x14ac:dyDescent="0.35">
      <c r="A359" s="13" t="s">
        <v>43</v>
      </c>
    </row>
    <row r="360" spans="1:1" x14ac:dyDescent="0.35">
      <c r="A360" s="13" t="s">
        <v>46</v>
      </c>
    </row>
    <row r="361" spans="1:1" x14ac:dyDescent="0.35">
      <c r="A361" s="6" t="s">
        <v>231</v>
      </c>
    </row>
    <row r="362" spans="1:1" x14ac:dyDescent="0.35">
      <c r="A362" s="13" t="s">
        <v>43</v>
      </c>
    </row>
    <row r="363" spans="1:1" x14ac:dyDescent="0.35">
      <c r="A363" s="13" t="s">
        <v>46</v>
      </c>
    </row>
    <row r="364" spans="1:1" x14ac:dyDescent="0.35">
      <c r="A364" s="6" t="s">
        <v>233</v>
      </c>
    </row>
    <row r="365" spans="1:1" x14ac:dyDescent="0.35">
      <c r="A365" s="13" t="s">
        <v>39</v>
      </c>
    </row>
    <row r="366" spans="1:1" x14ac:dyDescent="0.35">
      <c r="A366" s="13" t="s">
        <v>47</v>
      </c>
    </row>
    <row r="367" spans="1:1" x14ac:dyDescent="0.35">
      <c r="A367" s="13" t="s">
        <v>43</v>
      </c>
    </row>
    <row r="368" spans="1:1" x14ac:dyDescent="0.35">
      <c r="A368" s="13" t="s">
        <v>46</v>
      </c>
    </row>
    <row r="369" spans="1:1" x14ac:dyDescent="0.35">
      <c r="A369" s="6" t="s">
        <v>234</v>
      </c>
    </row>
    <row r="370" spans="1:1" x14ac:dyDescent="0.35">
      <c r="A370" s="13" t="s">
        <v>39</v>
      </c>
    </row>
    <row r="371" spans="1:1" x14ac:dyDescent="0.35">
      <c r="A371" s="13" t="s">
        <v>47</v>
      </c>
    </row>
    <row r="372" spans="1:1" x14ac:dyDescent="0.35">
      <c r="A372" s="13" t="s">
        <v>43</v>
      </c>
    </row>
    <row r="373" spans="1:1" x14ac:dyDescent="0.35">
      <c r="A373" s="6" t="s">
        <v>235</v>
      </c>
    </row>
    <row r="374" spans="1:1" x14ac:dyDescent="0.35">
      <c r="A374" s="13" t="s">
        <v>39</v>
      </c>
    </row>
    <row r="375" spans="1:1" x14ac:dyDescent="0.35">
      <c r="A375" s="6" t="s">
        <v>236</v>
      </c>
    </row>
    <row r="376" spans="1:1" x14ac:dyDescent="0.35">
      <c r="A376" s="13" t="s">
        <v>39</v>
      </c>
    </row>
    <row r="377" spans="1:1" x14ac:dyDescent="0.35">
      <c r="A377" s="13" t="s">
        <v>47</v>
      </c>
    </row>
    <row r="378" spans="1:1" x14ac:dyDescent="0.35">
      <c r="A378" s="13" t="s">
        <v>43</v>
      </c>
    </row>
    <row r="379" spans="1:1" x14ac:dyDescent="0.35">
      <c r="A379" s="6" t="s">
        <v>237</v>
      </c>
    </row>
    <row r="380" spans="1:1" x14ac:dyDescent="0.35">
      <c r="A380" s="13" t="s">
        <v>47</v>
      </c>
    </row>
    <row r="381" spans="1:1" x14ac:dyDescent="0.35">
      <c r="A381" s="13" t="s">
        <v>43</v>
      </c>
    </row>
    <row r="382" spans="1:1" x14ac:dyDescent="0.35">
      <c r="A382" s="13" t="s">
        <v>46</v>
      </c>
    </row>
    <row r="383" spans="1:1" x14ac:dyDescent="0.35">
      <c r="A383" s="6" t="s">
        <v>238</v>
      </c>
    </row>
    <row r="384" spans="1:1" x14ac:dyDescent="0.35">
      <c r="A384" s="13" t="s">
        <v>39</v>
      </c>
    </row>
    <row r="385" spans="1:1" x14ac:dyDescent="0.35">
      <c r="A385" s="13" t="s">
        <v>47</v>
      </c>
    </row>
    <row r="386" spans="1:1" x14ac:dyDescent="0.35">
      <c r="A386" s="13" t="s">
        <v>43</v>
      </c>
    </row>
    <row r="387" spans="1:1" x14ac:dyDescent="0.35">
      <c r="A387" s="13" t="s">
        <v>46</v>
      </c>
    </row>
    <row r="388" spans="1:1" x14ac:dyDescent="0.35">
      <c r="A388" s="6" t="s">
        <v>239</v>
      </c>
    </row>
    <row r="389" spans="1:1" x14ac:dyDescent="0.35">
      <c r="A389" s="13" t="s">
        <v>43</v>
      </c>
    </row>
    <row r="390" spans="1:1" x14ac:dyDescent="0.35">
      <c r="A390" s="13" t="s">
        <v>46</v>
      </c>
    </row>
    <row r="391" spans="1:1" x14ac:dyDescent="0.35">
      <c r="A391" s="6" t="s">
        <v>240</v>
      </c>
    </row>
    <row r="392" spans="1:1" x14ac:dyDescent="0.35">
      <c r="A392" s="13" t="s">
        <v>39</v>
      </c>
    </row>
    <row r="393" spans="1:1" x14ac:dyDescent="0.35">
      <c r="A393" s="6" t="s">
        <v>241</v>
      </c>
    </row>
    <row r="394" spans="1:1" x14ac:dyDescent="0.35">
      <c r="A394" s="13" t="s">
        <v>39</v>
      </c>
    </row>
    <row r="395" spans="1:1" x14ac:dyDescent="0.35">
      <c r="A395" s="13" t="s">
        <v>47</v>
      </c>
    </row>
    <row r="396" spans="1:1" x14ac:dyDescent="0.35">
      <c r="A396" s="13" t="s">
        <v>43</v>
      </c>
    </row>
    <row r="397" spans="1:1" x14ac:dyDescent="0.35">
      <c r="A397" s="13" t="s">
        <v>46</v>
      </c>
    </row>
    <row r="398" spans="1:1" x14ac:dyDescent="0.35">
      <c r="A398" s="6" t="s">
        <v>242</v>
      </c>
    </row>
    <row r="399" spans="1:1" x14ac:dyDescent="0.35">
      <c r="A399" s="13" t="s">
        <v>43</v>
      </c>
    </row>
    <row r="400" spans="1:1" x14ac:dyDescent="0.35">
      <c r="A400" s="13" t="s">
        <v>46</v>
      </c>
    </row>
    <row r="401" spans="1:1" x14ac:dyDescent="0.35">
      <c r="A401" s="6" t="s">
        <v>244</v>
      </c>
    </row>
    <row r="402" spans="1:1" x14ac:dyDescent="0.35">
      <c r="A402" s="13" t="s">
        <v>39</v>
      </c>
    </row>
    <row r="403" spans="1:1" x14ac:dyDescent="0.35">
      <c r="A403" s="13" t="s">
        <v>47</v>
      </c>
    </row>
    <row r="404" spans="1:1" x14ac:dyDescent="0.35">
      <c r="A404" s="13" t="s">
        <v>43</v>
      </c>
    </row>
    <row r="405" spans="1:1" x14ac:dyDescent="0.35">
      <c r="A405" s="6" t="s">
        <v>246</v>
      </c>
    </row>
    <row r="406" spans="1:1" x14ac:dyDescent="0.35">
      <c r="A406" s="13" t="s">
        <v>43</v>
      </c>
    </row>
    <row r="407" spans="1:1" x14ac:dyDescent="0.35">
      <c r="A407" s="13" t="s">
        <v>46</v>
      </c>
    </row>
    <row r="408" spans="1:1" x14ac:dyDescent="0.35">
      <c r="A408" s="6" t="s">
        <v>247</v>
      </c>
    </row>
    <row r="409" spans="1:1" x14ac:dyDescent="0.35">
      <c r="A409" s="13" t="s">
        <v>46</v>
      </c>
    </row>
    <row r="410" spans="1:1" x14ac:dyDescent="0.35">
      <c r="A410" s="6" t="s">
        <v>248</v>
      </c>
    </row>
    <row r="411" spans="1:1" x14ac:dyDescent="0.35">
      <c r="A411" s="13" t="s">
        <v>39</v>
      </c>
    </row>
    <row r="412" spans="1:1" x14ac:dyDescent="0.35">
      <c r="A412" s="13" t="s">
        <v>47</v>
      </c>
    </row>
    <row r="413" spans="1:1" x14ac:dyDescent="0.35">
      <c r="A413" s="13" t="s">
        <v>43</v>
      </c>
    </row>
    <row r="414" spans="1:1" x14ac:dyDescent="0.35">
      <c r="A414" s="13" t="s">
        <v>46</v>
      </c>
    </row>
    <row r="415" spans="1:1" x14ac:dyDescent="0.35">
      <c r="A415" s="6" t="s">
        <v>249</v>
      </c>
    </row>
    <row r="416" spans="1:1" x14ac:dyDescent="0.35">
      <c r="A416" s="13" t="s">
        <v>43</v>
      </c>
    </row>
    <row r="417" spans="1:1" x14ac:dyDescent="0.35">
      <c r="A417" s="13" t="s">
        <v>46</v>
      </c>
    </row>
    <row r="418" spans="1:1" x14ac:dyDescent="0.35">
      <c r="A418" s="6" t="s">
        <v>251</v>
      </c>
    </row>
    <row r="419" spans="1:1" x14ac:dyDescent="0.35">
      <c r="A419" s="13" t="s">
        <v>43</v>
      </c>
    </row>
    <row r="420" spans="1:1" x14ac:dyDescent="0.35">
      <c r="A420" s="13" t="s">
        <v>46</v>
      </c>
    </row>
    <row r="421" spans="1:1" x14ac:dyDescent="0.35">
      <c r="A421" s="6" t="s">
        <v>252</v>
      </c>
    </row>
    <row r="422" spans="1:1" x14ac:dyDescent="0.35">
      <c r="A422" s="13" t="s">
        <v>39</v>
      </c>
    </row>
    <row r="423" spans="1:1" x14ac:dyDescent="0.35">
      <c r="A423" s="13" t="s">
        <v>47</v>
      </c>
    </row>
    <row r="424" spans="1:1" x14ac:dyDescent="0.35">
      <c r="A424" s="13" t="s">
        <v>43</v>
      </c>
    </row>
    <row r="425" spans="1:1" x14ac:dyDescent="0.35">
      <c r="A425" s="13" t="s">
        <v>46</v>
      </c>
    </row>
    <row r="426" spans="1:1" x14ac:dyDescent="0.35">
      <c r="A426" s="6" t="s">
        <v>253</v>
      </c>
    </row>
    <row r="427" spans="1:1" x14ac:dyDescent="0.35">
      <c r="A427" s="13" t="s">
        <v>39</v>
      </c>
    </row>
    <row r="428" spans="1:1" x14ac:dyDescent="0.35">
      <c r="A428" s="13" t="s">
        <v>47</v>
      </c>
    </row>
    <row r="429" spans="1:1" x14ac:dyDescent="0.35">
      <c r="A429" s="13" t="s">
        <v>43</v>
      </c>
    </row>
    <row r="430" spans="1:1" x14ac:dyDescent="0.35">
      <c r="A430" s="13" t="s">
        <v>46</v>
      </c>
    </row>
    <row r="431" spans="1:1" x14ac:dyDescent="0.35">
      <c r="A431" s="6" t="s">
        <v>254</v>
      </c>
    </row>
    <row r="432" spans="1:1" x14ac:dyDescent="0.35">
      <c r="A432" s="13" t="s">
        <v>39</v>
      </c>
    </row>
    <row r="433" spans="1:1" x14ac:dyDescent="0.35">
      <c r="A433" s="13" t="s">
        <v>47</v>
      </c>
    </row>
    <row r="434" spans="1:1" x14ac:dyDescent="0.35">
      <c r="A434" s="13" t="s">
        <v>43</v>
      </c>
    </row>
    <row r="435" spans="1:1" x14ac:dyDescent="0.35">
      <c r="A435" s="6" t="s">
        <v>255</v>
      </c>
    </row>
    <row r="436" spans="1:1" x14ac:dyDescent="0.35">
      <c r="A436" s="13" t="s">
        <v>47</v>
      </c>
    </row>
    <row r="437" spans="1:1" x14ac:dyDescent="0.35">
      <c r="A437" s="13" t="s">
        <v>43</v>
      </c>
    </row>
    <row r="438" spans="1:1" x14ac:dyDescent="0.35">
      <c r="A438" s="13" t="s">
        <v>46</v>
      </c>
    </row>
    <row r="439" spans="1:1" x14ac:dyDescent="0.35">
      <c r="A439" s="6" t="s">
        <v>256</v>
      </c>
    </row>
    <row r="440" spans="1:1" x14ac:dyDescent="0.35">
      <c r="A440" s="13" t="s">
        <v>43</v>
      </c>
    </row>
    <row r="441" spans="1:1" x14ac:dyDescent="0.35">
      <c r="A441" s="13" t="s">
        <v>46</v>
      </c>
    </row>
    <row r="442" spans="1:1" x14ac:dyDescent="0.35">
      <c r="A442" s="6" t="s">
        <v>257</v>
      </c>
    </row>
    <row r="443" spans="1:1" x14ac:dyDescent="0.35">
      <c r="A443" s="13" t="s">
        <v>39</v>
      </c>
    </row>
    <row r="444" spans="1:1" x14ac:dyDescent="0.35">
      <c r="A444" s="13" t="s">
        <v>47</v>
      </c>
    </row>
    <row r="445" spans="1:1" x14ac:dyDescent="0.35">
      <c r="A445" s="6" t="s">
        <v>259</v>
      </c>
    </row>
    <row r="446" spans="1:1" x14ac:dyDescent="0.35">
      <c r="A446" s="13" t="s">
        <v>39</v>
      </c>
    </row>
    <row r="447" spans="1:1" x14ac:dyDescent="0.35">
      <c r="A447" s="13" t="s">
        <v>43</v>
      </c>
    </row>
    <row r="448" spans="1:1" x14ac:dyDescent="0.35">
      <c r="A448" s="13" t="s">
        <v>46</v>
      </c>
    </row>
    <row r="449" spans="1:1" x14ac:dyDescent="0.35">
      <c r="A449" s="6" t="s">
        <v>261</v>
      </c>
    </row>
    <row r="450" spans="1:1" x14ac:dyDescent="0.35">
      <c r="A450" s="13" t="s">
        <v>39</v>
      </c>
    </row>
    <row r="451" spans="1:1" x14ac:dyDescent="0.35">
      <c r="A451" s="13" t="s">
        <v>47</v>
      </c>
    </row>
    <row r="452" spans="1:1" x14ac:dyDescent="0.35">
      <c r="A452" s="13" t="s">
        <v>43</v>
      </c>
    </row>
    <row r="453" spans="1:1" x14ac:dyDescent="0.35">
      <c r="A453" s="6" t="s">
        <v>263</v>
      </c>
    </row>
    <row r="454" spans="1:1" x14ac:dyDescent="0.35">
      <c r="A454" s="13" t="s">
        <v>43</v>
      </c>
    </row>
    <row r="455" spans="1:1" x14ac:dyDescent="0.35">
      <c r="A455" s="6" t="s">
        <v>264</v>
      </c>
    </row>
    <row r="456" spans="1:1" x14ac:dyDescent="0.35">
      <c r="A456" s="13" t="s">
        <v>39</v>
      </c>
    </row>
    <row r="457" spans="1:1" x14ac:dyDescent="0.35">
      <c r="A457" s="6" t="s">
        <v>265</v>
      </c>
    </row>
    <row r="458" spans="1:1" x14ac:dyDescent="0.35">
      <c r="A458" s="13" t="s">
        <v>46</v>
      </c>
    </row>
    <row r="459" spans="1:1" x14ac:dyDescent="0.35">
      <c r="A459" s="6" t="s">
        <v>266</v>
      </c>
    </row>
    <row r="460" spans="1:1" x14ac:dyDescent="0.35">
      <c r="A460" s="13" t="s">
        <v>39</v>
      </c>
    </row>
    <row r="461" spans="1:1" x14ac:dyDescent="0.35">
      <c r="A461" s="13" t="s">
        <v>47</v>
      </c>
    </row>
    <row r="462" spans="1:1" x14ac:dyDescent="0.35">
      <c r="A462" s="13" t="s">
        <v>46</v>
      </c>
    </row>
    <row r="463" spans="1:1" x14ac:dyDescent="0.35">
      <c r="A463" s="6" t="s">
        <v>267</v>
      </c>
    </row>
    <row r="464" spans="1:1" x14ac:dyDescent="0.35">
      <c r="A464" s="13" t="s">
        <v>39</v>
      </c>
    </row>
    <row r="465" spans="1:1" x14ac:dyDescent="0.35">
      <c r="A465" s="13" t="s">
        <v>47</v>
      </c>
    </row>
    <row r="466" spans="1:1" x14ac:dyDescent="0.35">
      <c r="A466" s="13" t="s">
        <v>43</v>
      </c>
    </row>
    <row r="467" spans="1:1" x14ac:dyDescent="0.35">
      <c r="A467" s="6" t="s">
        <v>268</v>
      </c>
    </row>
    <row r="468" spans="1:1" x14ac:dyDescent="0.35">
      <c r="A468" s="13" t="s">
        <v>39</v>
      </c>
    </row>
    <row r="469" spans="1:1" x14ac:dyDescent="0.35">
      <c r="A469" s="6" t="s">
        <v>269</v>
      </c>
    </row>
    <row r="470" spans="1:1" x14ac:dyDescent="0.35">
      <c r="A470" s="13" t="s">
        <v>47</v>
      </c>
    </row>
    <row r="471" spans="1:1" x14ac:dyDescent="0.35">
      <c r="A471" s="6" t="s">
        <v>270</v>
      </c>
    </row>
    <row r="472" spans="1:1" x14ac:dyDescent="0.35">
      <c r="A472" s="13" t="s">
        <v>39</v>
      </c>
    </row>
    <row r="473" spans="1:1" x14ac:dyDescent="0.35">
      <c r="A473" s="13" t="s">
        <v>43</v>
      </c>
    </row>
    <row r="474" spans="1:1" x14ac:dyDescent="0.35">
      <c r="A474" s="6" t="s">
        <v>272</v>
      </c>
    </row>
    <row r="475" spans="1:1" x14ac:dyDescent="0.35">
      <c r="A475" s="13" t="s">
        <v>47</v>
      </c>
    </row>
    <row r="476" spans="1:1" x14ac:dyDescent="0.35">
      <c r="A476" s="6" t="s">
        <v>273</v>
      </c>
    </row>
    <row r="477" spans="1:1" x14ac:dyDescent="0.35">
      <c r="A477" s="13" t="s">
        <v>46</v>
      </c>
    </row>
    <row r="478" spans="1:1" x14ac:dyDescent="0.35">
      <c r="A478" s="6" t="s">
        <v>274</v>
      </c>
    </row>
    <row r="479" spans="1:1" x14ac:dyDescent="0.35">
      <c r="A479" s="13" t="s">
        <v>43</v>
      </c>
    </row>
    <row r="480" spans="1:1" x14ac:dyDescent="0.35">
      <c r="A480" s="13" t="s">
        <v>46</v>
      </c>
    </row>
    <row r="481" spans="1:1" x14ac:dyDescent="0.35">
      <c r="A481" s="6" t="s">
        <v>275</v>
      </c>
    </row>
    <row r="482" spans="1:1" x14ac:dyDescent="0.35">
      <c r="A482" s="13" t="s">
        <v>39</v>
      </c>
    </row>
    <row r="483" spans="1:1" x14ac:dyDescent="0.35">
      <c r="A483" s="13" t="s">
        <v>47</v>
      </c>
    </row>
    <row r="484" spans="1:1" x14ac:dyDescent="0.35">
      <c r="A484" s="6" t="s">
        <v>276</v>
      </c>
    </row>
    <row r="485" spans="1:1" x14ac:dyDescent="0.35">
      <c r="A485" s="13" t="s">
        <v>39</v>
      </c>
    </row>
    <row r="486" spans="1:1" x14ac:dyDescent="0.35">
      <c r="A486" s="6" t="s">
        <v>277</v>
      </c>
    </row>
    <row r="487" spans="1:1" x14ac:dyDescent="0.35">
      <c r="A487" s="13" t="s">
        <v>39</v>
      </c>
    </row>
    <row r="488" spans="1:1" x14ac:dyDescent="0.35">
      <c r="A488" s="13" t="s">
        <v>47</v>
      </c>
    </row>
    <row r="489" spans="1:1" x14ac:dyDescent="0.35">
      <c r="A489" s="6" t="s">
        <v>278</v>
      </c>
    </row>
    <row r="490" spans="1:1" x14ac:dyDescent="0.35">
      <c r="A490" s="13" t="s">
        <v>39</v>
      </c>
    </row>
    <row r="491" spans="1:1" x14ac:dyDescent="0.35">
      <c r="A491" s="13" t="s">
        <v>47</v>
      </c>
    </row>
    <row r="492" spans="1:1" x14ac:dyDescent="0.35">
      <c r="A492" s="13" t="s">
        <v>43</v>
      </c>
    </row>
    <row r="493" spans="1:1" x14ac:dyDescent="0.35">
      <c r="A493" s="13" t="s">
        <v>46</v>
      </c>
    </row>
    <row r="494" spans="1:1" x14ac:dyDescent="0.35">
      <c r="A494" s="6" t="s">
        <v>279</v>
      </c>
    </row>
    <row r="495" spans="1:1" x14ac:dyDescent="0.35">
      <c r="A495" s="13" t="s">
        <v>47</v>
      </c>
    </row>
    <row r="496" spans="1:1" x14ac:dyDescent="0.35">
      <c r="A496" s="6" t="s">
        <v>280</v>
      </c>
    </row>
    <row r="497" spans="1:1" x14ac:dyDescent="0.35">
      <c r="A497" s="13" t="s">
        <v>47</v>
      </c>
    </row>
    <row r="498" spans="1:1" x14ac:dyDescent="0.35">
      <c r="A498" s="6" t="s">
        <v>281</v>
      </c>
    </row>
    <row r="499" spans="1:1" x14ac:dyDescent="0.35">
      <c r="A499" s="13" t="s">
        <v>39</v>
      </c>
    </row>
    <row r="500" spans="1:1" x14ac:dyDescent="0.35">
      <c r="A500" s="13" t="s">
        <v>47</v>
      </c>
    </row>
    <row r="501" spans="1:1" x14ac:dyDescent="0.35">
      <c r="A501" s="13" t="s">
        <v>43</v>
      </c>
    </row>
    <row r="502" spans="1:1" x14ac:dyDescent="0.35">
      <c r="A502" s="6" t="s">
        <v>282</v>
      </c>
    </row>
    <row r="503" spans="1:1" x14ac:dyDescent="0.35">
      <c r="A503" s="13" t="s">
        <v>39</v>
      </c>
    </row>
    <row r="504" spans="1:1" x14ac:dyDescent="0.35">
      <c r="A504" s="13" t="s">
        <v>47</v>
      </c>
    </row>
    <row r="505" spans="1:1" x14ac:dyDescent="0.35">
      <c r="A505" s="13" t="s">
        <v>43</v>
      </c>
    </row>
    <row r="506" spans="1:1" x14ac:dyDescent="0.35">
      <c r="A506" s="13" t="s">
        <v>46</v>
      </c>
    </row>
    <row r="507" spans="1:1" x14ac:dyDescent="0.35">
      <c r="A507" s="6" t="s">
        <v>283</v>
      </c>
    </row>
    <row r="508" spans="1:1" x14ac:dyDescent="0.35">
      <c r="A508" s="13" t="s">
        <v>43</v>
      </c>
    </row>
    <row r="509" spans="1:1" x14ac:dyDescent="0.35">
      <c r="A509" s="13" t="s">
        <v>46</v>
      </c>
    </row>
    <row r="510" spans="1:1" x14ac:dyDescent="0.35">
      <c r="A510" s="6" t="s">
        <v>284</v>
      </c>
    </row>
    <row r="511" spans="1:1" x14ac:dyDescent="0.35">
      <c r="A511" s="13" t="s">
        <v>39</v>
      </c>
    </row>
    <row r="512" spans="1:1" x14ac:dyDescent="0.35">
      <c r="A512" s="6" t="s">
        <v>285</v>
      </c>
    </row>
    <row r="513" spans="1:1" x14ac:dyDescent="0.35">
      <c r="A513" s="13" t="s">
        <v>46</v>
      </c>
    </row>
    <row r="514" spans="1:1" x14ac:dyDescent="0.35">
      <c r="A514" s="6" t="s">
        <v>286</v>
      </c>
    </row>
    <row r="515" spans="1:1" x14ac:dyDescent="0.35">
      <c r="A515" s="13" t="s">
        <v>39</v>
      </c>
    </row>
    <row r="516" spans="1:1" x14ac:dyDescent="0.35">
      <c r="A516" s="13" t="s">
        <v>47</v>
      </c>
    </row>
    <row r="517" spans="1:1" x14ac:dyDescent="0.35">
      <c r="A517" s="13" t="s">
        <v>43</v>
      </c>
    </row>
    <row r="518" spans="1:1" x14ac:dyDescent="0.35">
      <c r="A518" s="13" t="s">
        <v>46</v>
      </c>
    </row>
    <row r="519" spans="1:1" x14ac:dyDescent="0.35">
      <c r="A519" s="6" t="s">
        <v>287</v>
      </c>
    </row>
    <row r="520" spans="1:1" x14ac:dyDescent="0.35">
      <c r="A520" s="13" t="s">
        <v>39</v>
      </c>
    </row>
    <row r="521" spans="1:1" x14ac:dyDescent="0.35">
      <c r="A521" s="13" t="s">
        <v>47</v>
      </c>
    </row>
    <row r="522" spans="1:1" x14ac:dyDescent="0.35">
      <c r="A522" s="13" t="s">
        <v>43</v>
      </c>
    </row>
    <row r="523" spans="1:1" x14ac:dyDescent="0.35">
      <c r="A523" s="6" t="s">
        <v>288</v>
      </c>
    </row>
    <row r="524" spans="1:1" x14ac:dyDescent="0.35">
      <c r="A524" s="13" t="s">
        <v>46</v>
      </c>
    </row>
    <row r="525" spans="1:1" x14ac:dyDescent="0.35">
      <c r="A525" s="6" t="s">
        <v>289</v>
      </c>
    </row>
    <row r="526" spans="1:1" x14ac:dyDescent="0.35">
      <c r="A526" s="13" t="s">
        <v>39</v>
      </c>
    </row>
    <row r="527" spans="1:1" x14ac:dyDescent="0.35">
      <c r="A527" s="13" t="s">
        <v>47</v>
      </c>
    </row>
    <row r="528" spans="1:1" x14ac:dyDescent="0.35">
      <c r="A528" s="13" t="s">
        <v>43</v>
      </c>
    </row>
    <row r="529" spans="1:1" x14ac:dyDescent="0.35">
      <c r="A529" s="6" t="s">
        <v>290</v>
      </c>
    </row>
    <row r="530" spans="1:1" x14ac:dyDescent="0.35">
      <c r="A530" s="13" t="s">
        <v>43</v>
      </c>
    </row>
    <row r="531" spans="1:1" x14ac:dyDescent="0.35">
      <c r="A531" s="6" t="s">
        <v>292</v>
      </c>
    </row>
    <row r="532" spans="1:1" x14ac:dyDescent="0.35">
      <c r="A532" s="13" t="s">
        <v>39</v>
      </c>
    </row>
    <row r="533" spans="1:1" x14ac:dyDescent="0.35">
      <c r="A533" s="13" t="s">
        <v>47</v>
      </c>
    </row>
    <row r="534" spans="1:1" x14ac:dyDescent="0.35">
      <c r="A534" s="13" t="s">
        <v>43</v>
      </c>
    </row>
    <row r="535" spans="1:1" x14ac:dyDescent="0.35">
      <c r="A535" s="6" t="s">
        <v>293</v>
      </c>
    </row>
    <row r="536" spans="1:1" x14ac:dyDescent="0.35">
      <c r="A536" s="13" t="s">
        <v>47</v>
      </c>
    </row>
    <row r="537" spans="1:1" x14ac:dyDescent="0.35">
      <c r="A537" s="6" t="s">
        <v>294</v>
      </c>
    </row>
    <row r="538" spans="1:1" x14ac:dyDescent="0.35">
      <c r="A538" s="13" t="s">
        <v>39</v>
      </c>
    </row>
    <row r="539" spans="1:1" x14ac:dyDescent="0.35">
      <c r="A539" s="13" t="s">
        <v>47</v>
      </c>
    </row>
    <row r="540" spans="1:1" x14ac:dyDescent="0.35">
      <c r="A540" s="13" t="s">
        <v>43</v>
      </c>
    </row>
    <row r="541" spans="1:1" x14ac:dyDescent="0.35">
      <c r="A541" s="13" t="s">
        <v>46</v>
      </c>
    </row>
    <row r="542" spans="1:1" x14ac:dyDescent="0.35">
      <c r="A542" s="6" t="s">
        <v>295</v>
      </c>
    </row>
    <row r="543" spans="1:1" x14ac:dyDescent="0.35">
      <c r="A543" s="13" t="s">
        <v>46</v>
      </c>
    </row>
    <row r="544" spans="1:1" x14ac:dyDescent="0.35">
      <c r="A544" s="6" t="s">
        <v>296</v>
      </c>
    </row>
    <row r="545" spans="1:1" x14ac:dyDescent="0.35">
      <c r="A545" s="13" t="s">
        <v>46</v>
      </c>
    </row>
    <row r="546" spans="1:1" x14ac:dyDescent="0.35">
      <c r="A546" s="6" t="s">
        <v>298</v>
      </c>
    </row>
    <row r="547" spans="1:1" x14ac:dyDescent="0.35">
      <c r="A547" s="13" t="s">
        <v>47</v>
      </c>
    </row>
    <row r="548" spans="1:1" x14ac:dyDescent="0.35">
      <c r="A548" s="13" t="s">
        <v>43</v>
      </c>
    </row>
    <row r="549" spans="1:1" x14ac:dyDescent="0.35">
      <c r="A549" s="13" t="s">
        <v>46</v>
      </c>
    </row>
    <row r="550" spans="1:1" x14ac:dyDescent="0.35">
      <c r="A550" s="6" t="s">
        <v>299</v>
      </c>
    </row>
    <row r="551" spans="1:1" x14ac:dyDescent="0.35">
      <c r="A551" s="13" t="s">
        <v>47</v>
      </c>
    </row>
    <row r="552" spans="1:1" x14ac:dyDescent="0.35">
      <c r="A552" s="6" t="s">
        <v>300</v>
      </c>
    </row>
    <row r="553" spans="1:1" x14ac:dyDescent="0.35">
      <c r="A553" s="13" t="s">
        <v>39</v>
      </c>
    </row>
    <row r="554" spans="1:1" x14ac:dyDescent="0.35">
      <c r="A554" s="13" t="s">
        <v>47</v>
      </c>
    </row>
    <row r="555" spans="1:1" x14ac:dyDescent="0.35">
      <c r="A555" s="13" t="s">
        <v>43</v>
      </c>
    </row>
    <row r="556" spans="1:1" x14ac:dyDescent="0.35">
      <c r="A556" s="13" t="s">
        <v>46</v>
      </c>
    </row>
    <row r="557" spans="1:1" x14ac:dyDescent="0.35">
      <c r="A557" s="6" t="s">
        <v>301</v>
      </c>
    </row>
    <row r="558" spans="1:1" x14ac:dyDescent="0.35">
      <c r="A558" s="13" t="s">
        <v>43</v>
      </c>
    </row>
    <row r="559" spans="1:1" x14ac:dyDescent="0.35">
      <c r="A559" s="6" t="s">
        <v>302</v>
      </c>
    </row>
    <row r="560" spans="1:1" x14ac:dyDescent="0.35">
      <c r="A560" s="13" t="s">
        <v>43</v>
      </c>
    </row>
    <row r="561" spans="1:1" x14ac:dyDescent="0.35">
      <c r="A561" s="13" t="s">
        <v>46</v>
      </c>
    </row>
    <row r="562" spans="1:1" x14ac:dyDescent="0.35">
      <c r="A562" s="6" t="s">
        <v>303</v>
      </c>
    </row>
    <row r="563" spans="1:1" x14ac:dyDescent="0.35">
      <c r="A563" s="13" t="s">
        <v>43</v>
      </c>
    </row>
    <row r="564" spans="1:1" x14ac:dyDescent="0.35">
      <c r="A564" s="13" t="s">
        <v>46</v>
      </c>
    </row>
    <row r="565" spans="1:1" x14ac:dyDescent="0.35">
      <c r="A565" s="6" t="s">
        <v>304</v>
      </c>
    </row>
    <row r="566" spans="1:1" x14ac:dyDescent="0.35">
      <c r="A566" s="13" t="s">
        <v>47</v>
      </c>
    </row>
    <row r="567" spans="1:1" x14ac:dyDescent="0.35">
      <c r="A567" s="6" t="s">
        <v>305</v>
      </c>
    </row>
    <row r="568" spans="1:1" x14ac:dyDescent="0.35">
      <c r="A568" s="13" t="s">
        <v>39</v>
      </c>
    </row>
    <row r="569" spans="1:1" x14ac:dyDescent="0.35">
      <c r="A569" s="13" t="s">
        <v>43</v>
      </c>
    </row>
    <row r="570" spans="1:1" x14ac:dyDescent="0.35">
      <c r="A570" s="13" t="s">
        <v>46</v>
      </c>
    </row>
    <row r="571" spans="1:1" x14ac:dyDescent="0.35">
      <c r="A571" s="6" t="s">
        <v>306</v>
      </c>
    </row>
    <row r="572" spans="1:1" x14ac:dyDescent="0.35">
      <c r="A572" s="13" t="s">
        <v>43</v>
      </c>
    </row>
    <row r="573" spans="1:1" x14ac:dyDescent="0.35">
      <c r="A573" s="13" t="s">
        <v>46</v>
      </c>
    </row>
    <row r="574" spans="1:1" x14ac:dyDescent="0.35">
      <c r="A574" s="6" t="s">
        <v>307</v>
      </c>
    </row>
    <row r="575" spans="1:1" x14ac:dyDescent="0.35">
      <c r="A575" s="13" t="s">
        <v>39</v>
      </c>
    </row>
    <row r="576" spans="1:1" x14ac:dyDescent="0.35">
      <c r="A576" s="13" t="s">
        <v>47</v>
      </c>
    </row>
    <row r="577" spans="1:1" x14ac:dyDescent="0.35">
      <c r="A577" s="13" t="s">
        <v>43</v>
      </c>
    </row>
    <row r="578" spans="1:1" x14ac:dyDescent="0.35">
      <c r="A578" s="13" t="s">
        <v>46</v>
      </c>
    </row>
    <row r="579" spans="1:1" x14ac:dyDescent="0.35">
      <c r="A579" s="6" t="s">
        <v>309</v>
      </c>
    </row>
    <row r="580" spans="1:1" x14ac:dyDescent="0.35">
      <c r="A580" s="13" t="s">
        <v>39</v>
      </c>
    </row>
    <row r="581" spans="1:1" x14ac:dyDescent="0.35">
      <c r="A581" s="13" t="s">
        <v>47</v>
      </c>
    </row>
    <row r="582" spans="1:1" x14ac:dyDescent="0.35">
      <c r="A582" s="13" t="s">
        <v>43</v>
      </c>
    </row>
    <row r="583" spans="1:1" x14ac:dyDescent="0.35">
      <c r="A583" s="13" t="s">
        <v>46</v>
      </c>
    </row>
    <row r="584" spans="1:1" x14ac:dyDescent="0.35">
      <c r="A584" s="6" t="s">
        <v>310</v>
      </c>
    </row>
    <row r="585" spans="1:1" x14ac:dyDescent="0.35">
      <c r="A585" s="13" t="s">
        <v>39</v>
      </c>
    </row>
    <row r="586" spans="1:1" x14ac:dyDescent="0.35">
      <c r="A586" s="13" t="s">
        <v>47</v>
      </c>
    </row>
    <row r="587" spans="1:1" x14ac:dyDescent="0.35">
      <c r="A587" s="13" t="s">
        <v>43</v>
      </c>
    </row>
    <row r="588" spans="1:1" x14ac:dyDescent="0.35">
      <c r="A588" s="13" t="s">
        <v>46</v>
      </c>
    </row>
    <row r="589" spans="1:1" x14ac:dyDescent="0.35">
      <c r="A589" s="6" t="s">
        <v>311</v>
      </c>
    </row>
    <row r="590" spans="1:1" x14ac:dyDescent="0.35">
      <c r="A590" s="13" t="s">
        <v>46</v>
      </c>
    </row>
    <row r="591" spans="1:1" x14ac:dyDescent="0.35">
      <c r="A591" s="6" t="s">
        <v>312</v>
      </c>
    </row>
    <row r="592" spans="1:1" x14ac:dyDescent="0.35">
      <c r="A592" s="13" t="s">
        <v>39</v>
      </c>
    </row>
    <row r="593" spans="1:1" x14ac:dyDescent="0.35">
      <c r="A593" s="13" t="s">
        <v>43</v>
      </c>
    </row>
    <row r="594" spans="1:1" x14ac:dyDescent="0.35">
      <c r="A594" s="6" t="s">
        <v>313</v>
      </c>
    </row>
    <row r="595" spans="1:1" x14ac:dyDescent="0.35">
      <c r="A595" s="13" t="s">
        <v>47</v>
      </c>
    </row>
    <row r="596" spans="1:1" x14ac:dyDescent="0.35">
      <c r="A596" s="6" t="s">
        <v>314</v>
      </c>
    </row>
    <row r="597" spans="1:1" x14ac:dyDescent="0.35">
      <c r="A597" s="13" t="s">
        <v>39</v>
      </c>
    </row>
    <row r="598" spans="1:1" x14ac:dyDescent="0.35">
      <c r="A598" s="13" t="s">
        <v>47</v>
      </c>
    </row>
    <row r="599" spans="1:1" x14ac:dyDescent="0.35">
      <c r="A599" s="6" t="s">
        <v>315</v>
      </c>
    </row>
    <row r="600" spans="1:1" x14ac:dyDescent="0.35">
      <c r="A600" s="13" t="s">
        <v>46</v>
      </c>
    </row>
    <row r="601" spans="1:1" x14ac:dyDescent="0.35">
      <c r="A601" s="6" t="s">
        <v>316</v>
      </c>
    </row>
    <row r="602" spans="1:1" x14ac:dyDescent="0.35">
      <c r="A602" s="13" t="s">
        <v>39</v>
      </c>
    </row>
    <row r="603" spans="1:1" x14ac:dyDescent="0.35">
      <c r="A603" s="13" t="s">
        <v>47</v>
      </c>
    </row>
    <row r="604" spans="1:1" x14ac:dyDescent="0.35">
      <c r="A604" s="6" t="s">
        <v>317</v>
      </c>
    </row>
    <row r="605" spans="1:1" x14ac:dyDescent="0.35">
      <c r="A605" s="13" t="s">
        <v>39</v>
      </c>
    </row>
    <row r="606" spans="1:1" x14ac:dyDescent="0.35">
      <c r="A606" s="13" t="s">
        <v>47</v>
      </c>
    </row>
    <row r="607" spans="1:1" x14ac:dyDescent="0.35">
      <c r="A607" s="6" t="s">
        <v>318</v>
      </c>
    </row>
    <row r="608" spans="1:1" x14ac:dyDescent="0.35">
      <c r="A608" s="13" t="s">
        <v>46</v>
      </c>
    </row>
    <row r="609" spans="1:1" x14ac:dyDescent="0.35">
      <c r="A609" s="6" t="s">
        <v>319</v>
      </c>
    </row>
    <row r="610" spans="1:1" x14ac:dyDescent="0.35">
      <c r="A610" s="13" t="s">
        <v>46</v>
      </c>
    </row>
    <row r="611" spans="1:1" x14ac:dyDescent="0.35">
      <c r="A611" s="6" t="s">
        <v>320</v>
      </c>
    </row>
    <row r="612" spans="1:1" x14ac:dyDescent="0.35">
      <c r="A612" s="13" t="s">
        <v>39</v>
      </c>
    </row>
    <row r="613" spans="1:1" x14ac:dyDescent="0.35">
      <c r="A613" s="13" t="s">
        <v>47</v>
      </c>
    </row>
    <row r="614" spans="1:1" x14ac:dyDescent="0.35">
      <c r="A614" s="13" t="s">
        <v>46</v>
      </c>
    </row>
    <row r="615" spans="1:1" x14ac:dyDescent="0.35">
      <c r="A615" s="6" t="s">
        <v>321</v>
      </c>
    </row>
    <row r="616" spans="1:1" x14ac:dyDescent="0.35">
      <c r="A616" s="13" t="s">
        <v>47</v>
      </c>
    </row>
    <row r="617" spans="1:1" x14ac:dyDescent="0.35">
      <c r="A617" s="13" t="s">
        <v>43</v>
      </c>
    </row>
    <row r="618" spans="1:1" x14ac:dyDescent="0.35">
      <c r="A618" s="13" t="s">
        <v>46</v>
      </c>
    </row>
    <row r="619" spans="1:1" x14ac:dyDescent="0.35">
      <c r="A619" s="6" t="s">
        <v>322</v>
      </c>
    </row>
    <row r="620" spans="1:1" x14ac:dyDescent="0.35">
      <c r="A620" s="13" t="s">
        <v>43</v>
      </c>
    </row>
    <row r="621" spans="1:1" x14ac:dyDescent="0.35">
      <c r="A621" s="13" t="s">
        <v>46</v>
      </c>
    </row>
    <row r="622" spans="1:1" x14ac:dyDescent="0.35">
      <c r="A622" s="6" t="s">
        <v>323</v>
      </c>
    </row>
    <row r="623" spans="1:1" x14ac:dyDescent="0.35">
      <c r="A623" s="13" t="s">
        <v>47</v>
      </c>
    </row>
    <row r="624" spans="1:1" x14ac:dyDescent="0.35">
      <c r="A624" s="6" t="s">
        <v>324</v>
      </c>
    </row>
    <row r="625" spans="1:1" x14ac:dyDescent="0.35">
      <c r="A625" s="13" t="s">
        <v>39</v>
      </c>
    </row>
    <row r="626" spans="1:1" x14ac:dyDescent="0.35">
      <c r="A626" s="13" t="s">
        <v>47</v>
      </c>
    </row>
    <row r="627" spans="1:1" x14ac:dyDescent="0.35">
      <c r="A627" s="6" t="s">
        <v>325</v>
      </c>
    </row>
    <row r="628" spans="1:1" x14ac:dyDescent="0.35">
      <c r="A628" s="13" t="s">
        <v>39</v>
      </c>
    </row>
    <row r="629" spans="1:1" x14ac:dyDescent="0.35">
      <c r="A629" s="13" t="s">
        <v>47</v>
      </c>
    </row>
    <row r="630" spans="1:1" x14ac:dyDescent="0.35">
      <c r="A630" s="13" t="s">
        <v>43</v>
      </c>
    </row>
    <row r="631" spans="1:1" x14ac:dyDescent="0.35">
      <c r="A631" s="6" t="s">
        <v>326</v>
      </c>
    </row>
    <row r="632" spans="1:1" x14ac:dyDescent="0.35">
      <c r="A632" s="13" t="s">
        <v>39</v>
      </c>
    </row>
    <row r="633" spans="1:1" x14ac:dyDescent="0.35">
      <c r="A633" s="13" t="s">
        <v>43</v>
      </c>
    </row>
    <row r="634" spans="1:1" x14ac:dyDescent="0.35">
      <c r="A634" s="6" t="s">
        <v>327</v>
      </c>
    </row>
    <row r="635" spans="1:1" x14ac:dyDescent="0.35">
      <c r="A635" s="13" t="s">
        <v>46</v>
      </c>
    </row>
    <row r="636" spans="1:1" x14ac:dyDescent="0.35">
      <c r="A636" s="6" t="s">
        <v>328</v>
      </c>
    </row>
    <row r="637" spans="1:1" x14ac:dyDescent="0.35">
      <c r="A637" s="13" t="s">
        <v>39</v>
      </c>
    </row>
    <row r="638" spans="1:1" x14ac:dyDescent="0.35">
      <c r="A638" s="13" t="s">
        <v>47</v>
      </c>
    </row>
    <row r="639" spans="1:1" x14ac:dyDescent="0.35">
      <c r="A639" s="13" t="s">
        <v>43</v>
      </c>
    </row>
    <row r="640" spans="1:1" x14ac:dyDescent="0.35">
      <c r="A640" s="13" t="s">
        <v>46</v>
      </c>
    </row>
    <row r="641" spans="1:1" x14ac:dyDescent="0.35">
      <c r="A641" s="6" t="s">
        <v>857</v>
      </c>
    </row>
    <row r="642" spans="1:1" x14ac:dyDescent="0.35">
      <c r="A642" s="13" t="s">
        <v>39</v>
      </c>
    </row>
    <row r="643" spans="1:1" x14ac:dyDescent="0.35">
      <c r="A643" s="6" t="s">
        <v>329</v>
      </c>
    </row>
    <row r="644" spans="1:1" x14ac:dyDescent="0.35">
      <c r="A644" s="13" t="s">
        <v>47</v>
      </c>
    </row>
    <row r="645" spans="1:1" x14ac:dyDescent="0.35">
      <c r="A645" s="13" t="s">
        <v>43</v>
      </c>
    </row>
    <row r="646" spans="1:1" x14ac:dyDescent="0.35">
      <c r="A646" s="6" t="s">
        <v>330</v>
      </c>
    </row>
    <row r="647" spans="1:1" x14ac:dyDescent="0.35">
      <c r="A647" s="13" t="s">
        <v>39</v>
      </c>
    </row>
    <row r="648" spans="1:1" x14ac:dyDescent="0.35">
      <c r="A648" s="13" t="s">
        <v>43</v>
      </c>
    </row>
    <row r="649" spans="1:1" x14ac:dyDescent="0.35">
      <c r="A649" s="6" t="s">
        <v>331</v>
      </c>
    </row>
    <row r="650" spans="1:1" x14ac:dyDescent="0.35">
      <c r="A650" s="13" t="s">
        <v>43</v>
      </c>
    </row>
    <row r="651" spans="1:1" x14ac:dyDescent="0.35">
      <c r="A651" s="13" t="s">
        <v>46</v>
      </c>
    </row>
    <row r="652" spans="1:1" x14ac:dyDescent="0.35">
      <c r="A652" s="6" t="s">
        <v>332</v>
      </c>
    </row>
    <row r="653" spans="1:1" x14ac:dyDescent="0.35">
      <c r="A653" s="13" t="s">
        <v>46</v>
      </c>
    </row>
    <row r="654" spans="1:1" x14ac:dyDescent="0.35">
      <c r="A654" s="6" t="s">
        <v>333</v>
      </c>
    </row>
    <row r="655" spans="1:1" x14ac:dyDescent="0.35">
      <c r="A655" s="13" t="s">
        <v>39</v>
      </c>
    </row>
    <row r="656" spans="1:1" x14ac:dyDescent="0.35">
      <c r="A656" s="6" t="s">
        <v>335</v>
      </c>
    </row>
    <row r="657" spans="1:1" x14ac:dyDescent="0.35">
      <c r="A657" s="13" t="s">
        <v>39</v>
      </c>
    </row>
    <row r="658" spans="1:1" x14ac:dyDescent="0.35">
      <c r="A658" s="6" t="s">
        <v>336</v>
      </c>
    </row>
    <row r="659" spans="1:1" x14ac:dyDescent="0.35">
      <c r="A659" s="13" t="s">
        <v>39</v>
      </c>
    </row>
    <row r="660" spans="1:1" x14ac:dyDescent="0.35">
      <c r="A660" s="13" t="s">
        <v>47</v>
      </c>
    </row>
    <row r="661" spans="1:1" x14ac:dyDescent="0.35">
      <c r="A661" s="13" t="s">
        <v>43</v>
      </c>
    </row>
    <row r="662" spans="1:1" x14ac:dyDescent="0.35">
      <c r="A662" s="6" t="s">
        <v>337</v>
      </c>
    </row>
    <row r="663" spans="1:1" x14ac:dyDescent="0.35">
      <c r="A663" s="13" t="s">
        <v>39</v>
      </c>
    </row>
    <row r="664" spans="1:1" x14ac:dyDescent="0.35">
      <c r="A664" s="13" t="s">
        <v>47</v>
      </c>
    </row>
    <row r="665" spans="1:1" x14ac:dyDescent="0.35">
      <c r="A665" s="6" t="s">
        <v>338</v>
      </c>
    </row>
    <row r="666" spans="1:1" x14ac:dyDescent="0.35">
      <c r="A666" s="13" t="s">
        <v>47</v>
      </c>
    </row>
    <row r="667" spans="1:1" x14ac:dyDescent="0.35">
      <c r="A667" s="13" t="s">
        <v>43</v>
      </c>
    </row>
    <row r="668" spans="1:1" x14ac:dyDescent="0.35">
      <c r="A668" s="13" t="s">
        <v>46</v>
      </c>
    </row>
    <row r="669" spans="1:1" x14ac:dyDescent="0.35">
      <c r="A669" s="6" t="s">
        <v>339</v>
      </c>
    </row>
    <row r="670" spans="1:1" x14ac:dyDescent="0.35">
      <c r="A670" s="13" t="s">
        <v>39</v>
      </c>
    </row>
    <row r="671" spans="1:1" x14ac:dyDescent="0.35">
      <c r="A671" s="13" t="s">
        <v>47</v>
      </c>
    </row>
    <row r="672" spans="1:1" x14ac:dyDescent="0.35">
      <c r="A672" s="13" t="s">
        <v>43</v>
      </c>
    </row>
    <row r="673" spans="1:1" x14ac:dyDescent="0.35">
      <c r="A673" s="13" t="s">
        <v>46</v>
      </c>
    </row>
    <row r="674" spans="1:1" x14ac:dyDescent="0.35">
      <c r="A674" s="6" t="s">
        <v>340</v>
      </c>
    </row>
    <row r="675" spans="1:1" x14ac:dyDescent="0.35">
      <c r="A675" s="13" t="s">
        <v>43</v>
      </c>
    </row>
    <row r="676" spans="1:1" x14ac:dyDescent="0.35">
      <c r="A676" s="6" t="s">
        <v>341</v>
      </c>
    </row>
    <row r="677" spans="1:1" x14ac:dyDescent="0.35">
      <c r="A677" s="13" t="s">
        <v>46</v>
      </c>
    </row>
    <row r="678" spans="1:1" x14ac:dyDescent="0.35">
      <c r="A678" s="6" t="s">
        <v>342</v>
      </c>
    </row>
    <row r="679" spans="1:1" x14ac:dyDescent="0.35">
      <c r="A679" s="13" t="s">
        <v>39</v>
      </c>
    </row>
    <row r="680" spans="1:1" x14ac:dyDescent="0.35">
      <c r="A680" s="13" t="s">
        <v>43</v>
      </c>
    </row>
    <row r="681" spans="1:1" x14ac:dyDescent="0.35">
      <c r="A681" s="13" t="s">
        <v>46</v>
      </c>
    </row>
    <row r="682" spans="1:1" x14ac:dyDescent="0.35">
      <c r="A682" s="6" t="s">
        <v>343</v>
      </c>
    </row>
    <row r="683" spans="1:1" x14ac:dyDescent="0.35">
      <c r="A683" s="13" t="s">
        <v>39</v>
      </c>
    </row>
    <row r="684" spans="1:1" x14ac:dyDescent="0.35">
      <c r="A684" s="13" t="s">
        <v>47</v>
      </c>
    </row>
    <row r="685" spans="1:1" x14ac:dyDescent="0.35">
      <c r="A685" s="13" t="s">
        <v>43</v>
      </c>
    </row>
    <row r="686" spans="1:1" x14ac:dyDescent="0.35">
      <c r="A686" s="6" t="s">
        <v>344</v>
      </c>
    </row>
    <row r="687" spans="1:1" x14ac:dyDescent="0.35">
      <c r="A687" s="13" t="s">
        <v>39</v>
      </c>
    </row>
    <row r="688" spans="1:1" x14ac:dyDescent="0.35">
      <c r="A688" s="13" t="s">
        <v>47</v>
      </c>
    </row>
    <row r="689" spans="1:1" x14ac:dyDescent="0.35">
      <c r="A689" s="13" t="s">
        <v>43</v>
      </c>
    </row>
    <row r="690" spans="1:1" x14ac:dyDescent="0.35">
      <c r="A690" s="13" t="s">
        <v>46</v>
      </c>
    </row>
    <row r="691" spans="1:1" x14ac:dyDescent="0.35">
      <c r="A691" s="6" t="s">
        <v>345</v>
      </c>
    </row>
    <row r="692" spans="1:1" x14ac:dyDescent="0.35">
      <c r="A692" s="13" t="s">
        <v>39</v>
      </c>
    </row>
    <row r="693" spans="1:1" x14ac:dyDescent="0.35">
      <c r="A693" s="6" t="s">
        <v>346</v>
      </c>
    </row>
    <row r="694" spans="1:1" x14ac:dyDescent="0.35">
      <c r="A694" s="13" t="s">
        <v>47</v>
      </c>
    </row>
    <row r="695" spans="1:1" x14ac:dyDescent="0.35">
      <c r="A695" s="6" t="s">
        <v>347</v>
      </c>
    </row>
    <row r="696" spans="1:1" x14ac:dyDescent="0.35">
      <c r="A696" s="13" t="s">
        <v>43</v>
      </c>
    </row>
    <row r="697" spans="1:1" x14ac:dyDescent="0.35">
      <c r="A697" s="6" t="s">
        <v>348</v>
      </c>
    </row>
    <row r="698" spans="1:1" x14ac:dyDescent="0.35">
      <c r="A698" s="13" t="s">
        <v>46</v>
      </c>
    </row>
    <row r="699" spans="1:1" x14ac:dyDescent="0.35">
      <c r="A699" s="6" t="s">
        <v>350</v>
      </c>
    </row>
    <row r="700" spans="1:1" x14ac:dyDescent="0.35">
      <c r="A700" s="13" t="s">
        <v>39</v>
      </c>
    </row>
    <row r="701" spans="1:1" x14ac:dyDescent="0.35">
      <c r="A701" s="13" t="s">
        <v>43</v>
      </c>
    </row>
    <row r="702" spans="1:1" x14ac:dyDescent="0.35">
      <c r="A702" s="13" t="s">
        <v>46</v>
      </c>
    </row>
    <row r="703" spans="1:1" x14ac:dyDescent="0.35">
      <c r="A703" s="6" t="s">
        <v>351</v>
      </c>
    </row>
    <row r="704" spans="1:1" x14ac:dyDescent="0.35">
      <c r="A704" s="13" t="s">
        <v>46</v>
      </c>
    </row>
    <row r="705" spans="1:1" x14ac:dyDescent="0.35">
      <c r="A705" s="6" t="s">
        <v>352</v>
      </c>
    </row>
    <row r="706" spans="1:1" x14ac:dyDescent="0.35">
      <c r="A706" s="13" t="s">
        <v>46</v>
      </c>
    </row>
    <row r="707" spans="1:1" x14ac:dyDescent="0.35">
      <c r="A707" s="6" t="s">
        <v>353</v>
      </c>
    </row>
    <row r="708" spans="1:1" x14ac:dyDescent="0.35">
      <c r="A708" s="13" t="s">
        <v>39</v>
      </c>
    </row>
    <row r="709" spans="1:1" x14ac:dyDescent="0.35">
      <c r="A709" s="13" t="s">
        <v>47</v>
      </c>
    </row>
    <row r="710" spans="1:1" x14ac:dyDescent="0.35">
      <c r="A710" s="6" t="s">
        <v>354</v>
      </c>
    </row>
    <row r="711" spans="1:1" x14ac:dyDescent="0.35">
      <c r="A711" s="13" t="s">
        <v>39</v>
      </c>
    </row>
    <row r="712" spans="1:1" x14ac:dyDescent="0.35">
      <c r="A712" s="6" t="s">
        <v>355</v>
      </c>
    </row>
    <row r="713" spans="1:1" x14ac:dyDescent="0.35">
      <c r="A713" s="13" t="s">
        <v>39</v>
      </c>
    </row>
    <row r="714" spans="1:1" x14ac:dyDescent="0.35">
      <c r="A714" s="13" t="s">
        <v>47</v>
      </c>
    </row>
    <row r="715" spans="1:1" x14ac:dyDescent="0.35">
      <c r="A715" s="13" t="s">
        <v>43</v>
      </c>
    </row>
    <row r="716" spans="1:1" x14ac:dyDescent="0.35">
      <c r="A716" s="13" t="s">
        <v>46</v>
      </c>
    </row>
    <row r="717" spans="1:1" x14ac:dyDescent="0.35">
      <c r="A717" s="6" t="s">
        <v>356</v>
      </c>
    </row>
    <row r="718" spans="1:1" x14ac:dyDescent="0.35">
      <c r="A718" s="13" t="s">
        <v>46</v>
      </c>
    </row>
    <row r="719" spans="1:1" x14ac:dyDescent="0.35">
      <c r="A719" s="6" t="s">
        <v>357</v>
      </c>
    </row>
    <row r="720" spans="1:1" x14ac:dyDescent="0.35">
      <c r="A720" s="13" t="s">
        <v>39</v>
      </c>
    </row>
    <row r="721" spans="1:1" x14ac:dyDescent="0.35">
      <c r="A721" s="13" t="s">
        <v>47</v>
      </c>
    </row>
    <row r="722" spans="1:1" x14ac:dyDescent="0.35">
      <c r="A722" s="13" t="s">
        <v>43</v>
      </c>
    </row>
    <row r="723" spans="1:1" x14ac:dyDescent="0.35">
      <c r="A723" s="13" t="s">
        <v>46</v>
      </c>
    </row>
    <row r="724" spans="1:1" x14ac:dyDescent="0.35">
      <c r="A724" s="6" t="s">
        <v>358</v>
      </c>
    </row>
    <row r="725" spans="1:1" x14ac:dyDescent="0.35">
      <c r="A725" s="13" t="s">
        <v>39</v>
      </c>
    </row>
    <row r="726" spans="1:1" x14ac:dyDescent="0.35">
      <c r="A726" s="13" t="s">
        <v>47</v>
      </c>
    </row>
    <row r="727" spans="1:1" x14ac:dyDescent="0.35">
      <c r="A727" s="6" t="s">
        <v>359</v>
      </c>
    </row>
    <row r="728" spans="1:1" x14ac:dyDescent="0.35">
      <c r="A728" s="13" t="s">
        <v>47</v>
      </c>
    </row>
    <row r="729" spans="1:1" x14ac:dyDescent="0.35">
      <c r="A729" s="13" t="s">
        <v>43</v>
      </c>
    </row>
    <row r="730" spans="1:1" x14ac:dyDescent="0.35">
      <c r="A730" s="13" t="s">
        <v>46</v>
      </c>
    </row>
    <row r="731" spans="1:1" x14ac:dyDescent="0.35">
      <c r="A731" s="6" t="s">
        <v>360</v>
      </c>
    </row>
    <row r="732" spans="1:1" x14ac:dyDescent="0.35">
      <c r="A732" s="13" t="s">
        <v>43</v>
      </c>
    </row>
    <row r="733" spans="1:1" x14ac:dyDescent="0.35">
      <c r="A733" s="13" t="s">
        <v>46</v>
      </c>
    </row>
    <row r="734" spans="1:1" x14ac:dyDescent="0.35">
      <c r="A734" s="6" t="s">
        <v>362</v>
      </c>
    </row>
    <row r="735" spans="1:1" x14ac:dyDescent="0.35">
      <c r="A735" s="13" t="s">
        <v>43</v>
      </c>
    </row>
    <row r="736" spans="1:1" x14ac:dyDescent="0.35">
      <c r="A736" s="13" t="s">
        <v>46</v>
      </c>
    </row>
    <row r="737" spans="1:1" x14ac:dyDescent="0.35">
      <c r="A737" s="6" t="s">
        <v>363</v>
      </c>
    </row>
    <row r="738" spans="1:1" x14ac:dyDescent="0.35">
      <c r="A738" s="13" t="s">
        <v>39</v>
      </c>
    </row>
    <row r="739" spans="1:1" x14ac:dyDescent="0.35">
      <c r="A739" s="6" t="s">
        <v>364</v>
      </c>
    </row>
    <row r="740" spans="1:1" x14ac:dyDescent="0.35">
      <c r="A740" s="13" t="s">
        <v>46</v>
      </c>
    </row>
    <row r="741" spans="1:1" x14ac:dyDescent="0.35">
      <c r="A741" s="6" t="s">
        <v>366</v>
      </c>
    </row>
    <row r="742" spans="1:1" x14ac:dyDescent="0.35">
      <c r="A742" s="13" t="s">
        <v>46</v>
      </c>
    </row>
    <row r="743" spans="1:1" x14ac:dyDescent="0.35">
      <c r="A743" s="6" t="s">
        <v>367</v>
      </c>
    </row>
    <row r="744" spans="1:1" x14ac:dyDescent="0.35">
      <c r="A744" s="13" t="s">
        <v>43</v>
      </c>
    </row>
    <row r="745" spans="1:1" x14ac:dyDescent="0.35">
      <c r="A745" s="6" t="s">
        <v>368</v>
      </c>
    </row>
    <row r="746" spans="1:1" x14ac:dyDescent="0.35">
      <c r="A746" s="13" t="s">
        <v>39</v>
      </c>
    </row>
    <row r="747" spans="1:1" x14ac:dyDescent="0.35">
      <c r="A747" s="13" t="s">
        <v>47</v>
      </c>
    </row>
    <row r="748" spans="1:1" x14ac:dyDescent="0.35">
      <c r="A748" s="6" t="s">
        <v>369</v>
      </c>
    </row>
    <row r="749" spans="1:1" x14ac:dyDescent="0.35">
      <c r="A749" s="13" t="s">
        <v>39</v>
      </c>
    </row>
    <row r="750" spans="1:1" x14ac:dyDescent="0.35">
      <c r="A750" s="13" t="s">
        <v>47</v>
      </c>
    </row>
    <row r="751" spans="1:1" x14ac:dyDescent="0.35">
      <c r="A751" s="6" t="s">
        <v>370</v>
      </c>
    </row>
    <row r="752" spans="1:1" x14ac:dyDescent="0.35">
      <c r="A752" s="13" t="s">
        <v>46</v>
      </c>
    </row>
    <row r="753" spans="1:1" x14ac:dyDescent="0.35">
      <c r="A753" s="6" t="s">
        <v>373</v>
      </c>
    </row>
    <row r="754" spans="1:1" x14ac:dyDescent="0.35">
      <c r="A754" s="13" t="s">
        <v>39</v>
      </c>
    </row>
    <row r="755" spans="1:1" x14ac:dyDescent="0.35">
      <c r="A755" s="6" t="s">
        <v>374</v>
      </c>
    </row>
    <row r="756" spans="1:1" x14ac:dyDescent="0.35">
      <c r="A756" s="13" t="s">
        <v>47</v>
      </c>
    </row>
    <row r="757" spans="1:1" x14ac:dyDescent="0.35">
      <c r="A757" s="13" t="s">
        <v>43</v>
      </c>
    </row>
    <row r="758" spans="1:1" x14ac:dyDescent="0.35">
      <c r="A758" s="13" t="s">
        <v>46</v>
      </c>
    </row>
    <row r="759" spans="1:1" x14ac:dyDescent="0.35">
      <c r="A759" s="6" t="s">
        <v>375</v>
      </c>
    </row>
    <row r="760" spans="1:1" x14ac:dyDescent="0.35">
      <c r="A760" s="13" t="s">
        <v>39</v>
      </c>
    </row>
    <row r="761" spans="1:1" x14ac:dyDescent="0.35">
      <c r="A761" s="13" t="s">
        <v>47</v>
      </c>
    </row>
    <row r="762" spans="1:1" x14ac:dyDescent="0.35">
      <c r="A762" s="6" t="s">
        <v>371</v>
      </c>
    </row>
    <row r="763" spans="1:1" x14ac:dyDescent="0.35">
      <c r="A763" s="13" t="s">
        <v>39</v>
      </c>
    </row>
    <row r="764" spans="1:1" x14ac:dyDescent="0.35">
      <c r="A764" s="13" t="s">
        <v>47</v>
      </c>
    </row>
    <row r="765" spans="1:1" x14ac:dyDescent="0.35">
      <c r="A765" s="6" t="s">
        <v>372</v>
      </c>
    </row>
    <row r="766" spans="1:1" x14ac:dyDescent="0.35">
      <c r="A766" s="13" t="s">
        <v>43</v>
      </c>
    </row>
    <row r="767" spans="1:1" x14ac:dyDescent="0.35">
      <c r="A767" s="13" t="s">
        <v>46</v>
      </c>
    </row>
    <row r="768" spans="1:1" x14ac:dyDescent="0.35">
      <c r="A768" s="6" t="s">
        <v>376</v>
      </c>
    </row>
    <row r="769" spans="1:1" x14ac:dyDescent="0.35">
      <c r="A769" s="13" t="s">
        <v>39</v>
      </c>
    </row>
    <row r="770" spans="1:1" x14ac:dyDescent="0.35">
      <c r="A770" s="13" t="s">
        <v>47</v>
      </c>
    </row>
    <row r="771" spans="1:1" x14ac:dyDescent="0.35">
      <c r="A771" s="13" t="s">
        <v>43</v>
      </c>
    </row>
    <row r="772" spans="1:1" x14ac:dyDescent="0.35">
      <c r="A772" s="6" t="s">
        <v>377</v>
      </c>
    </row>
    <row r="773" spans="1:1" x14ac:dyDescent="0.35">
      <c r="A773" s="13" t="s">
        <v>39</v>
      </c>
    </row>
    <row r="774" spans="1:1" x14ac:dyDescent="0.35">
      <c r="A774" s="13" t="s">
        <v>47</v>
      </c>
    </row>
    <row r="775" spans="1:1" x14ac:dyDescent="0.35">
      <c r="A775" s="6" t="s">
        <v>378</v>
      </c>
    </row>
    <row r="776" spans="1:1" x14ac:dyDescent="0.35">
      <c r="A776" s="13" t="s">
        <v>39</v>
      </c>
    </row>
    <row r="777" spans="1:1" x14ac:dyDescent="0.35">
      <c r="A777" s="13" t="s">
        <v>47</v>
      </c>
    </row>
    <row r="778" spans="1:1" x14ac:dyDescent="0.35">
      <c r="A778" s="13" t="s">
        <v>43</v>
      </c>
    </row>
    <row r="779" spans="1:1" x14ac:dyDescent="0.35">
      <c r="A779" s="6" t="s">
        <v>379</v>
      </c>
    </row>
    <row r="780" spans="1:1" x14ac:dyDescent="0.35">
      <c r="A780" s="13" t="s">
        <v>39</v>
      </c>
    </row>
    <row r="781" spans="1:1" x14ac:dyDescent="0.35">
      <c r="A781" s="6" t="s">
        <v>380</v>
      </c>
    </row>
    <row r="782" spans="1:1" x14ac:dyDescent="0.35">
      <c r="A782" s="13" t="s">
        <v>47</v>
      </c>
    </row>
    <row r="783" spans="1:1" x14ac:dyDescent="0.35">
      <c r="A783" s="6" t="s">
        <v>381</v>
      </c>
    </row>
    <row r="784" spans="1:1" x14ac:dyDescent="0.35">
      <c r="A784" s="13" t="s">
        <v>39</v>
      </c>
    </row>
    <row r="785" spans="1:1" x14ac:dyDescent="0.35">
      <c r="A785" s="13" t="s">
        <v>47</v>
      </c>
    </row>
    <row r="786" spans="1:1" x14ac:dyDescent="0.35">
      <c r="A786" s="13" t="s">
        <v>43</v>
      </c>
    </row>
    <row r="787" spans="1:1" x14ac:dyDescent="0.35">
      <c r="A787" s="6" t="s">
        <v>382</v>
      </c>
    </row>
    <row r="788" spans="1:1" x14ac:dyDescent="0.35">
      <c r="A788" s="13" t="s">
        <v>47</v>
      </c>
    </row>
    <row r="789" spans="1:1" x14ac:dyDescent="0.35">
      <c r="A789" s="6" t="s">
        <v>383</v>
      </c>
    </row>
    <row r="790" spans="1:1" x14ac:dyDescent="0.35">
      <c r="A790" s="13" t="s">
        <v>47</v>
      </c>
    </row>
    <row r="791" spans="1:1" x14ac:dyDescent="0.35">
      <c r="A791" s="6" t="s">
        <v>384</v>
      </c>
    </row>
    <row r="792" spans="1:1" x14ac:dyDescent="0.35">
      <c r="A792" s="13" t="s">
        <v>39</v>
      </c>
    </row>
    <row r="793" spans="1:1" x14ac:dyDescent="0.35">
      <c r="A793" s="13" t="s">
        <v>47</v>
      </c>
    </row>
    <row r="794" spans="1:1" x14ac:dyDescent="0.35">
      <c r="A794" s="13" t="s">
        <v>43</v>
      </c>
    </row>
    <row r="795" spans="1:1" x14ac:dyDescent="0.35">
      <c r="A795" s="13" t="s">
        <v>46</v>
      </c>
    </row>
    <row r="796" spans="1:1" x14ac:dyDescent="0.35">
      <c r="A796" s="6" t="s">
        <v>385</v>
      </c>
    </row>
    <row r="797" spans="1:1" x14ac:dyDescent="0.35">
      <c r="A797" s="13" t="s">
        <v>39</v>
      </c>
    </row>
    <row r="798" spans="1:1" x14ac:dyDescent="0.35">
      <c r="A798" s="13" t="s">
        <v>47</v>
      </c>
    </row>
    <row r="799" spans="1:1" x14ac:dyDescent="0.35">
      <c r="A799" s="13" t="s">
        <v>46</v>
      </c>
    </row>
    <row r="800" spans="1:1" x14ac:dyDescent="0.35">
      <c r="A800" s="6" t="s">
        <v>386</v>
      </c>
    </row>
    <row r="801" spans="1:1" x14ac:dyDescent="0.35">
      <c r="A801" s="13" t="s">
        <v>39</v>
      </c>
    </row>
    <row r="802" spans="1:1" x14ac:dyDescent="0.35">
      <c r="A802" s="13" t="s">
        <v>47</v>
      </c>
    </row>
    <row r="803" spans="1:1" x14ac:dyDescent="0.35">
      <c r="A803" s="6" t="s">
        <v>387</v>
      </c>
    </row>
    <row r="804" spans="1:1" x14ac:dyDescent="0.35">
      <c r="A804" s="13" t="s">
        <v>39</v>
      </c>
    </row>
    <row r="805" spans="1:1" x14ac:dyDescent="0.35">
      <c r="A805" s="13" t="s">
        <v>47</v>
      </c>
    </row>
    <row r="806" spans="1:1" x14ac:dyDescent="0.35">
      <c r="A806" s="6" t="s">
        <v>388</v>
      </c>
    </row>
    <row r="807" spans="1:1" x14ac:dyDescent="0.35">
      <c r="A807" s="13" t="s">
        <v>39</v>
      </c>
    </row>
    <row r="808" spans="1:1" x14ac:dyDescent="0.35">
      <c r="A808" s="13" t="s">
        <v>43</v>
      </c>
    </row>
    <row r="809" spans="1:1" x14ac:dyDescent="0.35">
      <c r="A809" s="13" t="s">
        <v>46</v>
      </c>
    </row>
    <row r="810" spans="1:1" x14ac:dyDescent="0.35">
      <c r="A810" s="6" t="s">
        <v>389</v>
      </c>
    </row>
    <row r="811" spans="1:1" x14ac:dyDescent="0.35">
      <c r="A811" s="13" t="s">
        <v>39</v>
      </c>
    </row>
    <row r="812" spans="1:1" x14ac:dyDescent="0.35">
      <c r="A812" s="13" t="s">
        <v>47</v>
      </c>
    </row>
    <row r="813" spans="1:1" x14ac:dyDescent="0.35">
      <c r="A813" s="6" t="s">
        <v>390</v>
      </c>
    </row>
    <row r="814" spans="1:1" x14ac:dyDescent="0.35">
      <c r="A814" s="13" t="s">
        <v>46</v>
      </c>
    </row>
    <row r="815" spans="1:1" x14ac:dyDescent="0.35">
      <c r="A815" s="6" t="s">
        <v>391</v>
      </c>
    </row>
    <row r="816" spans="1:1" x14ac:dyDescent="0.35">
      <c r="A816" s="13" t="s">
        <v>46</v>
      </c>
    </row>
    <row r="817" spans="1:1" x14ac:dyDescent="0.35">
      <c r="A817" s="6" t="s">
        <v>392</v>
      </c>
    </row>
    <row r="818" spans="1:1" x14ac:dyDescent="0.35">
      <c r="A818" s="13" t="s">
        <v>39</v>
      </c>
    </row>
    <row r="819" spans="1:1" x14ac:dyDescent="0.35">
      <c r="A819" s="6" t="s">
        <v>393</v>
      </c>
    </row>
    <row r="820" spans="1:1" x14ac:dyDescent="0.35">
      <c r="A820" s="13" t="s">
        <v>47</v>
      </c>
    </row>
    <row r="821" spans="1:1" x14ac:dyDescent="0.35">
      <c r="A821" s="13" t="s">
        <v>43</v>
      </c>
    </row>
    <row r="822" spans="1:1" x14ac:dyDescent="0.35">
      <c r="A822" s="13" t="s">
        <v>46</v>
      </c>
    </row>
    <row r="823" spans="1:1" x14ac:dyDescent="0.35">
      <c r="A823" s="6" t="s">
        <v>394</v>
      </c>
    </row>
    <row r="824" spans="1:1" x14ac:dyDescent="0.35">
      <c r="A824" s="13" t="s">
        <v>47</v>
      </c>
    </row>
    <row r="825" spans="1:1" x14ac:dyDescent="0.35">
      <c r="A825" s="6" t="s">
        <v>395</v>
      </c>
    </row>
    <row r="826" spans="1:1" x14ac:dyDescent="0.35">
      <c r="A826" s="13" t="s">
        <v>39</v>
      </c>
    </row>
    <row r="827" spans="1:1" x14ac:dyDescent="0.35">
      <c r="A827" s="6" t="s">
        <v>396</v>
      </c>
    </row>
    <row r="828" spans="1:1" x14ac:dyDescent="0.35">
      <c r="A828" s="13" t="s">
        <v>43</v>
      </c>
    </row>
    <row r="829" spans="1:1" x14ac:dyDescent="0.35">
      <c r="A829" s="6" t="s">
        <v>398</v>
      </c>
    </row>
    <row r="830" spans="1:1" x14ac:dyDescent="0.35">
      <c r="A830" s="13" t="s">
        <v>39</v>
      </c>
    </row>
    <row r="831" spans="1:1" x14ac:dyDescent="0.35">
      <c r="A831" s="13" t="s">
        <v>47</v>
      </c>
    </row>
    <row r="832" spans="1:1" x14ac:dyDescent="0.35">
      <c r="A832" s="13" t="s">
        <v>43</v>
      </c>
    </row>
    <row r="833" spans="1:1" x14ac:dyDescent="0.35">
      <c r="A833" s="13" t="s">
        <v>46</v>
      </c>
    </row>
    <row r="834" spans="1:1" x14ac:dyDescent="0.35">
      <c r="A834" s="6" t="s">
        <v>401</v>
      </c>
    </row>
    <row r="835" spans="1:1" x14ac:dyDescent="0.35">
      <c r="A835" s="13" t="s">
        <v>47</v>
      </c>
    </row>
    <row r="836" spans="1:1" x14ac:dyDescent="0.35">
      <c r="A836" s="13" t="s">
        <v>43</v>
      </c>
    </row>
    <row r="837" spans="1:1" x14ac:dyDescent="0.35">
      <c r="A837" s="6" t="s">
        <v>402</v>
      </c>
    </row>
    <row r="838" spans="1:1" x14ac:dyDescent="0.35">
      <c r="A838" s="13" t="s">
        <v>39</v>
      </c>
    </row>
    <row r="839" spans="1:1" x14ac:dyDescent="0.35">
      <c r="A839" s="13" t="s">
        <v>47</v>
      </c>
    </row>
    <row r="840" spans="1:1" x14ac:dyDescent="0.35">
      <c r="A840" s="13" t="s">
        <v>43</v>
      </c>
    </row>
    <row r="841" spans="1:1" x14ac:dyDescent="0.35">
      <c r="A841" s="13" t="s">
        <v>46</v>
      </c>
    </row>
    <row r="842" spans="1:1" x14ac:dyDescent="0.35">
      <c r="A842" s="6" t="s">
        <v>403</v>
      </c>
    </row>
    <row r="843" spans="1:1" x14ac:dyDescent="0.35">
      <c r="A843" s="13" t="s">
        <v>39</v>
      </c>
    </row>
    <row r="844" spans="1:1" x14ac:dyDescent="0.35">
      <c r="A844" s="13" t="s">
        <v>47</v>
      </c>
    </row>
    <row r="845" spans="1:1" x14ac:dyDescent="0.35">
      <c r="A845" s="13" t="s">
        <v>43</v>
      </c>
    </row>
    <row r="846" spans="1:1" x14ac:dyDescent="0.35">
      <c r="A846" s="13" t="s">
        <v>46</v>
      </c>
    </row>
    <row r="847" spans="1:1" x14ac:dyDescent="0.35">
      <c r="A847" s="6" t="s">
        <v>404</v>
      </c>
    </row>
    <row r="848" spans="1:1" x14ac:dyDescent="0.35">
      <c r="A848" s="13" t="s">
        <v>47</v>
      </c>
    </row>
    <row r="849" spans="1:1" x14ac:dyDescent="0.35">
      <c r="A849" s="13" t="s">
        <v>43</v>
      </c>
    </row>
    <row r="850" spans="1:1" x14ac:dyDescent="0.35">
      <c r="A850" s="13" t="s">
        <v>46</v>
      </c>
    </row>
    <row r="851" spans="1:1" x14ac:dyDescent="0.35">
      <c r="A851" s="6" t="s">
        <v>405</v>
      </c>
    </row>
    <row r="852" spans="1:1" x14ac:dyDescent="0.35">
      <c r="A852" s="13" t="s">
        <v>47</v>
      </c>
    </row>
    <row r="853" spans="1:1" x14ac:dyDescent="0.35">
      <c r="A853" s="13" t="s">
        <v>43</v>
      </c>
    </row>
    <row r="854" spans="1:1" x14ac:dyDescent="0.35">
      <c r="A854" s="13" t="s">
        <v>46</v>
      </c>
    </row>
    <row r="855" spans="1:1" x14ac:dyDescent="0.35">
      <c r="A855" s="6" t="s">
        <v>406</v>
      </c>
    </row>
    <row r="856" spans="1:1" x14ac:dyDescent="0.35">
      <c r="A856" s="13" t="s">
        <v>46</v>
      </c>
    </row>
    <row r="857" spans="1:1" x14ac:dyDescent="0.35">
      <c r="A857" s="6" t="s">
        <v>399</v>
      </c>
    </row>
    <row r="858" spans="1:1" x14ac:dyDescent="0.35">
      <c r="A858" s="13" t="s">
        <v>47</v>
      </c>
    </row>
    <row r="859" spans="1:1" x14ac:dyDescent="0.35">
      <c r="A859" s="6" t="s">
        <v>407</v>
      </c>
    </row>
    <row r="860" spans="1:1" x14ac:dyDescent="0.35">
      <c r="A860" s="13" t="s">
        <v>39</v>
      </c>
    </row>
    <row r="861" spans="1:1" x14ac:dyDescent="0.35">
      <c r="A861" s="13" t="s">
        <v>47</v>
      </c>
    </row>
    <row r="862" spans="1:1" x14ac:dyDescent="0.35">
      <c r="A862" s="13" t="s">
        <v>43</v>
      </c>
    </row>
    <row r="863" spans="1:1" x14ac:dyDescent="0.35">
      <c r="A863" s="13" t="s">
        <v>46</v>
      </c>
    </row>
    <row r="864" spans="1:1" x14ac:dyDescent="0.35">
      <c r="A864" s="6" t="s">
        <v>400</v>
      </c>
    </row>
    <row r="865" spans="1:1" x14ac:dyDescent="0.35">
      <c r="A865" s="13" t="s">
        <v>46</v>
      </c>
    </row>
    <row r="866" spans="1:1" x14ac:dyDescent="0.35">
      <c r="A866" s="6" t="s">
        <v>408</v>
      </c>
    </row>
    <row r="867" spans="1:1" x14ac:dyDescent="0.35">
      <c r="A867" s="13" t="s">
        <v>47</v>
      </c>
    </row>
    <row r="868" spans="1:1" x14ac:dyDescent="0.35">
      <c r="A868" s="13" t="s">
        <v>43</v>
      </c>
    </row>
    <row r="869" spans="1:1" x14ac:dyDescent="0.35">
      <c r="A869" s="13" t="s">
        <v>46</v>
      </c>
    </row>
    <row r="870" spans="1:1" x14ac:dyDescent="0.35">
      <c r="A870" s="6" t="s">
        <v>410</v>
      </c>
    </row>
    <row r="871" spans="1:1" x14ac:dyDescent="0.35">
      <c r="A871" s="13" t="s">
        <v>39</v>
      </c>
    </row>
    <row r="872" spans="1:1" x14ac:dyDescent="0.35">
      <c r="A872" s="13" t="s">
        <v>47</v>
      </c>
    </row>
    <row r="873" spans="1:1" x14ac:dyDescent="0.35">
      <c r="A873" s="6" t="s">
        <v>411</v>
      </c>
    </row>
    <row r="874" spans="1:1" x14ac:dyDescent="0.35">
      <c r="A874" s="13" t="s">
        <v>39</v>
      </c>
    </row>
    <row r="875" spans="1:1" x14ac:dyDescent="0.35">
      <c r="A875" s="13" t="s">
        <v>47</v>
      </c>
    </row>
    <row r="876" spans="1:1" x14ac:dyDescent="0.35">
      <c r="A876" s="13" t="s">
        <v>43</v>
      </c>
    </row>
    <row r="877" spans="1:1" x14ac:dyDescent="0.35">
      <c r="A877" s="13" t="s">
        <v>46</v>
      </c>
    </row>
    <row r="878" spans="1:1" x14ac:dyDescent="0.35">
      <c r="A878" s="6" t="s">
        <v>412</v>
      </c>
    </row>
    <row r="879" spans="1:1" x14ac:dyDescent="0.35">
      <c r="A879" s="13" t="s">
        <v>39</v>
      </c>
    </row>
    <row r="880" spans="1:1" x14ac:dyDescent="0.35">
      <c r="A880" s="6" t="s">
        <v>413</v>
      </c>
    </row>
    <row r="881" spans="1:1" x14ac:dyDescent="0.35">
      <c r="A881" s="13" t="s">
        <v>47</v>
      </c>
    </row>
    <row r="882" spans="1:1" x14ac:dyDescent="0.35">
      <c r="A882" s="13" t="s">
        <v>43</v>
      </c>
    </row>
    <row r="883" spans="1:1" x14ac:dyDescent="0.35">
      <c r="A883" s="13" t="s">
        <v>46</v>
      </c>
    </row>
    <row r="884" spans="1:1" x14ac:dyDescent="0.35">
      <c r="A884" s="6" t="s">
        <v>414</v>
      </c>
    </row>
    <row r="885" spans="1:1" x14ac:dyDescent="0.35">
      <c r="A885" s="13" t="s">
        <v>43</v>
      </c>
    </row>
    <row r="886" spans="1:1" x14ac:dyDescent="0.35">
      <c r="A886" s="13" t="s">
        <v>46</v>
      </c>
    </row>
    <row r="887" spans="1:1" x14ac:dyDescent="0.35">
      <c r="A887" s="6" t="s">
        <v>415</v>
      </c>
    </row>
    <row r="888" spans="1:1" x14ac:dyDescent="0.35">
      <c r="A888" s="13" t="s">
        <v>46</v>
      </c>
    </row>
    <row r="889" spans="1:1" x14ac:dyDescent="0.35">
      <c r="A889" s="6" t="s">
        <v>416</v>
      </c>
    </row>
    <row r="890" spans="1:1" x14ac:dyDescent="0.35">
      <c r="A890" s="13" t="s">
        <v>47</v>
      </c>
    </row>
    <row r="891" spans="1:1" x14ac:dyDescent="0.35">
      <c r="A891" s="13" t="s">
        <v>46</v>
      </c>
    </row>
    <row r="892" spans="1:1" x14ac:dyDescent="0.35">
      <c r="A892" s="6" t="s">
        <v>417</v>
      </c>
    </row>
    <row r="893" spans="1:1" x14ac:dyDescent="0.35">
      <c r="A893" s="13" t="s">
        <v>43</v>
      </c>
    </row>
    <row r="894" spans="1:1" x14ac:dyDescent="0.35">
      <c r="A894" s="6" t="s">
        <v>418</v>
      </c>
    </row>
    <row r="895" spans="1:1" x14ac:dyDescent="0.35">
      <c r="A895" s="13" t="s">
        <v>47</v>
      </c>
    </row>
    <row r="896" spans="1:1" x14ac:dyDescent="0.35">
      <c r="A896" s="13" t="s">
        <v>43</v>
      </c>
    </row>
    <row r="897" spans="1:1" x14ac:dyDescent="0.35">
      <c r="A897" s="6" t="s">
        <v>419</v>
      </c>
    </row>
    <row r="898" spans="1:1" x14ac:dyDescent="0.35">
      <c r="A898" s="13" t="s">
        <v>46</v>
      </c>
    </row>
    <row r="899" spans="1:1" x14ac:dyDescent="0.35">
      <c r="A899" s="6" t="s">
        <v>420</v>
      </c>
    </row>
    <row r="900" spans="1:1" x14ac:dyDescent="0.35">
      <c r="A900" s="13" t="s">
        <v>46</v>
      </c>
    </row>
    <row r="901" spans="1:1" x14ac:dyDescent="0.35">
      <c r="A901" s="6" t="s">
        <v>421</v>
      </c>
    </row>
    <row r="902" spans="1:1" x14ac:dyDescent="0.35">
      <c r="A902" s="13" t="s">
        <v>39</v>
      </c>
    </row>
    <row r="903" spans="1:1" x14ac:dyDescent="0.35">
      <c r="A903" s="6" t="s">
        <v>423</v>
      </c>
    </row>
    <row r="904" spans="1:1" x14ac:dyDescent="0.35">
      <c r="A904" s="13" t="s">
        <v>39</v>
      </c>
    </row>
    <row r="905" spans="1:1" x14ac:dyDescent="0.35">
      <c r="A905" s="6" t="s">
        <v>424</v>
      </c>
    </row>
    <row r="906" spans="1:1" x14ac:dyDescent="0.35">
      <c r="A906" s="13" t="s">
        <v>39</v>
      </c>
    </row>
    <row r="907" spans="1:1" x14ac:dyDescent="0.35">
      <c r="A907" s="13" t="s">
        <v>47</v>
      </c>
    </row>
    <row r="908" spans="1:1" x14ac:dyDescent="0.35">
      <c r="A908" s="13" t="s">
        <v>43</v>
      </c>
    </row>
    <row r="909" spans="1:1" x14ac:dyDescent="0.35">
      <c r="A909" s="13" t="s">
        <v>46</v>
      </c>
    </row>
    <row r="910" spans="1:1" x14ac:dyDescent="0.35">
      <c r="A910" s="6" t="s">
        <v>425</v>
      </c>
    </row>
    <row r="911" spans="1:1" x14ac:dyDescent="0.35">
      <c r="A911" s="13" t="s">
        <v>39</v>
      </c>
    </row>
    <row r="912" spans="1:1" x14ac:dyDescent="0.35">
      <c r="A912" s="6" t="s">
        <v>426</v>
      </c>
    </row>
    <row r="913" spans="1:1" x14ac:dyDescent="0.35">
      <c r="A913" s="13" t="s">
        <v>39</v>
      </c>
    </row>
    <row r="914" spans="1:1" x14ac:dyDescent="0.35">
      <c r="A914" s="13" t="s">
        <v>47</v>
      </c>
    </row>
    <row r="915" spans="1:1" x14ac:dyDescent="0.35">
      <c r="A915" s="6" t="s">
        <v>427</v>
      </c>
    </row>
    <row r="916" spans="1:1" x14ac:dyDescent="0.35">
      <c r="A916" s="13" t="s">
        <v>47</v>
      </c>
    </row>
    <row r="917" spans="1:1" x14ac:dyDescent="0.35">
      <c r="A917" s="13" t="s">
        <v>43</v>
      </c>
    </row>
    <row r="918" spans="1:1" x14ac:dyDescent="0.35">
      <c r="A918" s="13" t="s">
        <v>46</v>
      </c>
    </row>
    <row r="919" spans="1:1" x14ac:dyDescent="0.35">
      <c r="A919" s="6" t="s">
        <v>428</v>
      </c>
    </row>
    <row r="920" spans="1:1" x14ac:dyDescent="0.35">
      <c r="A920" s="13" t="s">
        <v>47</v>
      </c>
    </row>
    <row r="921" spans="1:1" x14ac:dyDescent="0.35">
      <c r="A921" s="13" t="s">
        <v>43</v>
      </c>
    </row>
    <row r="922" spans="1:1" x14ac:dyDescent="0.35">
      <c r="A922" s="6" t="s">
        <v>429</v>
      </c>
    </row>
    <row r="923" spans="1:1" x14ac:dyDescent="0.35">
      <c r="A923" s="13" t="s">
        <v>43</v>
      </c>
    </row>
    <row r="924" spans="1:1" x14ac:dyDescent="0.35">
      <c r="A924" s="6" t="s">
        <v>430</v>
      </c>
    </row>
    <row r="925" spans="1:1" x14ac:dyDescent="0.35">
      <c r="A925" s="13" t="s">
        <v>43</v>
      </c>
    </row>
    <row r="926" spans="1:1" x14ac:dyDescent="0.35">
      <c r="A926" s="6" t="s">
        <v>431</v>
      </c>
    </row>
    <row r="927" spans="1:1" x14ac:dyDescent="0.35">
      <c r="A927" s="13" t="s">
        <v>47</v>
      </c>
    </row>
    <row r="928" spans="1:1" x14ac:dyDescent="0.35">
      <c r="A928" s="13" t="s">
        <v>43</v>
      </c>
    </row>
    <row r="929" spans="1:1" x14ac:dyDescent="0.35">
      <c r="A929" s="6" t="s">
        <v>432</v>
      </c>
    </row>
    <row r="930" spans="1:1" x14ac:dyDescent="0.35">
      <c r="A930" s="13" t="s">
        <v>39</v>
      </c>
    </row>
    <row r="931" spans="1:1" x14ac:dyDescent="0.35">
      <c r="A931" s="13" t="s">
        <v>43</v>
      </c>
    </row>
    <row r="932" spans="1:1" x14ac:dyDescent="0.35">
      <c r="A932" s="13" t="s">
        <v>46</v>
      </c>
    </row>
    <row r="933" spans="1:1" x14ac:dyDescent="0.35">
      <c r="A933" s="6" t="s">
        <v>433</v>
      </c>
    </row>
    <row r="934" spans="1:1" x14ac:dyDescent="0.35">
      <c r="A934" s="13" t="s">
        <v>39</v>
      </c>
    </row>
    <row r="935" spans="1:1" x14ac:dyDescent="0.35">
      <c r="A935" s="6" t="s">
        <v>434</v>
      </c>
    </row>
    <row r="936" spans="1:1" x14ac:dyDescent="0.35">
      <c r="A936" s="13" t="s">
        <v>39</v>
      </c>
    </row>
    <row r="937" spans="1:1" x14ac:dyDescent="0.35">
      <c r="A937" s="13" t="s">
        <v>47</v>
      </c>
    </row>
    <row r="938" spans="1:1" x14ac:dyDescent="0.35">
      <c r="A938" s="13" t="s">
        <v>43</v>
      </c>
    </row>
    <row r="939" spans="1:1" x14ac:dyDescent="0.35">
      <c r="A939" s="6" t="s">
        <v>435</v>
      </c>
    </row>
    <row r="940" spans="1:1" x14ac:dyDescent="0.35">
      <c r="A940" s="13" t="s">
        <v>46</v>
      </c>
    </row>
    <row r="941" spans="1:1" x14ac:dyDescent="0.35">
      <c r="A941" s="6" t="s">
        <v>436</v>
      </c>
    </row>
    <row r="942" spans="1:1" x14ac:dyDescent="0.35">
      <c r="A942" s="13" t="s">
        <v>39</v>
      </c>
    </row>
    <row r="943" spans="1:1" x14ac:dyDescent="0.35">
      <c r="A943" s="13" t="s">
        <v>47</v>
      </c>
    </row>
    <row r="944" spans="1:1" x14ac:dyDescent="0.35">
      <c r="A944" s="13" t="s">
        <v>43</v>
      </c>
    </row>
    <row r="945" spans="1:1" x14ac:dyDescent="0.35">
      <c r="A945" s="13" t="s">
        <v>46</v>
      </c>
    </row>
    <row r="946" spans="1:1" x14ac:dyDescent="0.35">
      <c r="A946" s="6" t="s">
        <v>437</v>
      </c>
    </row>
    <row r="947" spans="1:1" x14ac:dyDescent="0.35">
      <c r="A947" s="13" t="s">
        <v>39</v>
      </c>
    </row>
    <row r="948" spans="1:1" x14ac:dyDescent="0.35">
      <c r="A948" s="13" t="s">
        <v>47</v>
      </c>
    </row>
    <row r="949" spans="1:1" x14ac:dyDescent="0.35">
      <c r="A949" s="6" t="s">
        <v>438</v>
      </c>
    </row>
    <row r="950" spans="1:1" x14ac:dyDescent="0.35">
      <c r="A950" s="13" t="s">
        <v>39</v>
      </c>
    </row>
    <row r="951" spans="1:1" x14ac:dyDescent="0.35">
      <c r="A951" s="13" t="s">
        <v>47</v>
      </c>
    </row>
    <row r="952" spans="1:1" x14ac:dyDescent="0.35">
      <c r="A952" s="13" t="s">
        <v>43</v>
      </c>
    </row>
    <row r="953" spans="1:1" x14ac:dyDescent="0.35">
      <c r="A953" s="6" t="s">
        <v>439</v>
      </c>
    </row>
    <row r="954" spans="1:1" x14ac:dyDescent="0.35">
      <c r="A954" s="13" t="s">
        <v>39</v>
      </c>
    </row>
    <row r="955" spans="1:1" x14ac:dyDescent="0.35">
      <c r="A955" s="13" t="s">
        <v>47</v>
      </c>
    </row>
    <row r="956" spans="1:1" x14ac:dyDescent="0.35">
      <c r="A956" s="13" t="s">
        <v>43</v>
      </c>
    </row>
    <row r="957" spans="1:1" x14ac:dyDescent="0.35">
      <c r="A957" s="13" t="s">
        <v>46</v>
      </c>
    </row>
    <row r="958" spans="1:1" x14ac:dyDescent="0.35">
      <c r="A958" s="6" t="s">
        <v>440</v>
      </c>
    </row>
    <row r="959" spans="1:1" x14ac:dyDescent="0.35">
      <c r="A959" s="13" t="s">
        <v>39</v>
      </c>
    </row>
    <row r="960" spans="1:1" x14ac:dyDescent="0.35">
      <c r="A960" s="13" t="s">
        <v>47</v>
      </c>
    </row>
    <row r="961" spans="1:1" x14ac:dyDescent="0.35">
      <c r="A961" s="6" t="s">
        <v>441</v>
      </c>
    </row>
    <row r="962" spans="1:1" x14ac:dyDescent="0.35">
      <c r="A962" s="13" t="s">
        <v>47</v>
      </c>
    </row>
    <row r="963" spans="1:1" x14ac:dyDescent="0.35">
      <c r="A963" s="13" t="s">
        <v>43</v>
      </c>
    </row>
    <row r="964" spans="1:1" x14ac:dyDescent="0.35">
      <c r="A964" s="13" t="s">
        <v>46</v>
      </c>
    </row>
    <row r="965" spans="1:1" x14ac:dyDescent="0.35">
      <c r="A965" s="6" t="s">
        <v>442</v>
      </c>
    </row>
    <row r="966" spans="1:1" x14ac:dyDescent="0.35">
      <c r="A966" s="13" t="s">
        <v>39</v>
      </c>
    </row>
    <row r="967" spans="1:1" x14ac:dyDescent="0.35">
      <c r="A967" s="13" t="s">
        <v>47</v>
      </c>
    </row>
    <row r="968" spans="1:1" x14ac:dyDescent="0.35">
      <c r="A968" s="13" t="s">
        <v>43</v>
      </c>
    </row>
    <row r="969" spans="1:1" x14ac:dyDescent="0.35">
      <c r="A969" s="13" t="s">
        <v>46</v>
      </c>
    </row>
    <row r="970" spans="1:1" x14ac:dyDescent="0.35">
      <c r="A970" s="6" t="s">
        <v>443</v>
      </c>
    </row>
    <row r="971" spans="1:1" x14ac:dyDescent="0.35">
      <c r="A971" s="13" t="s">
        <v>39</v>
      </c>
    </row>
    <row r="972" spans="1:1" x14ac:dyDescent="0.35">
      <c r="A972" s="13" t="s">
        <v>47</v>
      </c>
    </row>
    <row r="973" spans="1:1" x14ac:dyDescent="0.35">
      <c r="A973" s="13" t="s">
        <v>43</v>
      </c>
    </row>
    <row r="974" spans="1:1" x14ac:dyDescent="0.35">
      <c r="A974" s="13" t="s">
        <v>46</v>
      </c>
    </row>
    <row r="975" spans="1:1" x14ac:dyDescent="0.35">
      <c r="A975" s="6" t="s">
        <v>444</v>
      </c>
    </row>
    <row r="976" spans="1:1" x14ac:dyDescent="0.35">
      <c r="A976" s="13" t="s">
        <v>39</v>
      </c>
    </row>
    <row r="977" spans="1:1" x14ac:dyDescent="0.35">
      <c r="A977" s="13" t="s">
        <v>47</v>
      </c>
    </row>
    <row r="978" spans="1:1" x14ac:dyDescent="0.35">
      <c r="A978" s="13" t="s">
        <v>43</v>
      </c>
    </row>
    <row r="979" spans="1:1" x14ac:dyDescent="0.35">
      <c r="A979" s="13" t="s">
        <v>46</v>
      </c>
    </row>
    <row r="980" spans="1:1" x14ac:dyDescent="0.35">
      <c r="A980" s="6" t="s">
        <v>445</v>
      </c>
    </row>
    <row r="981" spans="1:1" x14ac:dyDescent="0.35">
      <c r="A981" s="13" t="s">
        <v>46</v>
      </c>
    </row>
    <row r="982" spans="1:1" x14ac:dyDescent="0.35">
      <c r="A982" s="6" t="s">
        <v>446</v>
      </c>
    </row>
    <row r="983" spans="1:1" x14ac:dyDescent="0.35">
      <c r="A983" s="13" t="s">
        <v>39</v>
      </c>
    </row>
    <row r="984" spans="1:1" x14ac:dyDescent="0.35">
      <c r="A984" s="6" t="s">
        <v>447</v>
      </c>
    </row>
    <row r="985" spans="1:1" x14ac:dyDescent="0.35">
      <c r="A985" s="13" t="s">
        <v>39</v>
      </c>
    </row>
    <row r="986" spans="1:1" x14ac:dyDescent="0.35">
      <c r="A986" s="13" t="s">
        <v>47</v>
      </c>
    </row>
    <row r="987" spans="1:1" x14ac:dyDescent="0.35">
      <c r="A987" s="13" t="s">
        <v>43</v>
      </c>
    </row>
    <row r="988" spans="1:1" x14ac:dyDescent="0.35">
      <c r="A988" s="13" t="s">
        <v>46</v>
      </c>
    </row>
    <row r="989" spans="1:1" x14ac:dyDescent="0.35">
      <c r="A989" s="6" t="s">
        <v>448</v>
      </c>
    </row>
    <row r="990" spans="1:1" x14ac:dyDescent="0.35">
      <c r="A990" s="13" t="s">
        <v>46</v>
      </c>
    </row>
    <row r="991" spans="1:1" x14ac:dyDescent="0.35">
      <c r="A991" s="6" t="s">
        <v>449</v>
      </c>
    </row>
    <row r="992" spans="1:1" x14ac:dyDescent="0.35">
      <c r="A992" s="13" t="s">
        <v>47</v>
      </c>
    </row>
    <row r="993" spans="1:1" x14ac:dyDescent="0.35">
      <c r="A993" s="6" t="s">
        <v>450</v>
      </c>
    </row>
    <row r="994" spans="1:1" x14ac:dyDescent="0.35">
      <c r="A994" s="13" t="s">
        <v>39</v>
      </c>
    </row>
    <row r="995" spans="1:1" x14ac:dyDescent="0.35">
      <c r="A995" s="13" t="s">
        <v>47</v>
      </c>
    </row>
    <row r="996" spans="1:1" x14ac:dyDescent="0.35">
      <c r="A996" s="13" t="s">
        <v>43</v>
      </c>
    </row>
    <row r="997" spans="1:1" x14ac:dyDescent="0.35">
      <c r="A997" s="13" t="s">
        <v>46</v>
      </c>
    </row>
    <row r="998" spans="1:1" x14ac:dyDescent="0.35">
      <c r="A998" s="6" t="s">
        <v>451</v>
      </c>
    </row>
    <row r="999" spans="1:1" x14ac:dyDescent="0.35">
      <c r="A999" s="13" t="s">
        <v>47</v>
      </c>
    </row>
    <row r="1000" spans="1:1" x14ac:dyDescent="0.35">
      <c r="A1000" s="13" t="s">
        <v>43</v>
      </c>
    </row>
    <row r="1001" spans="1:1" x14ac:dyDescent="0.35">
      <c r="A1001" s="13" t="s">
        <v>46</v>
      </c>
    </row>
    <row r="1002" spans="1:1" x14ac:dyDescent="0.35">
      <c r="A1002" s="6" t="s">
        <v>452</v>
      </c>
    </row>
    <row r="1003" spans="1:1" x14ac:dyDescent="0.35">
      <c r="A1003" s="13" t="s">
        <v>47</v>
      </c>
    </row>
    <row r="1004" spans="1:1" x14ac:dyDescent="0.35">
      <c r="A1004" s="6" t="s">
        <v>453</v>
      </c>
    </row>
    <row r="1005" spans="1:1" x14ac:dyDescent="0.35">
      <c r="A1005" s="13" t="s">
        <v>39</v>
      </c>
    </row>
    <row r="1006" spans="1:1" x14ac:dyDescent="0.35">
      <c r="A1006" s="13" t="s">
        <v>47</v>
      </c>
    </row>
    <row r="1007" spans="1:1" x14ac:dyDescent="0.35">
      <c r="A1007" s="13" t="s">
        <v>43</v>
      </c>
    </row>
    <row r="1008" spans="1:1" x14ac:dyDescent="0.35">
      <c r="A1008" s="6" t="s">
        <v>454</v>
      </c>
    </row>
    <row r="1009" spans="1:1" x14ac:dyDescent="0.35">
      <c r="A1009" s="13" t="s">
        <v>46</v>
      </c>
    </row>
    <row r="1010" spans="1:1" x14ac:dyDescent="0.35">
      <c r="A1010" s="6" t="s">
        <v>455</v>
      </c>
    </row>
    <row r="1011" spans="1:1" x14ac:dyDescent="0.35">
      <c r="A1011" s="13" t="s">
        <v>47</v>
      </c>
    </row>
    <row r="1012" spans="1:1" x14ac:dyDescent="0.35">
      <c r="A1012" s="13" t="s">
        <v>43</v>
      </c>
    </row>
    <row r="1013" spans="1:1" x14ac:dyDescent="0.35">
      <c r="A1013" s="13" t="s">
        <v>46</v>
      </c>
    </row>
    <row r="1014" spans="1:1" x14ac:dyDescent="0.35">
      <c r="A1014" s="6" t="s">
        <v>456</v>
      </c>
    </row>
    <row r="1015" spans="1:1" x14ac:dyDescent="0.35">
      <c r="A1015" s="13" t="s">
        <v>46</v>
      </c>
    </row>
    <row r="1016" spans="1:1" x14ac:dyDescent="0.35">
      <c r="A1016" s="6" t="s">
        <v>457</v>
      </c>
    </row>
    <row r="1017" spans="1:1" x14ac:dyDescent="0.35">
      <c r="A1017" s="13" t="s">
        <v>39</v>
      </c>
    </row>
    <row r="1018" spans="1:1" x14ac:dyDescent="0.35">
      <c r="A1018" s="13" t="s">
        <v>47</v>
      </c>
    </row>
    <row r="1019" spans="1:1" x14ac:dyDescent="0.35">
      <c r="A1019" s="6" t="s">
        <v>458</v>
      </c>
    </row>
    <row r="1020" spans="1:1" x14ac:dyDescent="0.35">
      <c r="A1020" s="13" t="s">
        <v>39</v>
      </c>
    </row>
    <row r="1021" spans="1:1" x14ac:dyDescent="0.35">
      <c r="A1021" s="13" t="s">
        <v>47</v>
      </c>
    </row>
    <row r="1022" spans="1:1" x14ac:dyDescent="0.35">
      <c r="A1022" s="13" t="s">
        <v>43</v>
      </c>
    </row>
    <row r="1023" spans="1:1" x14ac:dyDescent="0.35">
      <c r="A1023" s="13" t="s">
        <v>46</v>
      </c>
    </row>
    <row r="1024" spans="1:1" x14ac:dyDescent="0.35">
      <c r="A1024" s="6" t="s">
        <v>459</v>
      </c>
    </row>
    <row r="1025" spans="1:1" x14ac:dyDescent="0.35">
      <c r="A1025" s="13" t="s">
        <v>39</v>
      </c>
    </row>
    <row r="1026" spans="1:1" x14ac:dyDescent="0.35">
      <c r="A1026" s="6" t="s">
        <v>460</v>
      </c>
    </row>
    <row r="1027" spans="1:1" x14ac:dyDescent="0.35">
      <c r="A1027" s="13" t="s">
        <v>39</v>
      </c>
    </row>
    <row r="1028" spans="1:1" x14ac:dyDescent="0.35">
      <c r="A1028" s="13" t="s">
        <v>47</v>
      </c>
    </row>
    <row r="1029" spans="1:1" x14ac:dyDescent="0.35">
      <c r="A1029" s="13" t="s">
        <v>43</v>
      </c>
    </row>
    <row r="1030" spans="1:1" x14ac:dyDescent="0.35">
      <c r="A1030" s="6" t="s">
        <v>461</v>
      </c>
    </row>
    <row r="1031" spans="1:1" x14ac:dyDescent="0.35">
      <c r="A1031" s="13" t="s">
        <v>43</v>
      </c>
    </row>
    <row r="1032" spans="1:1" x14ac:dyDescent="0.35">
      <c r="A1032" s="6" t="s">
        <v>463</v>
      </c>
    </row>
    <row r="1033" spans="1:1" x14ac:dyDescent="0.35">
      <c r="A1033" s="13" t="s">
        <v>39</v>
      </c>
    </row>
    <row r="1034" spans="1:1" x14ac:dyDescent="0.35">
      <c r="A1034" s="13" t="s">
        <v>47</v>
      </c>
    </row>
    <row r="1035" spans="1:1" x14ac:dyDescent="0.35">
      <c r="A1035" s="13" t="s">
        <v>43</v>
      </c>
    </row>
    <row r="1036" spans="1:1" x14ac:dyDescent="0.35">
      <c r="A1036" s="13" t="s">
        <v>46</v>
      </c>
    </row>
    <row r="1037" spans="1:1" x14ac:dyDescent="0.35">
      <c r="A1037" s="6" t="s">
        <v>462</v>
      </c>
    </row>
    <row r="1038" spans="1:1" x14ac:dyDescent="0.35">
      <c r="A1038" s="13" t="s">
        <v>39</v>
      </c>
    </row>
    <row r="1039" spans="1:1" x14ac:dyDescent="0.35">
      <c r="A1039" s="13" t="s">
        <v>47</v>
      </c>
    </row>
    <row r="1040" spans="1:1" x14ac:dyDescent="0.35">
      <c r="A1040" s="6" t="s">
        <v>464</v>
      </c>
    </row>
    <row r="1041" spans="1:1" x14ac:dyDescent="0.35">
      <c r="A1041" s="13" t="s">
        <v>43</v>
      </c>
    </row>
    <row r="1042" spans="1:1" x14ac:dyDescent="0.35">
      <c r="A1042" s="6" t="s">
        <v>465</v>
      </c>
    </row>
    <row r="1043" spans="1:1" x14ac:dyDescent="0.35">
      <c r="A1043" s="13" t="s">
        <v>46</v>
      </c>
    </row>
    <row r="1044" spans="1:1" x14ac:dyDescent="0.35">
      <c r="A1044" s="6" t="s">
        <v>466</v>
      </c>
    </row>
    <row r="1045" spans="1:1" x14ac:dyDescent="0.35">
      <c r="A1045" s="13" t="s">
        <v>39</v>
      </c>
    </row>
    <row r="1046" spans="1:1" x14ac:dyDescent="0.35">
      <c r="A1046" s="13" t="s">
        <v>47</v>
      </c>
    </row>
    <row r="1047" spans="1:1" x14ac:dyDescent="0.35">
      <c r="A1047" s="13" t="s">
        <v>43</v>
      </c>
    </row>
    <row r="1048" spans="1:1" x14ac:dyDescent="0.35">
      <c r="A1048" s="6" t="s">
        <v>467</v>
      </c>
    </row>
    <row r="1049" spans="1:1" x14ac:dyDescent="0.35">
      <c r="A1049" s="13" t="s">
        <v>46</v>
      </c>
    </row>
    <row r="1050" spans="1:1" x14ac:dyDescent="0.35">
      <c r="A1050" s="6" t="s">
        <v>468</v>
      </c>
    </row>
    <row r="1051" spans="1:1" x14ac:dyDescent="0.35">
      <c r="A1051" s="13" t="s">
        <v>46</v>
      </c>
    </row>
    <row r="1052" spans="1:1" x14ac:dyDescent="0.35">
      <c r="A1052" s="6" t="s">
        <v>469</v>
      </c>
    </row>
    <row r="1053" spans="1:1" x14ac:dyDescent="0.35">
      <c r="A1053" s="13" t="s">
        <v>39</v>
      </c>
    </row>
    <row r="1054" spans="1:1" x14ac:dyDescent="0.35">
      <c r="A1054" s="13" t="s">
        <v>47</v>
      </c>
    </row>
    <row r="1055" spans="1:1" x14ac:dyDescent="0.35">
      <c r="A1055" s="6" t="s">
        <v>470</v>
      </c>
    </row>
    <row r="1056" spans="1:1" x14ac:dyDescent="0.35">
      <c r="A1056" s="13" t="s">
        <v>46</v>
      </c>
    </row>
    <row r="1057" spans="1:1" x14ac:dyDescent="0.35">
      <c r="A1057" s="6" t="s">
        <v>471</v>
      </c>
    </row>
    <row r="1058" spans="1:1" x14ac:dyDescent="0.35">
      <c r="A1058" s="13" t="s">
        <v>39</v>
      </c>
    </row>
    <row r="1059" spans="1:1" x14ac:dyDescent="0.35">
      <c r="A1059" s="6" t="s">
        <v>472</v>
      </c>
    </row>
    <row r="1060" spans="1:1" x14ac:dyDescent="0.35">
      <c r="A1060" s="13" t="s">
        <v>47</v>
      </c>
    </row>
    <row r="1061" spans="1:1" x14ac:dyDescent="0.35">
      <c r="A1061" s="13" t="s">
        <v>43</v>
      </c>
    </row>
    <row r="1062" spans="1:1" x14ac:dyDescent="0.35">
      <c r="A1062" s="13" t="s">
        <v>46</v>
      </c>
    </row>
    <row r="1063" spans="1:1" x14ac:dyDescent="0.35">
      <c r="A1063" s="6" t="s">
        <v>473</v>
      </c>
    </row>
    <row r="1064" spans="1:1" x14ac:dyDescent="0.35">
      <c r="A1064" s="13" t="s">
        <v>39</v>
      </c>
    </row>
    <row r="1065" spans="1:1" x14ac:dyDescent="0.35">
      <c r="A1065" s="13" t="s">
        <v>47</v>
      </c>
    </row>
    <row r="1066" spans="1:1" x14ac:dyDescent="0.35">
      <c r="A1066" s="13" t="s">
        <v>43</v>
      </c>
    </row>
    <row r="1067" spans="1:1" x14ac:dyDescent="0.35">
      <c r="A1067" s="6" t="s">
        <v>474</v>
      </c>
    </row>
    <row r="1068" spans="1:1" x14ac:dyDescent="0.35">
      <c r="A1068" s="13" t="s">
        <v>47</v>
      </c>
    </row>
    <row r="1069" spans="1:1" x14ac:dyDescent="0.35">
      <c r="A1069" s="6" t="s">
        <v>475</v>
      </c>
    </row>
    <row r="1070" spans="1:1" x14ac:dyDescent="0.35">
      <c r="A1070" s="13" t="s">
        <v>47</v>
      </c>
    </row>
    <row r="1071" spans="1:1" x14ac:dyDescent="0.35">
      <c r="A1071" s="13" t="s">
        <v>43</v>
      </c>
    </row>
    <row r="1072" spans="1:1" x14ac:dyDescent="0.35">
      <c r="A1072" s="13" t="s">
        <v>46</v>
      </c>
    </row>
    <row r="1073" spans="1:1" x14ac:dyDescent="0.35">
      <c r="A1073" s="6" t="s">
        <v>477</v>
      </c>
    </row>
    <row r="1074" spans="1:1" x14ac:dyDescent="0.35">
      <c r="A1074" s="13" t="s">
        <v>39</v>
      </c>
    </row>
    <row r="1075" spans="1:1" x14ac:dyDescent="0.35">
      <c r="A1075" s="6" t="s">
        <v>476</v>
      </c>
    </row>
    <row r="1076" spans="1:1" x14ac:dyDescent="0.35">
      <c r="A1076" s="13" t="s">
        <v>39</v>
      </c>
    </row>
    <row r="1077" spans="1:1" x14ac:dyDescent="0.35">
      <c r="A1077" s="13" t="s">
        <v>47</v>
      </c>
    </row>
    <row r="1078" spans="1:1" x14ac:dyDescent="0.35">
      <c r="A1078" s="6" t="s">
        <v>478</v>
      </c>
    </row>
    <row r="1079" spans="1:1" x14ac:dyDescent="0.35">
      <c r="A1079" s="13" t="s">
        <v>39</v>
      </c>
    </row>
    <row r="1080" spans="1:1" x14ac:dyDescent="0.35">
      <c r="A1080" s="13" t="s">
        <v>47</v>
      </c>
    </row>
    <row r="1081" spans="1:1" x14ac:dyDescent="0.35">
      <c r="A1081" s="13" t="s">
        <v>43</v>
      </c>
    </row>
    <row r="1082" spans="1:1" x14ac:dyDescent="0.35">
      <c r="A1082" s="13" t="s">
        <v>46</v>
      </c>
    </row>
    <row r="1083" spans="1:1" x14ac:dyDescent="0.35">
      <c r="A1083" s="6" t="s">
        <v>479</v>
      </c>
    </row>
    <row r="1084" spans="1:1" x14ac:dyDescent="0.35">
      <c r="A1084" s="13" t="s">
        <v>39</v>
      </c>
    </row>
    <row r="1085" spans="1:1" x14ac:dyDescent="0.35">
      <c r="A1085" s="6" t="s">
        <v>480</v>
      </c>
    </row>
    <row r="1086" spans="1:1" x14ac:dyDescent="0.35">
      <c r="A1086" s="13" t="s">
        <v>39</v>
      </c>
    </row>
    <row r="1087" spans="1:1" x14ac:dyDescent="0.35">
      <c r="A1087" s="6" t="s">
        <v>481</v>
      </c>
    </row>
    <row r="1088" spans="1:1" x14ac:dyDescent="0.35">
      <c r="A1088" s="13" t="s">
        <v>46</v>
      </c>
    </row>
    <row r="1089" spans="1:1" x14ac:dyDescent="0.35">
      <c r="A1089" s="6" t="s">
        <v>483</v>
      </c>
    </row>
    <row r="1090" spans="1:1" x14ac:dyDescent="0.35">
      <c r="A1090" s="13" t="s">
        <v>39</v>
      </c>
    </row>
    <row r="1091" spans="1:1" x14ac:dyDescent="0.35">
      <c r="A1091" s="6" t="s">
        <v>485</v>
      </c>
    </row>
    <row r="1092" spans="1:1" x14ac:dyDescent="0.35">
      <c r="A1092" s="13" t="s">
        <v>47</v>
      </c>
    </row>
    <row r="1093" spans="1:1" x14ac:dyDescent="0.35">
      <c r="A1093" s="6" t="s">
        <v>486</v>
      </c>
    </row>
    <row r="1094" spans="1:1" x14ac:dyDescent="0.35">
      <c r="A1094" s="13" t="s">
        <v>43</v>
      </c>
    </row>
    <row r="1095" spans="1:1" x14ac:dyDescent="0.35">
      <c r="A1095" s="13" t="s">
        <v>46</v>
      </c>
    </row>
    <row r="1096" spans="1:1" x14ac:dyDescent="0.35">
      <c r="A1096" s="6" t="s">
        <v>487</v>
      </c>
    </row>
    <row r="1097" spans="1:1" x14ac:dyDescent="0.35">
      <c r="A1097" s="13" t="s">
        <v>39</v>
      </c>
    </row>
    <row r="1098" spans="1:1" x14ac:dyDescent="0.35">
      <c r="A1098" s="13" t="s">
        <v>47</v>
      </c>
    </row>
    <row r="1099" spans="1:1" x14ac:dyDescent="0.35">
      <c r="A1099" s="6" t="s">
        <v>488</v>
      </c>
    </row>
    <row r="1100" spans="1:1" x14ac:dyDescent="0.35">
      <c r="A1100" s="13" t="s">
        <v>39</v>
      </c>
    </row>
    <row r="1101" spans="1:1" x14ac:dyDescent="0.35">
      <c r="A1101" s="13" t="s">
        <v>43</v>
      </c>
    </row>
    <row r="1102" spans="1:1" x14ac:dyDescent="0.35">
      <c r="A1102" s="13" t="s">
        <v>46</v>
      </c>
    </row>
    <row r="1103" spans="1:1" x14ac:dyDescent="0.35">
      <c r="A1103" s="6" t="s">
        <v>489</v>
      </c>
    </row>
    <row r="1104" spans="1:1" x14ac:dyDescent="0.35">
      <c r="A1104" s="13" t="s">
        <v>43</v>
      </c>
    </row>
    <row r="1105" spans="1:1" x14ac:dyDescent="0.35">
      <c r="A1105" s="13" t="s">
        <v>46</v>
      </c>
    </row>
    <row r="1106" spans="1:1" x14ac:dyDescent="0.35">
      <c r="A1106" s="6" t="s">
        <v>490</v>
      </c>
    </row>
    <row r="1107" spans="1:1" x14ac:dyDescent="0.35">
      <c r="A1107" s="13" t="s">
        <v>46</v>
      </c>
    </row>
    <row r="1108" spans="1:1" x14ac:dyDescent="0.35">
      <c r="A1108" s="6" t="s">
        <v>491</v>
      </c>
    </row>
    <row r="1109" spans="1:1" x14ac:dyDescent="0.35">
      <c r="A1109" s="13" t="s">
        <v>39</v>
      </c>
    </row>
    <row r="1110" spans="1:1" x14ac:dyDescent="0.35">
      <c r="A1110" s="13" t="s">
        <v>47</v>
      </c>
    </row>
    <row r="1111" spans="1:1" x14ac:dyDescent="0.35">
      <c r="A1111" s="13" t="s">
        <v>43</v>
      </c>
    </row>
    <row r="1112" spans="1:1" x14ac:dyDescent="0.35">
      <c r="A1112" s="13" t="s">
        <v>46</v>
      </c>
    </row>
    <row r="1113" spans="1:1" x14ac:dyDescent="0.35">
      <c r="A1113" s="6" t="s">
        <v>492</v>
      </c>
    </row>
    <row r="1114" spans="1:1" x14ac:dyDescent="0.35">
      <c r="A1114" s="13" t="s">
        <v>39</v>
      </c>
    </row>
    <row r="1115" spans="1:1" x14ac:dyDescent="0.35">
      <c r="A1115" s="6" t="s">
        <v>493</v>
      </c>
    </row>
    <row r="1116" spans="1:1" x14ac:dyDescent="0.35">
      <c r="A1116" s="13" t="s">
        <v>39</v>
      </c>
    </row>
    <row r="1117" spans="1:1" x14ac:dyDescent="0.35">
      <c r="A1117" s="6" t="s">
        <v>494</v>
      </c>
    </row>
    <row r="1118" spans="1:1" x14ac:dyDescent="0.35">
      <c r="A1118" s="13" t="s">
        <v>39</v>
      </c>
    </row>
    <row r="1119" spans="1:1" x14ac:dyDescent="0.35">
      <c r="A1119" s="13" t="s">
        <v>47</v>
      </c>
    </row>
    <row r="1120" spans="1:1" x14ac:dyDescent="0.35">
      <c r="A1120" s="13" t="s">
        <v>43</v>
      </c>
    </row>
    <row r="1121" spans="1:1" x14ac:dyDescent="0.35">
      <c r="A1121" s="13" t="s">
        <v>46</v>
      </c>
    </row>
    <row r="1122" spans="1:1" x14ac:dyDescent="0.35">
      <c r="A1122" s="6" t="s">
        <v>495</v>
      </c>
    </row>
    <row r="1123" spans="1:1" x14ac:dyDescent="0.35">
      <c r="A1123" s="13" t="s">
        <v>39</v>
      </c>
    </row>
    <row r="1124" spans="1:1" x14ac:dyDescent="0.35">
      <c r="A1124" s="13" t="s">
        <v>47</v>
      </c>
    </row>
    <row r="1125" spans="1:1" x14ac:dyDescent="0.35">
      <c r="A1125" s="13" t="s">
        <v>43</v>
      </c>
    </row>
    <row r="1126" spans="1:1" x14ac:dyDescent="0.35">
      <c r="A1126" s="13" t="s">
        <v>46</v>
      </c>
    </row>
    <row r="1127" spans="1:1" x14ac:dyDescent="0.35">
      <c r="A1127" s="6" t="s">
        <v>496</v>
      </c>
    </row>
    <row r="1128" spans="1:1" x14ac:dyDescent="0.35">
      <c r="A1128" s="13" t="s">
        <v>39</v>
      </c>
    </row>
    <row r="1129" spans="1:1" x14ac:dyDescent="0.35">
      <c r="A1129" s="6" t="s">
        <v>497</v>
      </c>
    </row>
    <row r="1130" spans="1:1" x14ac:dyDescent="0.35">
      <c r="A1130" s="13" t="s">
        <v>47</v>
      </c>
    </row>
    <row r="1131" spans="1:1" x14ac:dyDescent="0.35">
      <c r="A1131" s="6" t="s">
        <v>498</v>
      </c>
    </row>
    <row r="1132" spans="1:1" x14ac:dyDescent="0.35">
      <c r="A1132" s="13" t="s">
        <v>39</v>
      </c>
    </row>
    <row r="1133" spans="1:1" x14ac:dyDescent="0.35">
      <c r="A1133" s="13" t="s">
        <v>47</v>
      </c>
    </row>
    <row r="1134" spans="1:1" x14ac:dyDescent="0.35">
      <c r="A1134" s="13" t="s">
        <v>43</v>
      </c>
    </row>
    <row r="1135" spans="1:1" x14ac:dyDescent="0.35">
      <c r="A1135" s="13" t="s">
        <v>46</v>
      </c>
    </row>
    <row r="1136" spans="1:1" x14ac:dyDescent="0.35">
      <c r="A1136" s="6" t="s">
        <v>499</v>
      </c>
    </row>
    <row r="1137" spans="1:1" x14ac:dyDescent="0.35">
      <c r="A1137" s="13" t="s">
        <v>39</v>
      </c>
    </row>
    <row r="1138" spans="1:1" x14ac:dyDescent="0.35">
      <c r="A1138" s="6" t="s">
        <v>500</v>
      </c>
    </row>
    <row r="1139" spans="1:1" x14ac:dyDescent="0.35">
      <c r="A1139" s="13" t="s">
        <v>39</v>
      </c>
    </row>
    <row r="1140" spans="1:1" x14ac:dyDescent="0.35">
      <c r="A1140" s="13" t="s">
        <v>47</v>
      </c>
    </row>
    <row r="1141" spans="1:1" x14ac:dyDescent="0.35">
      <c r="A1141" s="6" t="s">
        <v>501</v>
      </c>
    </row>
    <row r="1142" spans="1:1" x14ac:dyDescent="0.35">
      <c r="A1142" s="13" t="s">
        <v>39</v>
      </c>
    </row>
    <row r="1143" spans="1:1" x14ac:dyDescent="0.35">
      <c r="A1143" s="6" t="s">
        <v>502</v>
      </c>
    </row>
    <row r="1144" spans="1:1" x14ac:dyDescent="0.35">
      <c r="A1144" s="13" t="s">
        <v>46</v>
      </c>
    </row>
    <row r="1145" spans="1:1" x14ac:dyDescent="0.35">
      <c r="A1145" s="6" t="s">
        <v>503</v>
      </c>
    </row>
    <row r="1146" spans="1:1" x14ac:dyDescent="0.35">
      <c r="A1146" s="13" t="s">
        <v>39</v>
      </c>
    </row>
    <row r="1147" spans="1:1" x14ac:dyDescent="0.35">
      <c r="A1147" s="13" t="s">
        <v>47</v>
      </c>
    </row>
    <row r="1148" spans="1:1" x14ac:dyDescent="0.35">
      <c r="A1148" s="6" t="s">
        <v>504</v>
      </c>
    </row>
    <row r="1149" spans="1:1" x14ac:dyDescent="0.35">
      <c r="A1149" s="13" t="s">
        <v>39</v>
      </c>
    </row>
    <row r="1150" spans="1:1" x14ac:dyDescent="0.35">
      <c r="A1150" s="13" t="s">
        <v>47</v>
      </c>
    </row>
    <row r="1151" spans="1:1" x14ac:dyDescent="0.35">
      <c r="A1151" s="13" t="s">
        <v>43</v>
      </c>
    </row>
    <row r="1152" spans="1:1" x14ac:dyDescent="0.35">
      <c r="A1152" s="13" t="s">
        <v>46</v>
      </c>
    </row>
    <row r="1153" spans="1:1" x14ac:dyDescent="0.35">
      <c r="A1153" s="6" t="s">
        <v>506</v>
      </c>
    </row>
    <row r="1154" spans="1:1" x14ac:dyDescent="0.35">
      <c r="A1154" s="13" t="s">
        <v>43</v>
      </c>
    </row>
    <row r="1155" spans="1:1" x14ac:dyDescent="0.35">
      <c r="A1155" s="13" t="s">
        <v>46</v>
      </c>
    </row>
    <row r="1156" spans="1:1" x14ac:dyDescent="0.35">
      <c r="A1156" s="6" t="s">
        <v>507</v>
      </c>
    </row>
    <row r="1157" spans="1:1" x14ac:dyDescent="0.35">
      <c r="A1157" s="13" t="s">
        <v>39</v>
      </c>
    </row>
    <row r="1158" spans="1:1" x14ac:dyDescent="0.35">
      <c r="A1158" s="6" t="s">
        <v>508</v>
      </c>
    </row>
    <row r="1159" spans="1:1" x14ac:dyDescent="0.35">
      <c r="A1159" s="13" t="s">
        <v>39</v>
      </c>
    </row>
    <row r="1160" spans="1:1" x14ac:dyDescent="0.35">
      <c r="A1160" s="13" t="s">
        <v>43</v>
      </c>
    </row>
    <row r="1161" spans="1:1" x14ac:dyDescent="0.35">
      <c r="A1161" s="13" t="s">
        <v>46</v>
      </c>
    </row>
    <row r="1162" spans="1:1" x14ac:dyDescent="0.35">
      <c r="A1162" s="6" t="s">
        <v>509</v>
      </c>
    </row>
    <row r="1163" spans="1:1" x14ac:dyDescent="0.35">
      <c r="A1163" s="13" t="s">
        <v>43</v>
      </c>
    </row>
    <row r="1164" spans="1:1" x14ac:dyDescent="0.35">
      <c r="A1164" s="13" t="s">
        <v>46</v>
      </c>
    </row>
    <row r="1165" spans="1:1" x14ac:dyDescent="0.35">
      <c r="A1165" s="6" t="s">
        <v>510</v>
      </c>
    </row>
    <row r="1166" spans="1:1" x14ac:dyDescent="0.35">
      <c r="A1166" s="13" t="s">
        <v>46</v>
      </c>
    </row>
    <row r="1167" spans="1:1" x14ac:dyDescent="0.35">
      <c r="A1167" s="6" t="s">
        <v>511</v>
      </c>
    </row>
    <row r="1168" spans="1:1" x14ac:dyDescent="0.35">
      <c r="A1168" s="13" t="s">
        <v>39</v>
      </c>
    </row>
    <row r="1169" spans="1:1" x14ac:dyDescent="0.35">
      <c r="A1169" s="13" t="s">
        <v>47</v>
      </c>
    </row>
    <row r="1170" spans="1:1" x14ac:dyDescent="0.35">
      <c r="A1170" s="13" t="s">
        <v>43</v>
      </c>
    </row>
    <row r="1171" spans="1:1" x14ac:dyDescent="0.35">
      <c r="A1171" s="13" t="s">
        <v>46</v>
      </c>
    </row>
    <row r="1172" spans="1:1" x14ac:dyDescent="0.35">
      <c r="A1172" s="6" t="s">
        <v>512</v>
      </c>
    </row>
    <row r="1173" spans="1:1" x14ac:dyDescent="0.35">
      <c r="A1173" s="13" t="s">
        <v>47</v>
      </c>
    </row>
    <row r="1174" spans="1:1" x14ac:dyDescent="0.35">
      <c r="A1174" s="6" t="s">
        <v>513</v>
      </c>
    </row>
    <row r="1175" spans="1:1" x14ac:dyDescent="0.35">
      <c r="A1175" s="13" t="s">
        <v>39</v>
      </c>
    </row>
    <row r="1176" spans="1:1" x14ac:dyDescent="0.35">
      <c r="A1176" s="6" t="s">
        <v>514</v>
      </c>
    </row>
    <row r="1177" spans="1:1" x14ac:dyDescent="0.35">
      <c r="A1177" s="13" t="s">
        <v>46</v>
      </c>
    </row>
    <row r="1178" spans="1:1" x14ac:dyDescent="0.35">
      <c r="A1178" s="6" t="s">
        <v>515</v>
      </c>
    </row>
    <row r="1179" spans="1:1" x14ac:dyDescent="0.35">
      <c r="A1179" s="13" t="s">
        <v>39</v>
      </c>
    </row>
    <row r="1180" spans="1:1" x14ac:dyDescent="0.35">
      <c r="A1180" s="13" t="s">
        <v>47</v>
      </c>
    </row>
    <row r="1181" spans="1:1" x14ac:dyDescent="0.35">
      <c r="A1181" s="13" t="s">
        <v>43</v>
      </c>
    </row>
    <row r="1182" spans="1:1" x14ac:dyDescent="0.35">
      <c r="A1182" s="13" t="s">
        <v>46</v>
      </c>
    </row>
    <row r="1183" spans="1:1" x14ac:dyDescent="0.35">
      <c r="A1183" s="6" t="s">
        <v>516</v>
      </c>
    </row>
    <row r="1184" spans="1:1" x14ac:dyDescent="0.35">
      <c r="A1184" s="13" t="s">
        <v>39</v>
      </c>
    </row>
    <row r="1185" spans="1:1" x14ac:dyDescent="0.35">
      <c r="A1185" s="6" t="s">
        <v>517</v>
      </c>
    </row>
    <row r="1186" spans="1:1" x14ac:dyDescent="0.35">
      <c r="A1186" s="13" t="s">
        <v>46</v>
      </c>
    </row>
    <row r="1187" spans="1:1" x14ac:dyDescent="0.35">
      <c r="A1187" s="6" t="s">
        <v>518</v>
      </c>
    </row>
    <row r="1188" spans="1:1" x14ac:dyDescent="0.35">
      <c r="A1188" s="13" t="s">
        <v>39</v>
      </c>
    </row>
    <row r="1189" spans="1:1" x14ac:dyDescent="0.35">
      <c r="A1189" s="13" t="s">
        <v>47</v>
      </c>
    </row>
    <row r="1190" spans="1:1" x14ac:dyDescent="0.35">
      <c r="A1190" s="13" t="s">
        <v>43</v>
      </c>
    </row>
    <row r="1191" spans="1:1" x14ac:dyDescent="0.35">
      <c r="A1191" s="13" t="s">
        <v>46</v>
      </c>
    </row>
    <row r="1192" spans="1:1" x14ac:dyDescent="0.35">
      <c r="A1192" s="6" t="s">
        <v>422</v>
      </c>
    </row>
    <row r="1193" spans="1:1" x14ac:dyDescent="0.35">
      <c r="A1193" s="13" t="s">
        <v>46</v>
      </c>
    </row>
    <row r="1194" spans="1:1" x14ac:dyDescent="0.35">
      <c r="A1194" s="6" t="s">
        <v>519</v>
      </c>
    </row>
    <row r="1195" spans="1:1" x14ac:dyDescent="0.35">
      <c r="A1195" s="13" t="s">
        <v>46</v>
      </c>
    </row>
    <row r="1196" spans="1:1" x14ac:dyDescent="0.35">
      <c r="A1196" s="6" t="s">
        <v>520</v>
      </c>
    </row>
    <row r="1197" spans="1:1" x14ac:dyDescent="0.35">
      <c r="A1197" s="13" t="s">
        <v>47</v>
      </c>
    </row>
    <row r="1198" spans="1:1" x14ac:dyDescent="0.35">
      <c r="A1198" s="6" t="s">
        <v>521</v>
      </c>
    </row>
    <row r="1199" spans="1:1" x14ac:dyDescent="0.35">
      <c r="A1199" s="13" t="s">
        <v>46</v>
      </c>
    </row>
    <row r="1200" spans="1:1" x14ac:dyDescent="0.35">
      <c r="A1200" s="6" t="s">
        <v>522</v>
      </c>
    </row>
    <row r="1201" spans="1:1" x14ac:dyDescent="0.35">
      <c r="A1201" s="13" t="s">
        <v>39</v>
      </c>
    </row>
    <row r="1202" spans="1:1" x14ac:dyDescent="0.35">
      <c r="A1202" s="13" t="s">
        <v>47</v>
      </c>
    </row>
    <row r="1203" spans="1:1" x14ac:dyDescent="0.35">
      <c r="A1203" s="13" t="s">
        <v>43</v>
      </c>
    </row>
    <row r="1204" spans="1:1" x14ac:dyDescent="0.35">
      <c r="A1204" s="13" t="s">
        <v>46</v>
      </c>
    </row>
    <row r="1205" spans="1:1" x14ac:dyDescent="0.35">
      <c r="A1205" s="6" t="s">
        <v>523</v>
      </c>
    </row>
    <row r="1206" spans="1:1" x14ac:dyDescent="0.35">
      <c r="A1206" s="13" t="s">
        <v>46</v>
      </c>
    </row>
    <row r="1207" spans="1:1" x14ac:dyDescent="0.35">
      <c r="A1207" s="6" t="s">
        <v>524</v>
      </c>
    </row>
    <row r="1208" spans="1:1" x14ac:dyDescent="0.35">
      <c r="A1208" s="13" t="s">
        <v>39</v>
      </c>
    </row>
    <row r="1209" spans="1:1" x14ac:dyDescent="0.35">
      <c r="A1209" s="13" t="s">
        <v>43</v>
      </c>
    </row>
    <row r="1210" spans="1:1" x14ac:dyDescent="0.35">
      <c r="A1210" s="13" t="s">
        <v>46</v>
      </c>
    </row>
    <row r="1211" spans="1:1" x14ac:dyDescent="0.35">
      <c r="A1211" s="6" t="s">
        <v>525</v>
      </c>
    </row>
    <row r="1212" spans="1:1" x14ac:dyDescent="0.35">
      <c r="A1212" s="13" t="s">
        <v>46</v>
      </c>
    </row>
    <row r="1213" spans="1:1" x14ac:dyDescent="0.35">
      <c r="A1213" s="6" t="s">
        <v>526</v>
      </c>
    </row>
    <row r="1214" spans="1:1" x14ac:dyDescent="0.35">
      <c r="A1214" s="13" t="s">
        <v>39</v>
      </c>
    </row>
    <row r="1215" spans="1:1" x14ac:dyDescent="0.35">
      <c r="A1215" s="13" t="s">
        <v>47</v>
      </c>
    </row>
    <row r="1216" spans="1:1" x14ac:dyDescent="0.35">
      <c r="A1216" s="13" t="s">
        <v>43</v>
      </c>
    </row>
    <row r="1217" spans="1:1" x14ac:dyDescent="0.35">
      <c r="A1217" s="13" t="s">
        <v>46</v>
      </c>
    </row>
    <row r="1218" spans="1:1" x14ac:dyDescent="0.35">
      <c r="A1218" s="6" t="s">
        <v>527</v>
      </c>
    </row>
    <row r="1219" spans="1:1" x14ac:dyDescent="0.35">
      <c r="A1219" s="13" t="s">
        <v>43</v>
      </c>
    </row>
    <row r="1220" spans="1:1" x14ac:dyDescent="0.35">
      <c r="A1220" s="6" t="s">
        <v>528</v>
      </c>
    </row>
    <row r="1221" spans="1:1" x14ac:dyDescent="0.35">
      <c r="A1221" s="13" t="s">
        <v>46</v>
      </c>
    </row>
    <row r="1222" spans="1:1" x14ac:dyDescent="0.35">
      <c r="A1222" s="6" t="s">
        <v>529</v>
      </c>
    </row>
    <row r="1223" spans="1:1" x14ac:dyDescent="0.35">
      <c r="A1223" s="13" t="s">
        <v>39</v>
      </c>
    </row>
    <row r="1224" spans="1:1" x14ac:dyDescent="0.35">
      <c r="A1224" s="13" t="s">
        <v>47</v>
      </c>
    </row>
    <row r="1225" spans="1:1" x14ac:dyDescent="0.35">
      <c r="A1225" s="6" t="s">
        <v>530</v>
      </c>
    </row>
    <row r="1226" spans="1:1" x14ac:dyDescent="0.35">
      <c r="A1226" s="13" t="s">
        <v>39</v>
      </c>
    </row>
    <row r="1227" spans="1:1" x14ac:dyDescent="0.35">
      <c r="A1227" s="13" t="s">
        <v>43</v>
      </c>
    </row>
    <row r="1228" spans="1:1" x14ac:dyDescent="0.35">
      <c r="A1228" s="6" t="s">
        <v>531</v>
      </c>
    </row>
    <row r="1229" spans="1:1" x14ac:dyDescent="0.35">
      <c r="A1229" s="13" t="s">
        <v>39</v>
      </c>
    </row>
    <row r="1230" spans="1:1" x14ac:dyDescent="0.35">
      <c r="A1230" s="13" t="s">
        <v>47</v>
      </c>
    </row>
    <row r="1231" spans="1:1" x14ac:dyDescent="0.35">
      <c r="A1231" s="13" t="s">
        <v>43</v>
      </c>
    </row>
    <row r="1232" spans="1:1" x14ac:dyDescent="0.35">
      <c r="A1232" s="13" t="s">
        <v>46</v>
      </c>
    </row>
    <row r="1233" spans="1:1" x14ac:dyDescent="0.35">
      <c r="A1233" s="6" t="s">
        <v>532</v>
      </c>
    </row>
    <row r="1234" spans="1:1" x14ac:dyDescent="0.35">
      <c r="A1234" s="13" t="s">
        <v>39</v>
      </c>
    </row>
    <row r="1235" spans="1:1" x14ac:dyDescent="0.35">
      <c r="A1235" s="13" t="s">
        <v>47</v>
      </c>
    </row>
    <row r="1236" spans="1:1" x14ac:dyDescent="0.35">
      <c r="A1236" s="13" t="s">
        <v>43</v>
      </c>
    </row>
    <row r="1237" spans="1:1" x14ac:dyDescent="0.35">
      <c r="A1237" s="6" t="s">
        <v>533</v>
      </c>
    </row>
    <row r="1238" spans="1:1" x14ac:dyDescent="0.35">
      <c r="A1238" s="13" t="s">
        <v>39</v>
      </c>
    </row>
    <row r="1239" spans="1:1" x14ac:dyDescent="0.35">
      <c r="A1239" s="6" t="s">
        <v>534</v>
      </c>
    </row>
    <row r="1240" spans="1:1" x14ac:dyDescent="0.35">
      <c r="A1240" s="13" t="s">
        <v>47</v>
      </c>
    </row>
    <row r="1241" spans="1:1" x14ac:dyDescent="0.35">
      <c r="A1241" s="13" t="s">
        <v>43</v>
      </c>
    </row>
    <row r="1242" spans="1:1" x14ac:dyDescent="0.35">
      <c r="A1242" s="13" t="s">
        <v>46</v>
      </c>
    </row>
    <row r="1243" spans="1:1" x14ac:dyDescent="0.35">
      <c r="A1243" s="6" t="s">
        <v>535</v>
      </c>
    </row>
    <row r="1244" spans="1:1" x14ac:dyDescent="0.35">
      <c r="A1244" s="13" t="s">
        <v>43</v>
      </c>
    </row>
    <row r="1245" spans="1:1" x14ac:dyDescent="0.35">
      <c r="A1245" s="13" t="s">
        <v>46</v>
      </c>
    </row>
    <row r="1246" spans="1:1" x14ac:dyDescent="0.35">
      <c r="A1246" s="6" t="s">
        <v>536</v>
      </c>
    </row>
    <row r="1247" spans="1:1" x14ac:dyDescent="0.35">
      <c r="A1247" s="13" t="s">
        <v>39</v>
      </c>
    </row>
    <row r="1248" spans="1:1" x14ac:dyDescent="0.35">
      <c r="A1248" s="6" t="s">
        <v>537</v>
      </c>
    </row>
    <row r="1249" spans="1:1" x14ac:dyDescent="0.35">
      <c r="A1249" s="13" t="s">
        <v>39</v>
      </c>
    </row>
    <row r="1250" spans="1:1" x14ac:dyDescent="0.35">
      <c r="A1250" s="13" t="s">
        <v>43</v>
      </c>
    </row>
    <row r="1251" spans="1:1" x14ac:dyDescent="0.35">
      <c r="A1251" s="13" t="s">
        <v>46</v>
      </c>
    </row>
    <row r="1252" spans="1:1" x14ac:dyDescent="0.35">
      <c r="A1252" s="6" t="s">
        <v>538</v>
      </c>
    </row>
    <row r="1253" spans="1:1" x14ac:dyDescent="0.35">
      <c r="A1253" s="13" t="s">
        <v>39</v>
      </c>
    </row>
    <row r="1254" spans="1:1" x14ac:dyDescent="0.35">
      <c r="A1254" s="13" t="s">
        <v>47</v>
      </c>
    </row>
    <row r="1255" spans="1:1" x14ac:dyDescent="0.35">
      <c r="A1255" s="13" t="s">
        <v>43</v>
      </c>
    </row>
    <row r="1256" spans="1:1" x14ac:dyDescent="0.35">
      <c r="A1256" s="6" t="s">
        <v>539</v>
      </c>
    </row>
    <row r="1257" spans="1:1" x14ac:dyDescent="0.35">
      <c r="A1257" s="13" t="s">
        <v>39</v>
      </c>
    </row>
    <row r="1258" spans="1:1" x14ac:dyDescent="0.35">
      <c r="A1258" s="13" t="s">
        <v>47</v>
      </c>
    </row>
    <row r="1259" spans="1:1" x14ac:dyDescent="0.35">
      <c r="A1259" s="13" t="s">
        <v>43</v>
      </c>
    </row>
    <row r="1260" spans="1:1" x14ac:dyDescent="0.35">
      <c r="A1260" s="13" t="s">
        <v>46</v>
      </c>
    </row>
    <row r="1261" spans="1:1" x14ac:dyDescent="0.35">
      <c r="A1261" s="6" t="s">
        <v>540</v>
      </c>
    </row>
    <row r="1262" spans="1:1" x14ac:dyDescent="0.35">
      <c r="A1262" s="13" t="s">
        <v>39</v>
      </c>
    </row>
    <row r="1263" spans="1:1" x14ac:dyDescent="0.35">
      <c r="A1263" s="13" t="s">
        <v>47</v>
      </c>
    </row>
    <row r="1264" spans="1:1" x14ac:dyDescent="0.35">
      <c r="A1264" s="6" t="s">
        <v>541</v>
      </c>
    </row>
    <row r="1265" spans="1:1" x14ac:dyDescent="0.35">
      <c r="A1265" s="13" t="s">
        <v>43</v>
      </c>
    </row>
    <row r="1266" spans="1:1" x14ac:dyDescent="0.35">
      <c r="A1266" s="13" t="s">
        <v>46</v>
      </c>
    </row>
    <row r="1267" spans="1:1" x14ac:dyDescent="0.35">
      <c r="A1267" s="6" t="s">
        <v>542</v>
      </c>
    </row>
    <row r="1268" spans="1:1" x14ac:dyDescent="0.35">
      <c r="A1268" s="13" t="s">
        <v>39</v>
      </c>
    </row>
    <row r="1269" spans="1:1" x14ac:dyDescent="0.35">
      <c r="A1269" s="13" t="s">
        <v>47</v>
      </c>
    </row>
    <row r="1270" spans="1:1" x14ac:dyDescent="0.35">
      <c r="A1270" s="13" t="s">
        <v>43</v>
      </c>
    </row>
    <row r="1271" spans="1:1" x14ac:dyDescent="0.35">
      <c r="A1271" s="13" t="s">
        <v>46</v>
      </c>
    </row>
    <row r="1272" spans="1:1" x14ac:dyDescent="0.35">
      <c r="A1272" s="6" t="s">
        <v>543</v>
      </c>
    </row>
    <row r="1273" spans="1:1" x14ac:dyDescent="0.35">
      <c r="A1273" s="13" t="s">
        <v>47</v>
      </c>
    </row>
    <row r="1274" spans="1:1" x14ac:dyDescent="0.35">
      <c r="A1274" s="6" t="s">
        <v>544</v>
      </c>
    </row>
    <row r="1275" spans="1:1" x14ac:dyDescent="0.35">
      <c r="A1275" s="13" t="s">
        <v>46</v>
      </c>
    </row>
    <row r="1276" spans="1:1" x14ac:dyDescent="0.35">
      <c r="A1276" s="6" t="s">
        <v>545</v>
      </c>
    </row>
    <row r="1277" spans="1:1" x14ac:dyDescent="0.35">
      <c r="A1277" s="13" t="s">
        <v>39</v>
      </c>
    </row>
    <row r="1278" spans="1:1" x14ac:dyDescent="0.35">
      <c r="A1278" s="13" t="s">
        <v>46</v>
      </c>
    </row>
    <row r="1279" spans="1:1" x14ac:dyDescent="0.35">
      <c r="A1279" s="6" t="s">
        <v>546</v>
      </c>
    </row>
    <row r="1280" spans="1:1" x14ac:dyDescent="0.35">
      <c r="A1280" s="13" t="s">
        <v>39</v>
      </c>
    </row>
    <row r="1281" spans="1:1" x14ac:dyDescent="0.35">
      <c r="A1281" s="6" t="s">
        <v>547</v>
      </c>
    </row>
    <row r="1282" spans="1:1" x14ac:dyDescent="0.35">
      <c r="A1282" s="13" t="s">
        <v>46</v>
      </c>
    </row>
    <row r="1283" spans="1:1" x14ac:dyDescent="0.35">
      <c r="A1283" s="6" t="s">
        <v>548</v>
      </c>
    </row>
    <row r="1284" spans="1:1" x14ac:dyDescent="0.35">
      <c r="A1284" s="13" t="s">
        <v>39</v>
      </c>
    </row>
    <row r="1285" spans="1:1" x14ac:dyDescent="0.35">
      <c r="A1285" s="13" t="s">
        <v>47</v>
      </c>
    </row>
    <row r="1286" spans="1:1" x14ac:dyDescent="0.35">
      <c r="A1286" s="13" t="s">
        <v>43</v>
      </c>
    </row>
    <row r="1287" spans="1:1" x14ac:dyDescent="0.35">
      <c r="A1287" s="6" t="s">
        <v>549</v>
      </c>
    </row>
    <row r="1288" spans="1:1" x14ac:dyDescent="0.35">
      <c r="A1288" s="13" t="s">
        <v>39</v>
      </c>
    </row>
    <row r="1289" spans="1:1" x14ac:dyDescent="0.35">
      <c r="A1289" s="13" t="s">
        <v>47</v>
      </c>
    </row>
    <row r="1290" spans="1:1" x14ac:dyDescent="0.35">
      <c r="A1290" s="6" t="s">
        <v>550</v>
      </c>
    </row>
    <row r="1291" spans="1:1" x14ac:dyDescent="0.35">
      <c r="A1291" s="13" t="s">
        <v>39</v>
      </c>
    </row>
    <row r="1292" spans="1:1" x14ac:dyDescent="0.35">
      <c r="A1292" s="13" t="s">
        <v>47</v>
      </c>
    </row>
    <row r="1293" spans="1:1" x14ac:dyDescent="0.35">
      <c r="A1293" s="13" t="s">
        <v>43</v>
      </c>
    </row>
    <row r="1294" spans="1:1" x14ac:dyDescent="0.35">
      <c r="A1294" s="6" t="s">
        <v>551</v>
      </c>
    </row>
    <row r="1295" spans="1:1" x14ac:dyDescent="0.35">
      <c r="A1295" s="13" t="s">
        <v>39</v>
      </c>
    </row>
    <row r="1296" spans="1:1" x14ac:dyDescent="0.35">
      <c r="A1296" s="13" t="s">
        <v>47</v>
      </c>
    </row>
    <row r="1297" spans="1:1" x14ac:dyDescent="0.35">
      <c r="A1297" s="13" t="s">
        <v>43</v>
      </c>
    </row>
    <row r="1298" spans="1:1" x14ac:dyDescent="0.35">
      <c r="A1298" s="6" t="s">
        <v>552</v>
      </c>
    </row>
    <row r="1299" spans="1:1" x14ac:dyDescent="0.35">
      <c r="A1299" s="13" t="s">
        <v>47</v>
      </c>
    </row>
    <row r="1300" spans="1:1" x14ac:dyDescent="0.35">
      <c r="A1300" s="13" t="s">
        <v>43</v>
      </c>
    </row>
    <row r="1301" spans="1:1" x14ac:dyDescent="0.35">
      <c r="A1301" s="13" t="s">
        <v>46</v>
      </c>
    </row>
    <row r="1302" spans="1:1" x14ac:dyDescent="0.35">
      <c r="A1302" s="6" t="s">
        <v>553</v>
      </c>
    </row>
    <row r="1303" spans="1:1" x14ac:dyDescent="0.35">
      <c r="A1303" s="13" t="s">
        <v>43</v>
      </c>
    </row>
    <row r="1304" spans="1:1" x14ac:dyDescent="0.35">
      <c r="A1304" s="13" t="s">
        <v>46</v>
      </c>
    </row>
    <row r="1305" spans="1:1" x14ac:dyDescent="0.35">
      <c r="A1305" s="6" t="s">
        <v>554</v>
      </c>
    </row>
    <row r="1306" spans="1:1" x14ac:dyDescent="0.35">
      <c r="A1306" s="13" t="s">
        <v>43</v>
      </c>
    </row>
    <row r="1307" spans="1:1" x14ac:dyDescent="0.35">
      <c r="A1307" s="13" t="s">
        <v>46</v>
      </c>
    </row>
    <row r="1308" spans="1:1" x14ac:dyDescent="0.35">
      <c r="A1308" s="6" t="s">
        <v>555</v>
      </c>
    </row>
    <row r="1309" spans="1:1" x14ac:dyDescent="0.35">
      <c r="A1309" s="13" t="s">
        <v>39</v>
      </c>
    </row>
    <row r="1310" spans="1:1" x14ac:dyDescent="0.35">
      <c r="A1310" s="6" t="s">
        <v>556</v>
      </c>
    </row>
    <row r="1311" spans="1:1" x14ac:dyDescent="0.35">
      <c r="A1311" s="13" t="s">
        <v>39</v>
      </c>
    </row>
    <row r="1312" spans="1:1" x14ac:dyDescent="0.35">
      <c r="A1312" s="6" t="s">
        <v>557</v>
      </c>
    </row>
    <row r="1313" spans="1:1" x14ac:dyDescent="0.35">
      <c r="A1313" s="13" t="s">
        <v>46</v>
      </c>
    </row>
    <row r="1314" spans="1:1" x14ac:dyDescent="0.35">
      <c r="A1314" s="6" t="s">
        <v>558</v>
      </c>
    </row>
    <row r="1315" spans="1:1" x14ac:dyDescent="0.35">
      <c r="A1315" s="13" t="s">
        <v>39</v>
      </c>
    </row>
    <row r="1316" spans="1:1" x14ac:dyDescent="0.35">
      <c r="A1316" s="13" t="s">
        <v>47</v>
      </c>
    </row>
    <row r="1317" spans="1:1" x14ac:dyDescent="0.35">
      <c r="A1317" s="6" t="s">
        <v>559</v>
      </c>
    </row>
    <row r="1318" spans="1:1" x14ac:dyDescent="0.35">
      <c r="A1318" s="13" t="s">
        <v>46</v>
      </c>
    </row>
    <row r="1319" spans="1:1" x14ac:dyDescent="0.35">
      <c r="A1319" s="6" t="s">
        <v>560</v>
      </c>
    </row>
    <row r="1320" spans="1:1" x14ac:dyDescent="0.35">
      <c r="A1320" s="13" t="s">
        <v>47</v>
      </c>
    </row>
    <row r="1321" spans="1:1" x14ac:dyDescent="0.35">
      <c r="A1321" s="13" t="s">
        <v>46</v>
      </c>
    </row>
    <row r="1322" spans="1:1" x14ac:dyDescent="0.35">
      <c r="A1322" s="6" t="s">
        <v>561</v>
      </c>
    </row>
    <row r="1323" spans="1:1" x14ac:dyDescent="0.35">
      <c r="A1323" s="13" t="s">
        <v>46</v>
      </c>
    </row>
    <row r="1324" spans="1:1" x14ac:dyDescent="0.35">
      <c r="A1324" s="6" t="s">
        <v>562</v>
      </c>
    </row>
    <row r="1325" spans="1:1" x14ac:dyDescent="0.35">
      <c r="A1325" s="13" t="s">
        <v>47</v>
      </c>
    </row>
    <row r="1326" spans="1:1" x14ac:dyDescent="0.35">
      <c r="A1326" s="13" t="s">
        <v>43</v>
      </c>
    </row>
    <row r="1327" spans="1:1" x14ac:dyDescent="0.35">
      <c r="A1327" s="6" t="s">
        <v>563</v>
      </c>
    </row>
    <row r="1328" spans="1:1" x14ac:dyDescent="0.35">
      <c r="A1328" s="13" t="s">
        <v>46</v>
      </c>
    </row>
    <row r="1329" spans="1:1" x14ac:dyDescent="0.35">
      <c r="A1329" s="6" t="s">
        <v>564</v>
      </c>
    </row>
    <row r="1330" spans="1:1" x14ac:dyDescent="0.35">
      <c r="A1330" s="13" t="s">
        <v>47</v>
      </c>
    </row>
    <row r="1331" spans="1:1" x14ac:dyDescent="0.35">
      <c r="A1331" s="13" t="s">
        <v>43</v>
      </c>
    </row>
    <row r="1332" spans="1:1" x14ac:dyDescent="0.35">
      <c r="A1332" s="13" t="s">
        <v>46</v>
      </c>
    </row>
    <row r="1333" spans="1:1" x14ac:dyDescent="0.35">
      <c r="A1333" s="6" t="s">
        <v>565</v>
      </c>
    </row>
    <row r="1334" spans="1:1" x14ac:dyDescent="0.35">
      <c r="A1334" s="13" t="s">
        <v>47</v>
      </c>
    </row>
    <row r="1335" spans="1:1" x14ac:dyDescent="0.35">
      <c r="A1335" s="13" t="s">
        <v>43</v>
      </c>
    </row>
    <row r="1336" spans="1:1" x14ac:dyDescent="0.35">
      <c r="A1336" s="13" t="s">
        <v>46</v>
      </c>
    </row>
    <row r="1337" spans="1:1" x14ac:dyDescent="0.35">
      <c r="A1337" s="6" t="s">
        <v>566</v>
      </c>
    </row>
    <row r="1338" spans="1:1" x14ac:dyDescent="0.35">
      <c r="A1338" s="13" t="s">
        <v>47</v>
      </c>
    </row>
    <row r="1339" spans="1:1" x14ac:dyDescent="0.35">
      <c r="A1339" s="6" t="s">
        <v>567</v>
      </c>
    </row>
    <row r="1340" spans="1:1" x14ac:dyDescent="0.35">
      <c r="A1340" s="13" t="s">
        <v>47</v>
      </c>
    </row>
    <row r="1341" spans="1:1" x14ac:dyDescent="0.35">
      <c r="A1341" s="13" t="s">
        <v>43</v>
      </c>
    </row>
    <row r="1342" spans="1:1" x14ac:dyDescent="0.35">
      <c r="A1342" s="13" t="s">
        <v>46</v>
      </c>
    </row>
    <row r="1343" spans="1:1" x14ac:dyDescent="0.35">
      <c r="A1343" s="6" t="s">
        <v>569</v>
      </c>
    </row>
    <row r="1344" spans="1:1" x14ac:dyDescent="0.35">
      <c r="A1344" s="13" t="s">
        <v>39</v>
      </c>
    </row>
    <row r="1345" spans="1:1" x14ac:dyDescent="0.35">
      <c r="A1345" s="13" t="s">
        <v>43</v>
      </c>
    </row>
    <row r="1346" spans="1:1" x14ac:dyDescent="0.35">
      <c r="A1346" s="13" t="s">
        <v>46</v>
      </c>
    </row>
    <row r="1347" spans="1:1" x14ac:dyDescent="0.35">
      <c r="A1347" s="6" t="s">
        <v>570</v>
      </c>
    </row>
    <row r="1348" spans="1:1" x14ac:dyDescent="0.35">
      <c r="A1348" s="13" t="s">
        <v>39</v>
      </c>
    </row>
    <row r="1349" spans="1:1" x14ac:dyDescent="0.35">
      <c r="A1349" s="13" t="s">
        <v>47</v>
      </c>
    </row>
    <row r="1350" spans="1:1" x14ac:dyDescent="0.35">
      <c r="A1350" s="13" t="s">
        <v>43</v>
      </c>
    </row>
    <row r="1351" spans="1:1" x14ac:dyDescent="0.35">
      <c r="A1351" s="6" t="s">
        <v>571</v>
      </c>
    </row>
    <row r="1352" spans="1:1" x14ac:dyDescent="0.35">
      <c r="A1352" s="13" t="s">
        <v>47</v>
      </c>
    </row>
    <row r="1353" spans="1:1" x14ac:dyDescent="0.35">
      <c r="A1353" s="13" t="s">
        <v>43</v>
      </c>
    </row>
    <row r="1354" spans="1:1" x14ac:dyDescent="0.35">
      <c r="A1354" s="13" t="s">
        <v>46</v>
      </c>
    </row>
    <row r="1355" spans="1:1" x14ac:dyDescent="0.35">
      <c r="A1355" s="6" t="s">
        <v>572</v>
      </c>
    </row>
    <row r="1356" spans="1:1" x14ac:dyDescent="0.35">
      <c r="A1356" s="13" t="s">
        <v>39</v>
      </c>
    </row>
    <row r="1357" spans="1:1" x14ac:dyDescent="0.35">
      <c r="A1357" s="13" t="s">
        <v>47</v>
      </c>
    </row>
    <row r="1358" spans="1:1" x14ac:dyDescent="0.35">
      <c r="A1358" s="13" t="s">
        <v>43</v>
      </c>
    </row>
    <row r="1359" spans="1:1" x14ac:dyDescent="0.35">
      <c r="A1359" s="13" t="s">
        <v>46</v>
      </c>
    </row>
    <row r="1360" spans="1:1" x14ac:dyDescent="0.35">
      <c r="A1360" s="6" t="s">
        <v>573</v>
      </c>
    </row>
    <row r="1361" spans="1:1" x14ac:dyDescent="0.35">
      <c r="A1361" s="13" t="s">
        <v>39</v>
      </c>
    </row>
    <row r="1362" spans="1:1" x14ac:dyDescent="0.35">
      <c r="A1362" s="13" t="s">
        <v>47</v>
      </c>
    </row>
    <row r="1363" spans="1:1" x14ac:dyDescent="0.35">
      <c r="A1363" s="13" t="s">
        <v>43</v>
      </c>
    </row>
    <row r="1364" spans="1:1" x14ac:dyDescent="0.35">
      <c r="A1364" s="13" t="s">
        <v>46</v>
      </c>
    </row>
    <row r="1365" spans="1:1" x14ac:dyDescent="0.35">
      <c r="A1365" s="6" t="s">
        <v>575</v>
      </c>
    </row>
    <row r="1366" spans="1:1" x14ac:dyDescent="0.35">
      <c r="A1366" s="13" t="s">
        <v>39</v>
      </c>
    </row>
    <row r="1367" spans="1:1" x14ac:dyDescent="0.35">
      <c r="A1367" s="13" t="s">
        <v>47</v>
      </c>
    </row>
    <row r="1368" spans="1:1" x14ac:dyDescent="0.35">
      <c r="A1368" s="6" t="s">
        <v>576</v>
      </c>
    </row>
    <row r="1369" spans="1:1" x14ac:dyDescent="0.35">
      <c r="A1369" s="13" t="s">
        <v>39</v>
      </c>
    </row>
    <row r="1370" spans="1:1" x14ac:dyDescent="0.35">
      <c r="A1370" s="13" t="s">
        <v>47</v>
      </c>
    </row>
    <row r="1371" spans="1:1" x14ac:dyDescent="0.35">
      <c r="A1371" s="13" t="s">
        <v>43</v>
      </c>
    </row>
    <row r="1372" spans="1:1" x14ac:dyDescent="0.35">
      <c r="A1372" s="6" t="s">
        <v>577</v>
      </c>
    </row>
    <row r="1373" spans="1:1" x14ac:dyDescent="0.35">
      <c r="A1373" s="13" t="s">
        <v>39</v>
      </c>
    </row>
    <row r="1374" spans="1:1" x14ac:dyDescent="0.35">
      <c r="A1374" s="6" t="s">
        <v>578</v>
      </c>
    </row>
    <row r="1375" spans="1:1" x14ac:dyDescent="0.35">
      <c r="A1375" s="13" t="s">
        <v>47</v>
      </c>
    </row>
    <row r="1376" spans="1:1" x14ac:dyDescent="0.35">
      <c r="A1376" s="13" t="s">
        <v>43</v>
      </c>
    </row>
    <row r="1377" spans="1:1" x14ac:dyDescent="0.35">
      <c r="A1377" s="13" t="s">
        <v>46</v>
      </c>
    </row>
    <row r="1378" spans="1:1" x14ac:dyDescent="0.35">
      <c r="A1378" s="6" t="s">
        <v>579</v>
      </c>
    </row>
    <row r="1379" spans="1:1" x14ac:dyDescent="0.35">
      <c r="A1379" s="13" t="s">
        <v>39</v>
      </c>
    </row>
    <row r="1380" spans="1:1" x14ac:dyDescent="0.35">
      <c r="A1380" s="13" t="s">
        <v>47</v>
      </c>
    </row>
    <row r="1381" spans="1:1" x14ac:dyDescent="0.35">
      <c r="A1381" s="6" t="s">
        <v>580</v>
      </c>
    </row>
    <row r="1382" spans="1:1" x14ac:dyDescent="0.35">
      <c r="A1382" s="13" t="s">
        <v>39</v>
      </c>
    </row>
    <row r="1383" spans="1:1" x14ac:dyDescent="0.35">
      <c r="A1383" s="13" t="s">
        <v>47</v>
      </c>
    </row>
    <row r="1384" spans="1:1" x14ac:dyDescent="0.35">
      <c r="A1384" s="13" t="s">
        <v>43</v>
      </c>
    </row>
    <row r="1385" spans="1:1" x14ac:dyDescent="0.35">
      <c r="A1385" s="13" t="s">
        <v>46</v>
      </c>
    </row>
    <row r="1386" spans="1:1" x14ac:dyDescent="0.35">
      <c r="A1386" s="6" t="s">
        <v>581</v>
      </c>
    </row>
    <row r="1387" spans="1:1" x14ac:dyDescent="0.35">
      <c r="A1387" s="13" t="s">
        <v>43</v>
      </c>
    </row>
    <row r="1388" spans="1:1" x14ac:dyDescent="0.35">
      <c r="A1388" s="13" t="s">
        <v>46</v>
      </c>
    </row>
    <row r="1389" spans="1:1" x14ac:dyDescent="0.35">
      <c r="A1389" s="6" t="s">
        <v>582</v>
      </c>
    </row>
    <row r="1390" spans="1:1" x14ac:dyDescent="0.35">
      <c r="A1390" s="13" t="s">
        <v>39</v>
      </c>
    </row>
    <row r="1391" spans="1:1" x14ac:dyDescent="0.35">
      <c r="A1391" s="6" t="s">
        <v>583</v>
      </c>
    </row>
    <row r="1392" spans="1:1" x14ac:dyDescent="0.35">
      <c r="A1392" s="13" t="s">
        <v>39</v>
      </c>
    </row>
    <row r="1393" spans="1:1" x14ac:dyDescent="0.35">
      <c r="A1393" s="13" t="s">
        <v>47</v>
      </c>
    </row>
    <row r="1394" spans="1:1" x14ac:dyDescent="0.35">
      <c r="A1394" s="13" t="s">
        <v>43</v>
      </c>
    </row>
    <row r="1395" spans="1:1" x14ac:dyDescent="0.35">
      <c r="A1395" s="13" t="s">
        <v>46</v>
      </c>
    </row>
    <row r="1396" spans="1:1" x14ac:dyDescent="0.35">
      <c r="A1396" s="6" t="s">
        <v>584</v>
      </c>
    </row>
    <row r="1397" spans="1:1" x14ac:dyDescent="0.35">
      <c r="A1397" s="13" t="s">
        <v>39</v>
      </c>
    </row>
    <row r="1398" spans="1:1" x14ac:dyDescent="0.35">
      <c r="A1398" s="13" t="s">
        <v>47</v>
      </c>
    </row>
    <row r="1399" spans="1:1" x14ac:dyDescent="0.35">
      <c r="A1399" s="13" t="s">
        <v>43</v>
      </c>
    </row>
    <row r="1400" spans="1:1" x14ac:dyDescent="0.35">
      <c r="A1400" s="13" t="s">
        <v>46</v>
      </c>
    </row>
    <row r="1401" spans="1:1" x14ac:dyDescent="0.35">
      <c r="A1401" s="6" t="s">
        <v>585</v>
      </c>
    </row>
    <row r="1402" spans="1:1" x14ac:dyDescent="0.35">
      <c r="A1402" s="13" t="s">
        <v>47</v>
      </c>
    </row>
    <row r="1403" spans="1:1" x14ac:dyDescent="0.35">
      <c r="A1403" s="6" t="s">
        <v>586</v>
      </c>
    </row>
    <row r="1404" spans="1:1" x14ac:dyDescent="0.35">
      <c r="A1404" s="13" t="s">
        <v>43</v>
      </c>
    </row>
    <row r="1405" spans="1:1" x14ac:dyDescent="0.35">
      <c r="A1405" s="6" t="s">
        <v>587</v>
      </c>
    </row>
    <row r="1406" spans="1:1" x14ac:dyDescent="0.35">
      <c r="A1406" s="13" t="s">
        <v>39</v>
      </c>
    </row>
    <row r="1407" spans="1:1" x14ac:dyDescent="0.35">
      <c r="A1407" s="6" t="s">
        <v>589</v>
      </c>
    </row>
    <row r="1408" spans="1:1" x14ac:dyDescent="0.35">
      <c r="A1408" s="13" t="s">
        <v>39</v>
      </c>
    </row>
    <row r="1409" spans="1:1" x14ac:dyDescent="0.35">
      <c r="A1409" s="13" t="s">
        <v>47</v>
      </c>
    </row>
    <row r="1410" spans="1:1" x14ac:dyDescent="0.35">
      <c r="A1410" s="13" t="s">
        <v>43</v>
      </c>
    </row>
    <row r="1411" spans="1:1" x14ac:dyDescent="0.35">
      <c r="A1411" s="13" t="s">
        <v>46</v>
      </c>
    </row>
    <row r="1412" spans="1:1" x14ac:dyDescent="0.35">
      <c r="A1412" s="6" t="s">
        <v>592</v>
      </c>
    </row>
    <row r="1413" spans="1:1" x14ac:dyDescent="0.35">
      <c r="A1413" s="13" t="s">
        <v>47</v>
      </c>
    </row>
    <row r="1414" spans="1:1" x14ac:dyDescent="0.35">
      <c r="A1414" s="6" t="s">
        <v>590</v>
      </c>
    </row>
    <row r="1415" spans="1:1" x14ac:dyDescent="0.35">
      <c r="A1415" s="13" t="s">
        <v>39</v>
      </c>
    </row>
    <row r="1416" spans="1:1" x14ac:dyDescent="0.35">
      <c r="A1416" s="6" t="s">
        <v>593</v>
      </c>
    </row>
    <row r="1417" spans="1:1" x14ac:dyDescent="0.35">
      <c r="A1417" s="13" t="s">
        <v>39</v>
      </c>
    </row>
    <row r="1418" spans="1:1" x14ac:dyDescent="0.35">
      <c r="A1418" s="13" t="s">
        <v>47</v>
      </c>
    </row>
    <row r="1419" spans="1:1" x14ac:dyDescent="0.35">
      <c r="A1419" s="13" t="s">
        <v>43</v>
      </c>
    </row>
    <row r="1420" spans="1:1" x14ac:dyDescent="0.35">
      <c r="A1420" s="13" t="s">
        <v>46</v>
      </c>
    </row>
    <row r="1421" spans="1:1" x14ac:dyDescent="0.35">
      <c r="A1421" s="6" t="s">
        <v>591</v>
      </c>
    </row>
    <row r="1422" spans="1:1" x14ac:dyDescent="0.35">
      <c r="A1422" s="13" t="s">
        <v>46</v>
      </c>
    </row>
    <row r="1423" spans="1:1" x14ac:dyDescent="0.35">
      <c r="A1423" s="6" t="s">
        <v>594</v>
      </c>
    </row>
    <row r="1424" spans="1:1" x14ac:dyDescent="0.35">
      <c r="A1424" s="13" t="s">
        <v>39</v>
      </c>
    </row>
    <row r="1425" spans="1:1" x14ac:dyDescent="0.35">
      <c r="A1425" s="13" t="s">
        <v>47</v>
      </c>
    </row>
    <row r="1426" spans="1:1" x14ac:dyDescent="0.35">
      <c r="A1426" s="13" t="s">
        <v>43</v>
      </c>
    </row>
    <row r="1427" spans="1:1" x14ac:dyDescent="0.35">
      <c r="A1427" s="6" t="s">
        <v>595</v>
      </c>
    </row>
    <row r="1428" spans="1:1" x14ac:dyDescent="0.35">
      <c r="A1428" s="13" t="s">
        <v>39</v>
      </c>
    </row>
    <row r="1429" spans="1:1" x14ac:dyDescent="0.35">
      <c r="A1429" s="6" t="s">
        <v>597</v>
      </c>
    </row>
    <row r="1430" spans="1:1" x14ac:dyDescent="0.35">
      <c r="A1430" s="13" t="s">
        <v>43</v>
      </c>
    </row>
    <row r="1431" spans="1:1" x14ac:dyDescent="0.35">
      <c r="A1431" s="6" t="s">
        <v>598</v>
      </c>
    </row>
    <row r="1432" spans="1:1" x14ac:dyDescent="0.35">
      <c r="A1432" s="13" t="s">
        <v>47</v>
      </c>
    </row>
    <row r="1433" spans="1:1" x14ac:dyDescent="0.35">
      <c r="A1433" s="13" t="s">
        <v>43</v>
      </c>
    </row>
    <row r="1434" spans="1:1" x14ac:dyDescent="0.35">
      <c r="A1434" s="6" t="s">
        <v>599</v>
      </c>
    </row>
    <row r="1435" spans="1:1" x14ac:dyDescent="0.35">
      <c r="A1435" s="13" t="s">
        <v>46</v>
      </c>
    </row>
    <row r="1436" spans="1:1" x14ac:dyDescent="0.35">
      <c r="A1436" s="6" t="s">
        <v>601</v>
      </c>
    </row>
    <row r="1437" spans="1:1" x14ac:dyDescent="0.35">
      <c r="A1437" s="13" t="s">
        <v>46</v>
      </c>
    </row>
    <row r="1438" spans="1:1" x14ac:dyDescent="0.35">
      <c r="A1438" s="6" t="s">
        <v>602</v>
      </c>
    </row>
    <row r="1439" spans="1:1" x14ac:dyDescent="0.35">
      <c r="A1439" s="13" t="s">
        <v>39</v>
      </c>
    </row>
    <row r="1440" spans="1:1" x14ac:dyDescent="0.35">
      <c r="A1440" s="6" t="s">
        <v>603</v>
      </c>
    </row>
    <row r="1441" spans="1:1" x14ac:dyDescent="0.35">
      <c r="A1441" s="13" t="s">
        <v>46</v>
      </c>
    </row>
    <row r="1442" spans="1:1" x14ac:dyDescent="0.35">
      <c r="A1442" s="6" t="s">
        <v>604</v>
      </c>
    </row>
    <row r="1443" spans="1:1" x14ac:dyDescent="0.35">
      <c r="A1443" s="13" t="s">
        <v>47</v>
      </c>
    </row>
    <row r="1444" spans="1:1" x14ac:dyDescent="0.35">
      <c r="A1444" s="13" t="s">
        <v>43</v>
      </c>
    </row>
    <row r="1445" spans="1:1" x14ac:dyDescent="0.35">
      <c r="A1445" s="6" t="s">
        <v>605</v>
      </c>
    </row>
    <row r="1446" spans="1:1" x14ac:dyDescent="0.35">
      <c r="A1446" s="13" t="s">
        <v>39</v>
      </c>
    </row>
    <row r="1447" spans="1:1" x14ac:dyDescent="0.35">
      <c r="A1447" s="13" t="s">
        <v>43</v>
      </c>
    </row>
    <row r="1448" spans="1:1" x14ac:dyDescent="0.35">
      <c r="A1448" s="13" t="s">
        <v>46</v>
      </c>
    </row>
    <row r="1449" spans="1:1" x14ac:dyDescent="0.35">
      <c r="A1449" s="6" t="s">
        <v>606</v>
      </c>
    </row>
    <row r="1450" spans="1:1" x14ac:dyDescent="0.35">
      <c r="A1450" s="13" t="s">
        <v>39</v>
      </c>
    </row>
    <row r="1451" spans="1:1" x14ac:dyDescent="0.35">
      <c r="A1451" s="13" t="s">
        <v>46</v>
      </c>
    </row>
    <row r="1452" spans="1:1" x14ac:dyDescent="0.35">
      <c r="A1452" s="6" t="s">
        <v>607</v>
      </c>
    </row>
    <row r="1453" spans="1:1" x14ac:dyDescent="0.35">
      <c r="A1453" s="13" t="s">
        <v>39</v>
      </c>
    </row>
    <row r="1454" spans="1:1" x14ac:dyDescent="0.35">
      <c r="A1454" s="13" t="s">
        <v>47</v>
      </c>
    </row>
    <row r="1455" spans="1:1" x14ac:dyDescent="0.35">
      <c r="A1455" s="6" t="s">
        <v>608</v>
      </c>
    </row>
    <row r="1456" spans="1:1" x14ac:dyDescent="0.35">
      <c r="A1456" s="13" t="s">
        <v>46</v>
      </c>
    </row>
    <row r="1457" spans="1:1" x14ac:dyDescent="0.35">
      <c r="A1457" s="6" t="s">
        <v>609</v>
      </c>
    </row>
    <row r="1458" spans="1:1" x14ac:dyDescent="0.35">
      <c r="A1458" s="13" t="s">
        <v>39</v>
      </c>
    </row>
    <row r="1459" spans="1:1" x14ac:dyDescent="0.35">
      <c r="A1459" s="6" t="s">
        <v>610</v>
      </c>
    </row>
    <row r="1460" spans="1:1" x14ac:dyDescent="0.35">
      <c r="A1460" s="13" t="s">
        <v>47</v>
      </c>
    </row>
    <row r="1461" spans="1:1" x14ac:dyDescent="0.35">
      <c r="A1461" s="13" t="s">
        <v>43</v>
      </c>
    </row>
    <row r="1462" spans="1:1" x14ac:dyDescent="0.35">
      <c r="A1462" s="13" t="s">
        <v>46</v>
      </c>
    </row>
    <row r="1463" spans="1:1" x14ac:dyDescent="0.35">
      <c r="A1463" s="6" t="s">
        <v>611</v>
      </c>
    </row>
    <row r="1464" spans="1:1" x14ac:dyDescent="0.35">
      <c r="A1464" s="13" t="s">
        <v>43</v>
      </c>
    </row>
    <row r="1465" spans="1:1" x14ac:dyDescent="0.35">
      <c r="A1465" s="6" t="s">
        <v>612</v>
      </c>
    </row>
    <row r="1466" spans="1:1" x14ac:dyDescent="0.35">
      <c r="A1466" s="13" t="s">
        <v>39</v>
      </c>
    </row>
    <row r="1467" spans="1:1" x14ac:dyDescent="0.35">
      <c r="A1467" s="6" t="s">
        <v>613</v>
      </c>
    </row>
    <row r="1468" spans="1:1" x14ac:dyDescent="0.35">
      <c r="A1468" s="13" t="s">
        <v>46</v>
      </c>
    </row>
    <row r="1469" spans="1:1" x14ac:dyDescent="0.35">
      <c r="A1469" s="6" t="s">
        <v>614</v>
      </c>
    </row>
    <row r="1470" spans="1:1" x14ac:dyDescent="0.35">
      <c r="A1470" s="13" t="s">
        <v>39</v>
      </c>
    </row>
    <row r="1471" spans="1:1" x14ac:dyDescent="0.35">
      <c r="A1471" s="13" t="s">
        <v>47</v>
      </c>
    </row>
    <row r="1472" spans="1:1" x14ac:dyDescent="0.35">
      <c r="A1472" s="6" t="s">
        <v>615</v>
      </c>
    </row>
    <row r="1473" spans="1:1" x14ac:dyDescent="0.35">
      <c r="A1473" s="13" t="s">
        <v>46</v>
      </c>
    </row>
    <row r="1474" spans="1:1" x14ac:dyDescent="0.35">
      <c r="A1474" s="6" t="s">
        <v>616</v>
      </c>
    </row>
    <row r="1475" spans="1:1" x14ac:dyDescent="0.35">
      <c r="A1475" s="13" t="s">
        <v>39</v>
      </c>
    </row>
    <row r="1476" spans="1:1" x14ac:dyDescent="0.35">
      <c r="A1476" s="13" t="s">
        <v>47</v>
      </c>
    </row>
    <row r="1477" spans="1:1" x14ac:dyDescent="0.35">
      <c r="A1477" s="13" t="s">
        <v>43</v>
      </c>
    </row>
    <row r="1478" spans="1:1" x14ac:dyDescent="0.35">
      <c r="A1478" s="13" t="s">
        <v>46</v>
      </c>
    </row>
    <row r="1479" spans="1:1" x14ac:dyDescent="0.35">
      <c r="A1479" s="6" t="s">
        <v>568</v>
      </c>
    </row>
    <row r="1480" spans="1:1" x14ac:dyDescent="0.35">
      <c r="A1480" s="13" t="s">
        <v>47</v>
      </c>
    </row>
    <row r="1481" spans="1:1" x14ac:dyDescent="0.35">
      <c r="A1481" s="6" t="s">
        <v>618</v>
      </c>
    </row>
    <row r="1482" spans="1:1" x14ac:dyDescent="0.35">
      <c r="A1482" s="13" t="s">
        <v>39</v>
      </c>
    </row>
    <row r="1483" spans="1:1" x14ac:dyDescent="0.35">
      <c r="A1483" s="6" t="s">
        <v>619</v>
      </c>
    </row>
    <row r="1484" spans="1:1" x14ac:dyDescent="0.35">
      <c r="A1484" s="13" t="s">
        <v>39</v>
      </c>
    </row>
    <row r="1485" spans="1:1" x14ac:dyDescent="0.35">
      <c r="A1485" s="13" t="s">
        <v>47</v>
      </c>
    </row>
    <row r="1486" spans="1:1" x14ac:dyDescent="0.35">
      <c r="A1486" s="13" t="s">
        <v>43</v>
      </c>
    </row>
    <row r="1487" spans="1:1" x14ac:dyDescent="0.35">
      <c r="A1487" s="13" t="s">
        <v>46</v>
      </c>
    </row>
    <row r="1488" spans="1:1" x14ac:dyDescent="0.35">
      <c r="A1488" s="6" t="s">
        <v>620</v>
      </c>
    </row>
    <row r="1489" spans="1:1" x14ac:dyDescent="0.35">
      <c r="A1489" s="13" t="s">
        <v>39</v>
      </c>
    </row>
    <row r="1490" spans="1:1" x14ac:dyDescent="0.35">
      <c r="A1490" s="6" t="s">
        <v>621</v>
      </c>
    </row>
    <row r="1491" spans="1:1" x14ac:dyDescent="0.35">
      <c r="A1491" s="13" t="s">
        <v>39</v>
      </c>
    </row>
    <row r="1492" spans="1:1" x14ac:dyDescent="0.35">
      <c r="A1492" s="13" t="s">
        <v>47</v>
      </c>
    </row>
    <row r="1493" spans="1:1" x14ac:dyDescent="0.35">
      <c r="A1493" s="6" t="s">
        <v>622</v>
      </c>
    </row>
    <row r="1494" spans="1:1" x14ac:dyDescent="0.35">
      <c r="A1494" s="13" t="s">
        <v>47</v>
      </c>
    </row>
    <row r="1495" spans="1:1" x14ac:dyDescent="0.35">
      <c r="A1495" s="6" t="s">
        <v>623</v>
      </c>
    </row>
    <row r="1496" spans="1:1" x14ac:dyDescent="0.35">
      <c r="A1496" s="13" t="s">
        <v>47</v>
      </c>
    </row>
    <row r="1497" spans="1:1" x14ac:dyDescent="0.35">
      <c r="A1497" s="13" t="s">
        <v>43</v>
      </c>
    </row>
    <row r="1498" spans="1:1" x14ac:dyDescent="0.35">
      <c r="A1498" s="13" t="s">
        <v>46</v>
      </c>
    </row>
    <row r="1499" spans="1:1" x14ac:dyDescent="0.35">
      <c r="A1499" s="6" t="s">
        <v>624</v>
      </c>
    </row>
    <row r="1500" spans="1:1" x14ac:dyDescent="0.35">
      <c r="A1500" s="13" t="s">
        <v>39</v>
      </c>
    </row>
    <row r="1501" spans="1:1" x14ac:dyDescent="0.35">
      <c r="A1501" s="13" t="s">
        <v>47</v>
      </c>
    </row>
    <row r="1502" spans="1:1" x14ac:dyDescent="0.35">
      <c r="A1502" s="13" t="s">
        <v>43</v>
      </c>
    </row>
    <row r="1503" spans="1:1" x14ac:dyDescent="0.35">
      <c r="A1503" s="13" t="s">
        <v>46</v>
      </c>
    </row>
    <row r="1504" spans="1:1" x14ac:dyDescent="0.35">
      <c r="A1504" s="6" t="s">
        <v>625</v>
      </c>
    </row>
    <row r="1505" spans="1:1" x14ac:dyDescent="0.35">
      <c r="A1505" s="13" t="s">
        <v>47</v>
      </c>
    </row>
    <row r="1506" spans="1:1" x14ac:dyDescent="0.35">
      <c r="A1506" s="13" t="s">
        <v>43</v>
      </c>
    </row>
    <row r="1507" spans="1:1" x14ac:dyDescent="0.35">
      <c r="A1507" s="13" t="s">
        <v>46</v>
      </c>
    </row>
    <row r="1508" spans="1:1" x14ac:dyDescent="0.35">
      <c r="A1508" s="6" t="s">
        <v>626</v>
      </c>
    </row>
    <row r="1509" spans="1:1" x14ac:dyDescent="0.35">
      <c r="A1509" s="13" t="s">
        <v>46</v>
      </c>
    </row>
    <row r="1510" spans="1:1" x14ac:dyDescent="0.35">
      <c r="A1510" s="6" t="s">
        <v>627</v>
      </c>
    </row>
    <row r="1511" spans="1:1" x14ac:dyDescent="0.35">
      <c r="A1511" s="13" t="s">
        <v>39</v>
      </c>
    </row>
    <row r="1512" spans="1:1" x14ac:dyDescent="0.35">
      <c r="A1512" s="13" t="s">
        <v>47</v>
      </c>
    </row>
    <row r="1513" spans="1:1" x14ac:dyDescent="0.35">
      <c r="A1513" s="13" t="s">
        <v>43</v>
      </c>
    </row>
    <row r="1514" spans="1:1" x14ac:dyDescent="0.35">
      <c r="A1514" s="6" t="s">
        <v>628</v>
      </c>
    </row>
    <row r="1515" spans="1:1" x14ac:dyDescent="0.35">
      <c r="A1515" s="13" t="s">
        <v>43</v>
      </c>
    </row>
    <row r="1516" spans="1:1" x14ac:dyDescent="0.35">
      <c r="A1516" s="6" t="s">
        <v>629</v>
      </c>
    </row>
    <row r="1517" spans="1:1" x14ac:dyDescent="0.35">
      <c r="A1517" s="13" t="s">
        <v>43</v>
      </c>
    </row>
    <row r="1518" spans="1:1" x14ac:dyDescent="0.35">
      <c r="A1518" s="6" t="s">
        <v>630</v>
      </c>
    </row>
    <row r="1519" spans="1:1" x14ac:dyDescent="0.35">
      <c r="A1519" s="13" t="s">
        <v>39</v>
      </c>
    </row>
    <row r="1520" spans="1:1" x14ac:dyDescent="0.35">
      <c r="A1520" s="6" t="s">
        <v>631</v>
      </c>
    </row>
    <row r="1521" spans="1:1" x14ac:dyDescent="0.35">
      <c r="A1521" s="13" t="s">
        <v>39</v>
      </c>
    </row>
    <row r="1522" spans="1:1" x14ac:dyDescent="0.35">
      <c r="A1522" s="13" t="s">
        <v>47</v>
      </c>
    </row>
    <row r="1523" spans="1:1" x14ac:dyDescent="0.35">
      <c r="A1523" s="6" t="s">
        <v>633</v>
      </c>
    </row>
    <row r="1524" spans="1:1" x14ac:dyDescent="0.35">
      <c r="A1524" s="13" t="s">
        <v>43</v>
      </c>
    </row>
    <row r="1525" spans="1:1" x14ac:dyDescent="0.35">
      <c r="A1525" s="13" t="s">
        <v>46</v>
      </c>
    </row>
    <row r="1526" spans="1:1" x14ac:dyDescent="0.35">
      <c r="A1526" s="6" t="s">
        <v>634</v>
      </c>
    </row>
    <row r="1527" spans="1:1" x14ac:dyDescent="0.35">
      <c r="A1527" s="13" t="s">
        <v>39</v>
      </c>
    </row>
    <row r="1528" spans="1:1" x14ac:dyDescent="0.35">
      <c r="A1528" s="13" t="s">
        <v>47</v>
      </c>
    </row>
    <row r="1529" spans="1:1" x14ac:dyDescent="0.35">
      <c r="A1529" s="13" t="s">
        <v>43</v>
      </c>
    </row>
    <row r="1530" spans="1:1" x14ac:dyDescent="0.35">
      <c r="A1530" s="6" t="s">
        <v>635</v>
      </c>
    </row>
    <row r="1531" spans="1:1" x14ac:dyDescent="0.35">
      <c r="A1531" s="13" t="s">
        <v>46</v>
      </c>
    </row>
    <row r="1532" spans="1:1" x14ac:dyDescent="0.35">
      <c r="A1532" s="6" t="s">
        <v>636</v>
      </c>
    </row>
    <row r="1533" spans="1:1" x14ac:dyDescent="0.35">
      <c r="A1533" s="13" t="s">
        <v>43</v>
      </c>
    </row>
    <row r="1534" spans="1:1" x14ac:dyDescent="0.35">
      <c r="A1534" s="13" t="s">
        <v>46</v>
      </c>
    </row>
    <row r="1535" spans="1:1" x14ac:dyDescent="0.35">
      <c r="A1535" s="6" t="s">
        <v>637</v>
      </c>
    </row>
    <row r="1536" spans="1:1" x14ac:dyDescent="0.35">
      <c r="A1536" s="13" t="s">
        <v>46</v>
      </c>
    </row>
    <row r="1537" spans="1:1" x14ac:dyDescent="0.35">
      <c r="A1537" s="6" t="s">
        <v>638</v>
      </c>
    </row>
    <row r="1538" spans="1:1" x14ac:dyDescent="0.35">
      <c r="A1538" s="13" t="s">
        <v>39</v>
      </c>
    </row>
    <row r="1539" spans="1:1" x14ac:dyDescent="0.35">
      <c r="A1539" s="13" t="s">
        <v>47</v>
      </c>
    </row>
    <row r="1540" spans="1:1" x14ac:dyDescent="0.35">
      <c r="A1540" s="13" t="s">
        <v>43</v>
      </c>
    </row>
    <row r="1541" spans="1:1" x14ac:dyDescent="0.35">
      <c r="A1541" s="13" t="s">
        <v>46</v>
      </c>
    </row>
    <row r="1542" spans="1:1" x14ac:dyDescent="0.35">
      <c r="A1542" s="6" t="s">
        <v>639</v>
      </c>
    </row>
    <row r="1543" spans="1:1" x14ac:dyDescent="0.35">
      <c r="A1543" s="13" t="s">
        <v>43</v>
      </c>
    </row>
    <row r="1544" spans="1:1" x14ac:dyDescent="0.35">
      <c r="A1544" s="6" t="s">
        <v>640</v>
      </c>
    </row>
    <row r="1545" spans="1:1" x14ac:dyDescent="0.35">
      <c r="A1545" s="13" t="s">
        <v>39</v>
      </c>
    </row>
    <row r="1546" spans="1:1" x14ac:dyDescent="0.35">
      <c r="A1546" s="13" t="s">
        <v>47</v>
      </c>
    </row>
    <row r="1547" spans="1:1" x14ac:dyDescent="0.35">
      <c r="A1547" s="13" t="s">
        <v>43</v>
      </c>
    </row>
    <row r="1548" spans="1:1" x14ac:dyDescent="0.35">
      <c r="A1548" s="13" t="s">
        <v>46</v>
      </c>
    </row>
    <row r="1549" spans="1:1" x14ac:dyDescent="0.35">
      <c r="A1549" s="6" t="s">
        <v>641</v>
      </c>
    </row>
    <row r="1550" spans="1:1" x14ac:dyDescent="0.35">
      <c r="A1550" s="13" t="s">
        <v>39</v>
      </c>
    </row>
    <row r="1551" spans="1:1" x14ac:dyDescent="0.35">
      <c r="A1551" s="13" t="s">
        <v>47</v>
      </c>
    </row>
    <row r="1552" spans="1:1" x14ac:dyDescent="0.35">
      <c r="A1552" s="13" t="s">
        <v>43</v>
      </c>
    </row>
    <row r="1553" spans="1:1" x14ac:dyDescent="0.35">
      <c r="A1553" s="13" t="s">
        <v>46</v>
      </c>
    </row>
    <row r="1554" spans="1:1" x14ac:dyDescent="0.35">
      <c r="A1554" s="6" t="s">
        <v>642</v>
      </c>
    </row>
    <row r="1555" spans="1:1" x14ac:dyDescent="0.35">
      <c r="A1555" s="13" t="s">
        <v>39</v>
      </c>
    </row>
    <row r="1556" spans="1:1" x14ac:dyDescent="0.35">
      <c r="A1556" s="6" t="s">
        <v>645</v>
      </c>
    </row>
    <row r="1557" spans="1:1" x14ac:dyDescent="0.35">
      <c r="A1557" s="13" t="s">
        <v>46</v>
      </c>
    </row>
    <row r="1558" spans="1:1" x14ac:dyDescent="0.35">
      <c r="A1558" s="6" t="s">
        <v>647</v>
      </c>
    </row>
    <row r="1559" spans="1:1" x14ac:dyDescent="0.35">
      <c r="A1559" s="13" t="s">
        <v>39</v>
      </c>
    </row>
    <row r="1560" spans="1:1" x14ac:dyDescent="0.35">
      <c r="A1560" s="13" t="s">
        <v>47</v>
      </c>
    </row>
    <row r="1561" spans="1:1" x14ac:dyDescent="0.35">
      <c r="A1561" s="6" t="s">
        <v>648</v>
      </c>
    </row>
    <row r="1562" spans="1:1" x14ac:dyDescent="0.35">
      <c r="A1562" s="13" t="s">
        <v>39</v>
      </c>
    </row>
    <row r="1563" spans="1:1" x14ac:dyDescent="0.35">
      <c r="A1563" s="13" t="s">
        <v>47</v>
      </c>
    </row>
    <row r="1564" spans="1:1" x14ac:dyDescent="0.35">
      <c r="A1564" s="13" t="s">
        <v>43</v>
      </c>
    </row>
    <row r="1565" spans="1:1" x14ac:dyDescent="0.35">
      <c r="A1565" s="13" t="s">
        <v>46</v>
      </c>
    </row>
    <row r="1566" spans="1:1" x14ac:dyDescent="0.35">
      <c r="A1566" s="6" t="s">
        <v>649</v>
      </c>
    </row>
    <row r="1567" spans="1:1" x14ac:dyDescent="0.35">
      <c r="A1567" s="13" t="s">
        <v>46</v>
      </c>
    </row>
    <row r="1568" spans="1:1" x14ac:dyDescent="0.35">
      <c r="A1568" s="6" t="s">
        <v>650</v>
      </c>
    </row>
    <row r="1569" spans="1:1" x14ac:dyDescent="0.35">
      <c r="A1569" s="13" t="s">
        <v>39</v>
      </c>
    </row>
    <row r="1570" spans="1:1" x14ac:dyDescent="0.35">
      <c r="A1570" s="13" t="s">
        <v>47</v>
      </c>
    </row>
    <row r="1571" spans="1:1" x14ac:dyDescent="0.35">
      <c r="A1571" s="13" t="s">
        <v>43</v>
      </c>
    </row>
    <row r="1572" spans="1:1" x14ac:dyDescent="0.35">
      <c r="A1572" s="13" t="s">
        <v>46</v>
      </c>
    </row>
    <row r="1573" spans="1:1" x14ac:dyDescent="0.35">
      <c r="A1573" s="6" t="s">
        <v>651</v>
      </c>
    </row>
    <row r="1574" spans="1:1" x14ac:dyDescent="0.35">
      <c r="A1574" s="13" t="s">
        <v>39</v>
      </c>
    </row>
    <row r="1575" spans="1:1" x14ac:dyDescent="0.35">
      <c r="A1575" s="13" t="s">
        <v>43</v>
      </c>
    </row>
    <row r="1576" spans="1:1" x14ac:dyDescent="0.35">
      <c r="A1576" s="6" t="s">
        <v>652</v>
      </c>
    </row>
    <row r="1577" spans="1:1" x14ac:dyDescent="0.35">
      <c r="A1577" s="13" t="s">
        <v>39</v>
      </c>
    </row>
    <row r="1578" spans="1:1" x14ac:dyDescent="0.35">
      <c r="A1578" s="13" t="s">
        <v>47</v>
      </c>
    </row>
    <row r="1579" spans="1:1" x14ac:dyDescent="0.35">
      <c r="A1579" s="13" t="s">
        <v>43</v>
      </c>
    </row>
    <row r="1580" spans="1:1" x14ac:dyDescent="0.35">
      <c r="A1580" s="13" t="s">
        <v>46</v>
      </c>
    </row>
    <row r="1581" spans="1:1" x14ac:dyDescent="0.35">
      <c r="A1581" s="6" t="s">
        <v>653</v>
      </c>
    </row>
    <row r="1582" spans="1:1" x14ac:dyDescent="0.35">
      <c r="A1582" s="13" t="s">
        <v>47</v>
      </c>
    </row>
    <row r="1583" spans="1:1" x14ac:dyDescent="0.35">
      <c r="A1583" s="6" t="s">
        <v>654</v>
      </c>
    </row>
    <row r="1584" spans="1:1" x14ac:dyDescent="0.35">
      <c r="A1584" s="13" t="s">
        <v>39</v>
      </c>
    </row>
    <row r="1585" spans="1:1" x14ac:dyDescent="0.35">
      <c r="A1585" s="13" t="s">
        <v>47</v>
      </c>
    </row>
    <row r="1586" spans="1:1" x14ac:dyDescent="0.35">
      <c r="A1586" s="13" t="s">
        <v>46</v>
      </c>
    </row>
    <row r="1587" spans="1:1" x14ac:dyDescent="0.35">
      <c r="A1587" s="6" t="s">
        <v>655</v>
      </c>
    </row>
    <row r="1588" spans="1:1" x14ac:dyDescent="0.35">
      <c r="A1588" s="13" t="s">
        <v>46</v>
      </c>
    </row>
    <row r="1589" spans="1:1" x14ac:dyDescent="0.35">
      <c r="A1589" s="6" t="s">
        <v>656</v>
      </c>
    </row>
    <row r="1590" spans="1:1" x14ac:dyDescent="0.35">
      <c r="A1590" s="13" t="s">
        <v>39</v>
      </c>
    </row>
    <row r="1591" spans="1:1" x14ac:dyDescent="0.35">
      <c r="A1591" s="13" t="s">
        <v>47</v>
      </c>
    </row>
    <row r="1592" spans="1:1" x14ac:dyDescent="0.35">
      <c r="A1592" s="6" t="s">
        <v>657</v>
      </c>
    </row>
    <row r="1593" spans="1:1" x14ac:dyDescent="0.35">
      <c r="A1593" s="13" t="s">
        <v>39</v>
      </c>
    </row>
    <row r="1594" spans="1:1" x14ac:dyDescent="0.35">
      <c r="A1594" s="13" t="s">
        <v>47</v>
      </c>
    </row>
    <row r="1595" spans="1:1" x14ac:dyDescent="0.35">
      <c r="A1595" s="13" t="s">
        <v>43</v>
      </c>
    </row>
    <row r="1596" spans="1:1" x14ac:dyDescent="0.35">
      <c r="A1596" s="13" t="s">
        <v>46</v>
      </c>
    </row>
    <row r="1597" spans="1:1" x14ac:dyDescent="0.35">
      <c r="A1597" s="6" t="s">
        <v>644</v>
      </c>
    </row>
    <row r="1598" spans="1:1" x14ac:dyDescent="0.35">
      <c r="A1598" s="13" t="s">
        <v>39</v>
      </c>
    </row>
    <row r="1599" spans="1:1" x14ac:dyDescent="0.35">
      <c r="A1599" s="13" t="s">
        <v>47</v>
      </c>
    </row>
    <row r="1600" spans="1:1" x14ac:dyDescent="0.35">
      <c r="A1600" s="13" t="s">
        <v>43</v>
      </c>
    </row>
    <row r="1601" spans="1:1" x14ac:dyDescent="0.35">
      <c r="A1601" s="13" t="s">
        <v>46</v>
      </c>
    </row>
    <row r="1602" spans="1:1" x14ac:dyDescent="0.35">
      <c r="A1602" s="6" t="s">
        <v>658</v>
      </c>
    </row>
    <row r="1603" spans="1:1" x14ac:dyDescent="0.35">
      <c r="A1603" s="13" t="s">
        <v>39</v>
      </c>
    </row>
    <row r="1604" spans="1:1" x14ac:dyDescent="0.35">
      <c r="A1604" s="13" t="s">
        <v>47</v>
      </c>
    </row>
    <row r="1605" spans="1:1" x14ac:dyDescent="0.35">
      <c r="A1605" s="13" t="s">
        <v>43</v>
      </c>
    </row>
    <row r="1606" spans="1:1" x14ac:dyDescent="0.35">
      <c r="A1606" s="13" t="s">
        <v>46</v>
      </c>
    </row>
    <row r="1607" spans="1:1" x14ac:dyDescent="0.35">
      <c r="A1607" s="6" t="s">
        <v>659</v>
      </c>
    </row>
    <row r="1608" spans="1:1" x14ac:dyDescent="0.35">
      <c r="A1608" s="13" t="s">
        <v>39</v>
      </c>
    </row>
    <row r="1609" spans="1:1" x14ac:dyDescent="0.35">
      <c r="A1609" s="6" t="s">
        <v>660</v>
      </c>
    </row>
    <row r="1610" spans="1:1" x14ac:dyDescent="0.35">
      <c r="A1610" s="13" t="s">
        <v>43</v>
      </c>
    </row>
    <row r="1611" spans="1:1" x14ac:dyDescent="0.35">
      <c r="A1611" s="6" t="s">
        <v>661</v>
      </c>
    </row>
    <row r="1612" spans="1:1" x14ac:dyDescent="0.35">
      <c r="A1612" s="13" t="s">
        <v>47</v>
      </c>
    </row>
    <row r="1613" spans="1:1" x14ac:dyDescent="0.35">
      <c r="A1613" s="6" t="s">
        <v>662</v>
      </c>
    </row>
    <row r="1614" spans="1:1" x14ac:dyDescent="0.35">
      <c r="A1614" s="13" t="s">
        <v>39</v>
      </c>
    </row>
    <row r="1615" spans="1:1" x14ac:dyDescent="0.35">
      <c r="A1615" s="13" t="s">
        <v>47</v>
      </c>
    </row>
    <row r="1616" spans="1:1" x14ac:dyDescent="0.35">
      <c r="A1616" s="6" t="s">
        <v>663</v>
      </c>
    </row>
    <row r="1617" spans="1:1" x14ac:dyDescent="0.35">
      <c r="A1617" s="13" t="s">
        <v>39</v>
      </c>
    </row>
    <row r="1618" spans="1:1" x14ac:dyDescent="0.35">
      <c r="A1618" s="13" t="s">
        <v>47</v>
      </c>
    </row>
    <row r="1619" spans="1:1" x14ac:dyDescent="0.35">
      <c r="A1619" s="6" t="s">
        <v>664</v>
      </c>
    </row>
    <row r="1620" spans="1:1" x14ac:dyDescent="0.35">
      <c r="A1620" s="13" t="s">
        <v>39</v>
      </c>
    </row>
    <row r="1621" spans="1:1" x14ac:dyDescent="0.35">
      <c r="A1621" s="6" t="s">
        <v>665</v>
      </c>
    </row>
    <row r="1622" spans="1:1" x14ac:dyDescent="0.35">
      <c r="A1622" s="13" t="s">
        <v>46</v>
      </c>
    </row>
    <row r="1623" spans="1:1" x14ac:dyDescent="0.35">
      <c r="A1623" s="6" t="s">
        <v>667</v>
      </c>
    </row>
    <row r="1624" spans="1:1" x14ac:dyDescent="0.35">
      <c r="A1624" s="13" t="s">
        <v>43</v>
      </c>
    </row>
    <row r="1625" spans="1:1" x14ac:dyDescent="0.35">
      <c r="A1625" s="6" t="s">
        <v>668</v>
      </c>
    </row>
    <row r="1626" spans="1:1" x14ac:dyDescent="0.35">
      <c r="A1626" s="13" t="s">
        <v>43</v>
      </c>
    </row>
    <row r="1627" spans="1:1" x14ac:dyDescent="0.35">
      <c r="A1627" s="6" t="s">
        <v>669</v>
      </c>
    </row>
    <row r="1628" spans="1:1" x14ac:dyDescent="0.35">
      <c r="A1628" s="13" t="s">
        <v>39</v>
      </c>
    </row>
    <row r="1629" spans="1:1" x14ac:dyDescent="0.35">
      <c r="A1629" s="13" t="s">
        <v>47</v>
      </c>
    </row>
    <row r="1630" spans="1:1" x14ac:dyDescent="0.35">
      <c r="A1630" s="13" t="s">
        <v>43</v>
      </c>
    </row>
    <row r="1631" spans="1:1" x14ac:dyDescent="0.35">
      <c r="A1631" s="13" t="s">
        <v>46</v>
      </c>
    </row>
    <row r="1632" spans="1:1" x14ac:dyDescent="0.35">
      <c r="A1632" s="6" t="s">
        <v>670</v>
      </c>
    </row>
    <row r="1633" spans="1:1" x14ac:dyDescent="0.35">
      <c r="A1633" s="13" t="s">
        <v>39</v>
      </c>
    </row>
    <row r="1634" spans="1:1" x14ac:dyDescent="0.35">
      <c r="A1634" s="13" t="s">
        <v>47</v>
      </c>
    </row>
    <row r="1635" spans="1:1" x14ac:dyDescent="0.35">
      <c r="A1635" s="13" t="s">
        <v>43</v>
      </c>
    </row>
    <row r="1636" spans="1:1" x14ac:dyDescent="0.35">
      <c r="A1636" s="13" t="s">
        <v>46</v>
      </c>
    </row>
    <row r="1637" spans="1:1" x14ac:dyDescent="0.35">
      <c r="A1637" s="6" t="s">
        <v>671</v>
      </c>
    </row>
    <row r="1638" spans="1:1" x14ac:dyDescent="0.35">
      <c r="A1638" s="13" t="s">
        <v>39</v>
      </c>
    </row>
    <row r="1639" spans="1:1" x14ac:dyDescent="0.35">
      <c r="A1639" s="6" t="s">
        <v>672</v>
      </c>
    </row>
    <row r="1640" spans="1:1" x14ac:dyDescent="0.35">
      <c r="A1640" s="13" t="s">
        <v>47</v>
      </c>
    </row>
    <row r="1641" spans="1:1" x14ac:dyDescent="0.35">
      <c r="A1641" s="13" t="s">
        <v>43</v>
      </c>
    </row>
    <row r="1642" spans="1:1" x14ac:dyDescent="0.35">
      <c r="A1642" s="13" t="s">
        <v>46</v>
      </c>
    </row>
    <row r="1643" spans="1:1" x14ac:dyDescent="0.35">
      <c r="A1643" s="6" t="s">
        <v>673</v>
      </c>
    </row>
    <row r="1644" spans="1:1" x14ac:dyDescent="0.35">
      <c r="A1644" s="13" t="s">
        <v>39</v>
      </c>
    </row>
    <row r="1645" spans="1:1" x14ac:dyDescent="0.35">
      <c r="A1645" s="13" t="s">
        <v>47</v>
      </c>
    </row>
    <row r="1646" spans="1:1" x14ac:dyDescent="0.35">
      <c r="A1646" s="13" t="s">
        <v>43</v>
      </c>
    </row>
    <row r="1647" spans="1:1" x14ac:dyDescent="0.35">
      <c r="A1647" s="13" t="s">
        <v>46</v>
      </c>
    </row>
    <row r="1648" spans="1:1" x14ac:dyDescent="0.35">
      <c r="A1648" s="6" t="s">
        <v>674</v>
      </c>
    </row>
    <row r="1649" spans="1:1" x14ac:dyDescent="0.35">
      <c r="A1649" s="13" t="s">
        <v>39</v>
      </c>
    </row>
    <row r="1650" spans="1:1" x14ac:dyDescent="0.35">
      <c r="A1650" s="6" t="s">
        <v>675</v>
      </c>
    </row>
    <row r="1651" spans="1:1" x14ac:dyDescent="0.35">
      <c r="A1651" s="13" t="s">
        <v>39</v>
      </c>
    </row>
    <row r="1652" spans="1:1" x14ac:dyDescent="0.35">
      <c r="A1652" s="6" t="s">
        <v>676</v>
      </c>
    </row>
    <row r="1653" spans="1:1" x14ac:dyDescent="0.35">
      <c r="A1653" s="13" t="s">
        <v>47</v>
      </c>
    </row>
    <row r="1654" spans="1:1" x14ac:dyDescent="0.35">
      <c r="A1654" s="6" t="s">
        <v>677</v>
      </c>
    </row>
    <row r="1655" spans="1:1" x14ac:dyDescent="0.35">
      <c r="A1655" s="13" t="s">
        <v>43</v>
      </c>
    </row>
    <row r="1656" spans="1:1" x14ac:dyDescent="0.35">
      <c r="A1656" s="13" t="s">
        <v>46</v>
      </c>
    </row>
    <row r="1657" spans="1:1" x14ac:dyDescent="0.35">
      <c r="A1657" s="6" t="s">
        <v>678</v>
      </c>
    </row>
    <row r="1658" spans="1:1" x14ac:dyDescent="0.35">
      <c r="A1658" s="13" t="s">
        <v>39</v>
      </c>
    </row>
    <row r="1659" spans="1:1" x14ac:dyDescent="0.35">
      <c r="A1659" s="13" t="s">
        <v>47</v>
      </c>
    </row>
    <row r="1660" spans="1:1" x14ac:dyDescent="0.35">
      <c r="A1660" s="6" t="s">
        <v>679</v>
      </c>
    </row>
    <row r="1661" spans="1:1" x14ac:dyDescent="0.35">
      <c r="A1661" s="13" t="s">
        <v>39</v>
      </c>
    </row>
    <row r="1662" spans="1:1" x14ac:dyDescent="0.35">
      <c r="A1662" s="13" t="s">
        <v>47</v>
      </c>
    </row>
    <row r="1663" spans="1:1" x14ac:dyDescent="0.35">
      <c r="A1663" s="13" t="s">
        <v>43</v>
      </c>
    </row>
    <row r="1664" spans="1:1" x14ac:dyDescent="0.35">
      <c r="A1664" s="13" t="s">
        <v>46</v>
      </c>
    </row>
    <row r="1665" spans="1:1" x14ac:dyDescent="0.35">
      <c r="A1665" s="6" t="s">
        <v>680</v>
      </c>
    </row>
    <row r="1666" spans="1:1" x14ac:dyDescent="0.35">
      <c r="A1666" s="13" t="s">
        <v>39</v>
      </c>
    </row>
    <row r="1667" spans="1:1" x14ac:dyDescent="0.35">
      <c r="A1667" s="13" t="s">
        <v>43</v>
      </c>
    </row>
    <row r="1668" spans="1:1" x14ac:dyDescent="0.35">
      <c r="A1668" s="13" t="s">
        <v>46</v>
      </c>
    </row>
    <row r="1669" spans="1:1" x14ac:dyDescent="0.35">
      <c r="A1669" s="6" t="s">
        <v>681</v>
      </c>
    </row>
    <row r="1670" spans="1:1" x14ac:dyDescent="0.35">
      <c r="A1670" s="13" t="s">
        <v>47</v>
      </c>
    </row>
    <row r="1671" spans="1:1" x14ac:dyDescent="0.35">
      <c r="A1671" s="13" t="s">
        <v>43</v>
      </c>
    </row>
    <row r="1672" spans="1:1" x14ac:dyDescent="0.35">
      <c r="A1672" s="13" t="s">
        <v>46</v>
      </c>
    </row>
    <row r="1673" spans="1:1" x14ac:dyDescent="0.35">
      <c r="A1673" s="6" t="s">
        <v>682</v>
      </c>
    </row>
    <row r="1674" spans="1:1" x14ac:dyDescent="0.35">
      <c r="A1674" s="13" t="s">
        <v>39</v>
      </c>
    </row>
    <row r="1675" spans="1:1" x14ac:dyDescent="0.35">
      <c r="A1675" s="13" t="s">
        <v>47</v>
      </c>
    </row>
    <row r="1676" spans="1:1" x14ac:dyDescent="0.35">
      <c r="A1676" s="13" t="s">
        <v>43</v>
      </c>
    </row>
    <row r="1677" spans="1:1" x14ac:dyDescent="0.35">
      <c r="A1677" s="13" t="s">
        <v>46</v>
      </c>
    </row>
    <row r="1678" spans="1:1" x14ac:dyDescent="0.35">
      <c r="A1678" s="6" t="s">
        <v>683</v>
      </c>
    </row>
    <row r="1679" spans="1:1" x14ac:dyDescent="0.35">
      <c r="A1679" s="13" t="s">
        <v>39</v>
      </c>
    </row>
    <row r="1680" spans="1:1" x14ac:dyDescent="0.35">
      <c r="A1680" s="13" t="s">
        <v>47</v>
      </c>
    </row>
    <row r="1681" spans="1:1" x14ac:dyDescent="0.35">
      <c r="A1681" s="13" t="s">
        <v>43</v>
      </c>
    </row>
    <row r="1682" spans="1:1" x14ac:dyDescent="0.35">
      <c r="A1682" s="13" t="s">
        <v>46</v>
      </c>
    </row>
    <row r="1683" spans="1:1" x14ac:dyDescent="0.35">
      <c r="A1683" s="6" t="s">
        <v>685</v>
      </c>
    </row>
    <row r="1684" spans="1:1" x14ac:dyDescent="0.35">
      <c r="A1684" s="13" t="s">
        <v>39</v>
      </c>
    </row>
    <row r="1685" spans="1:1" x14ac:dyDescent="0.35">
      <c r="A1685" s="6" t="s">
        <v>686</v>
      </c>
    </row>
    <row r="1686" spans="1:1" x14ac:dyDescent="0.35">
      <c r="A1686" s="13" t="s">
        <v>39</v>
      </c>
    </row>
    <row r="1687" spans="1:1" x14ac:dyDescent="0.35">
      <c r="A1687" s="13" t="s">
        <v>47</v>
      </c>
    </row>
    <row r="1688" spans="1:1" x14ac:dyDescent="0.35">
      <c r="A1688" s="13" t="s">
        <v>43</v>
      </c>
    </row>
    <row r="1689" spans="1:1" x14ac:dyDescent="0.35">
      <c r="A1689" s="6" t="s">
        <v>687</v>
      </c>
    </row>
    <row r="1690" spans="1:1" x14ac:dyDescent="0.35">
      <c r="A1690" s="13" t="s">
        <v>39</v>
      </c>
    </row>
    <row r="1691" spans="1:1" x14ac:dyDescent="0.35">
      <c r="A1691" s="13" t="s">
        <v>47</v>
      </c>
    </row>
    <row r="1692" spans="1:1" x14ac:dyDescent="0.35">
      <c r="A1692" s="13" t="s">
        <v>43</v>
      </c>
    </row>
    <row r="1693" spans="1:1" x14ac:dyDescent="0.35">
      <c r="A1693" s="13" t="s">
        <v>46</v>
      </c>
    </row>
    <row r="1694" spans="1:1" x14ac:dyDescent="0.35">
      <c r="A1694" s="6" t="s">
        <v>688</v>
      </c>
    </row>
    <row r="1695" spans="1:1" x14ac:dyDescent="0.35">
      <c r="A1695" s="13" t="s">
        <v>46</v>
      </c>
    </row>
    <row r="1696" spans="1:1" x14ac:dyDescent="0.35">
      <c r="A1696" s="6" t="s">
        <v>689</v>
      </c>
    </row>
    <row r="1697" spans="1:1" x14ac:dyDescent="0.35">
      <c r="A1697" s="13" t="s">
        <v>39</v>
      </c>
    </row>
    <row r="1698" spans="1:1" x14ac:dyDescent="0.35">
      <c r="A1698" s="13" t="s">
        <v>47</v>
      </c>
    </row>
    <row r="1699" spans="1:1" x14ac:dyDescent="0.35">
      <c r="A1699" s="13" t="s">
        <v>43</v>
      </c>
    </row>
    <row r="1700" spans="1:1" x14ac:dyDescent="0.35">
      <c r="A1700" s="6" t="s">
        <v>690</v>
      </c>
    </row>
    <row r="1701" spans="1:1" x14ac:dyDescent="0.35">
      <c r="A1701" s="13" t="s">
        <v>39</v>
      </c>
    </row>
    <row r="1702" spans="1:1" x14ac:dyDescent="0.35">
      <c r="A1702" s="13" t="s">
        <v>47</v>
      </c>
    </row>
    <row r="1703" spans="1:1" x14ac:dyDescent="0.35">
      <c r="A1703" s="13" t="s">
        <v>43</v>
      </c>
    </row>
    <row r="1704" spans="1:1" x14ac:dyDescent="0.35">
      <c r="A1704" s="13" t="s">
        <v>46</v>
      </c>
    </row>
    <row r="1705" spans="1:1" x14ac:dyDescent="0.35">
      <c r="A1705" s="6" t="s">
        <v>691</v>
      </c>
    </row>
    <row r="1706" spans="1:1" x14ac:dyDescent="0.35">
      <c r="A1706" s="13" t="s">
        <v>43</v>
      </c>
    </row>
    <row r="1707" spans="1:1" x14ac:dyDescent="0.35">
      <c r="A1707" s="13" t="s">
        <v>46</v>
      </c>
    </row>
    <row r="1708" spans="1:1" x14ac:dyDescent="0.35">
      <c r="A1708" s="6" t="s">
        <v>692</v>
      </c>
    </row>
    <row r="1709" spans="1:1" x14ac:dyDescent="0.35">
      <c r="A1709" s="13" t="s">
        <v>39</v>
      </c>
    </row>
    <row r="1710" spans="1:1" x14ac:dyDescent="0.35">
      <c r="A1710" s="6" t="s">
        <v>693</v>
      </c>
    </row>
    <row r="1711" spans="1:1" x14ac:dyDescent="0.35">
      <c r="A1711" s="13" t="s">
        <v>39</v>
      </c>
    </row>
    <row r="1712" spans="1:1" x14ac:dyDescent="0.35">
      <c r="A1712" s="13" t="s">
        <v>47</v>
      </c>
    </row>
    <row r="1713" spans="1:1" x14ac:dyDescent="0.35">
      <c r="A1713" s="13" t="s">
        <v>43</v>
      </c>
    </row>
    <row r="1714" spans="1:1" x14ac:dyDescent="0.35">
      <c r="A1714" s="6" t="s">
        <v>694</v>
      </c>
    </row>
    <row r="1715" spans="1:1" x14ac:dyDescent="0.35">
      <c r="A1715" s="13" t="s">
        <v>43</v>
      </c>
    </row>
    <row r="1716" spans="1:1" x14ac:dyDescent="0.35">
      <c r="A1716" s="13" t="s">
        <v>46</v>
      </c>
    </row>
    <row r="1717" spans="1:1" x14ac:dyDescent="0.35">
      <c r="A1717" s="6" t="s">
        <v>695</v>
      </c>
    </row>
    <row r="1718" spans="1:1" x14ac:dyDescent="0.35">
      <c r="A1718" s="13" t="s">
        <v>47</v>
      </c>
    </row>
    <row r="1719" spans="1:1" x14ac:dyDescent="0.35">
      <c r="A1719" s="13" t="s">
        <v>43</v>
      </c>
    </row>
    <row r="1720" spans="1:1" x14ac:dyDescent="0.35">
      <c r="A1720" s="13" t="s">
        <v>46</v>
      </c>
    </row>
    <row r="1721" spans="1:1" x14ac:dyDescent="0.35">
      <c r="A1721" s="6" t="s">
        <v>699</v>
      </c>
    </row>
    <row r="1722" spans="1:1" x14ac:dyDescent="0.35">
      <c r="A1722" s="13" t="s">
        <v>46</v>
      </c>
    </row>
    <row r="1723" spans="1:1" x14ac:dyDescent="0.35">
      <c r="A1723" s="6" t="s">
        <v>700</v>
      </c>
    </row>
    <row r="1724" spans="1:1" x14ac:dyDescent="0.35">
      <c r="A1724" s="13" t="s">
        <v>39</v>
      </c>
    </row>
    <row r="1725" spans="1:1" x14ac:dyDescent="0.35">
      <c r="A1725" s="6" t="s">
        <v>701</v>
      </c>
    </row>
    <row r="1726" spans="1:1" x14ac:dyDescent="0.35">
      <c r="A1726" s="13" t="s">
        <v>47</v>
      </c>
    </row>
    <row r="1727" spans="1:1" x14ac:dyDescent="0.35">
      <c r="A1727" s="13" t="s">
        <v>43</v>
      </c>
    </row>
    <row r="1728" spans="1:1" x14ac:dyDescent="0.35">
      <c r="A1728" s="6" t="s">
        <v>703</v>
      </c>
    </row>
    <row r="1729" spans="1:1" x14ac:dyDescent="0.35">
      <c r="A1729" s="13" t="s">
        <v>39</v>
      </c>
    </row>
    <row r="1730" spans="1:1" x14ac:dyDescent="0.35">
      <c r="A1730" s="13" t="s">
        <v>47</v>
      </c>
    </row>
    <row r="1731" spans="1:1" x14ac:dyDescent="0.35">
      <c r="A1731" s="13" t="s">
        <v>43</v>
      </c>
    </row>
    <row r="1732" spans="1:1" x14ac:dyDescent="0.35">
      <c r="A1732" s="13" t="s">
        <v>46</v>
      </c>
    </row>
    <row r="1733" spans="1:1" x14ac:dyDescent="0.35">
      <c r="A1733" s="6" t="s">
        <v>704</v>
      </c>
    </row>
    <row r="1734" spans="1:1" x14ac:dyDescent="0.35">
      <c r="A1734" s="13" t="s">
        <v>43</v>
      </c>
    </row>
    <row r="1735" spans="1:1" x14ac:dyDescent="0.35">
      <c r="A1735" s="6" t="s">
        <v>705</v>
      </c>
    </row>
    <row r="1736" spans="1:1" x14ac:dyDescent="0.35">
      <c r="A1736" s="13" t="s">
        <v>47</v>
      </c>
    </row>
    <row r="1737" spans="1:1" x14ac:dyDescent="0.35">
      <c r="A1737" s="13" t="s">
        <v>43</v>
      </c>
    </row>
    <row r="1738" spans="1:1" x14ac:dyDescent="0.35">
      <c r="A1738" s="6" t="s">
        <v>706</v>
      </c>
    </row>
    <row r="1739" spans="1:1" x14ac:dyDescent="0.35">
      <c r="A1739" s="13" t="s">
        <v>39</v>
      </c>
    </row>
    <row r="1740" spans="1:1" x14ac:dyDescent="0.35">
      <c r="A1740" s="6" t="s">
        <v>707</v>
      </c>
    </row>
    <row r="1741" spans="1:1" x14ac:dyDescent="0.35">
      <c r="A1741" s="13" t="s">
        <v>39</v>
      </c>
    </row>
    <row r="1742" spans="1:1" x14ac:dyDescent="0.35">
      <c r="A1742" s="13" t="s">
        <v>47</v>
      </c>
    </row>
    <row r="1743" spans="1:1" x14ac:dyDescent="0.35">
      <c r="A1743" s="6" t="s">
        <v>698</v>
      </c>
    </row>
    <row r="1744" spans="1:1" x14ac:dyDescent="0.35">
      <c r="A1744" s="13" t="s">
        <v>46</v>
      </c>
    </row>
    <row r="1745" spans="1:1" x14ac:dyDescent="0.35">
      <c r="A1745" s="6" t="s">
        <v>708</v>
      </c>
    </row>
    <row r="1746" spans="1:1" x14ac:dyDescent="0.35">
      <c r="A1746" s="13" t="s">
        <v>43</v>
      </c>
    </row>
    <row r="1747" spans="1:1" x14ac:dyDescent="0.35">
      <c r="A1747" s="6" t="s">
        <v>709</v>
      </c>
    </row>
    <row r="1748" spans="1:1" x14ac:dyDescent="0.35">
      <c r="A1748" s="13" t="s">
        <v>46</v>
      </c>
    </row>
    <row r="1749" spans="1:1" x14ac:dyDescent="0.35">
      <c r="A1749" s="6" t="s">
        <v>710</v>
      </c>
    </row>
    <row r="1750" spans="1:1" x14ac:dyDescent="0.35">
      <c r="A1750" s="13" t="s">
        <v>43</v>
      </c>
    </row>
    <row r="1751" spans="1:1" x14ac:dyDescent="0.35">
      <c r="A1751" s="13" t="s">
        <v>46</v>
      </c>
    </row>
    <row r="1752" spans="1:1" x14ac:dyDescent="0.35">
      <c r="A1752" s="6" t="s">
        <v>711</v>
      </c>
    </row>
    <row r="1753" spans="1:1" x14ac:dyDescent="0.35">
      <c r="A1753" s="13" t="s">
        <v>39</v>
      </c>
    </row>
    <row r="1754" spans="1:1" x14ac:dyDescent="0.35">
      <c r="A1754" s="6" t="s">
        <v>712</v>
      </c>
    </row>
    <row r="1755" spans="1:1" x14ac:dyDescent="0.35">
      <c r="A1755" s="13" t="s">
        <v>39</v>
      </c>
    </row>
    <row r="1756" spans="1:1" x14ac:dyDescent="0.35">
      <c r="A1756" s="6" t="s">
        <v>713</v>
      </c>
    </row>
    <row r="1757" spans="1:1" x14ac:dyDescent="0.35">
      <c r="A1757" s="13" t="s">
        <v>39</v>
      </c>
    </row>
    <row r="1758" spans="1:1" x14ac:dyDescent="0.35">
      <c r="A1758" s="13" t="s">
        <v>47</v>
      </c>
    </row>
    <row r="1759" spans="1:1" x14ac:dyDescent="0.35">
      <c r="A1759" s="13" t="s">
        <v>43</v>
      </c>
    </row>
    <row r="1760" spans="1:1" x14ac:dyDescent="0.35">
      <c r="A1760" s="13" t="s">
        <v>46</v>
      </c>
    </row>
    <row r="1761" spans="1:1" x14ac:dyDescent="0.35">
      <c r="A1761" s="6" t="s">
        <v>714</v>
      </c>
    </row>
    <row r="1762" spans="1:1" x14ac:dyDescent="0.35">
      <c r="A1762" s="13" t="s">
        <v>43</v>
      </c>
    </row>
    <row r="1763" spans="1:1" x14ac:dyDescent="0.35">
      <c r="A1763" s="13" t="s">
        <v>46</v>
      </c>
    </row>
    <row r="1764" spans="1:1" x14ac:dyDescent="0.35">
      <c r="A1764" s="6" t="s">
        <v>715</v>
      </c>
    </row>
    <row r="1765" spans="1:1" x14ac:dyDescent="0.35">
      <c r="A1765" s="13" t="s">
        <v>39</v>
      </c>
    </row>
    <row r="1766" spans="1:1" x14ac:dyDescent="0.35">
      <c r="A1766" s="13" t="s">
        <v>47</v>
      </c>
    </row>
    <row r="1767" spans="1:1" x14ac:dyDescent="0.35">
      <c r="A1767" s="13" t="s">
        <v>43</v>
      </c>
    </row>
    <row r="1768" spans="1:1" x14ac:dyDescent="0.35">
      <c r="A1768" s="13" t="s">
        <v>46</v>
      </c>
    </row>
    <row r="1769" spans="1:1" x14ac:dyDescent="0.35">
      <c r="A1769" s="6" t="s">
        <v>716</v>
      </c>
    </row>
    <row r="1770" spans="1:1" x14ac:dyDescent="0.35">
      <c r="A1770" s="13" t="s">
        <v>39</v>
      </c>
    </row>
    <row r="1771" spans="1:1" x14ac:dyDescent="0.35">
      <c r="A1771" s="13" t="s">
        <v>47</v>
      </c>
    </row>
    <row r="1772" spans="1:1" x14ac:dyDescent="0.35">
      <c r="A1772" s="6" t="s">
        <v>717</v>
      </c>
    </row>
    <row r="1773" spans="1:1" x14ac:dyDescent="0.35">
      <c r="A1773" s="13" t="s">
        <v>47</v>
      </c>
    </row>
    <row r="1774" spans="1:1" x14ac:dyDescent="0.35">
      <c r="A1774" s="13" t="s">
        <v>46</v>
      </c>
    </row>
    <row r="1775" spans="1:1" x14ac:dyDescent="0.35">
      <c r="A1775" s="6" t="s">
        <v>718</v>
      </c>
    </row>
    <row r="1776" spans="1:1" x14ac:dyDescent="0.35">
      <c r="A1776" s="13" t="s">
        <v>39</v>
      </c>
    </row>
    <row r="1777" spans="1:1" x14ac:dyDescent="0.35">
      <c r="A1777" s="13" t="s">
        <v>47</v>
      </c>
    </row>
    <row r="1778" spans="1:1" x14ac:dyDescent="0.35">
      <c r="A1778" s="13" t="s">
        <v>43</v>
      </c>
    </row>
    <row r="1779" spans="1:1" x14ac:dyDescent="0.35">
      <c r="A1779" s="13" t="s">
        <v>46</v>
      </c>
    </row>
    <row r="1780" spans="1:1" x14ac:dyDescent="0.35">
      <c r="A1780" s="6" t="s">
        <v>719</v>
      </c>
    </row>
    <row r="1781" spans="1:1" x14ac:dyDescent="0.35">
      <c r="A1781" s="13" t="s">
        <v>47</v>
      </c>
    </row>
    <row r="1782" spans="1:1" x14ac:dyDescent="0.35">
      <c r="A1782" s="13" t="s">
        <v>43</v>
      </c>
    </row>
    <row r="1783" spans="1:1" x14ac:dyDescent="0.35">
      <c r="A1783" s="13" t="s">
        <v>46</v>
      </c>
    </row>
    <row r="1784" spans="1:1" x14ac:dyDescent="0.35">
      <c r="A1784" s="6" t="s">
        <v>720</v>
      </c>
    </row>
    <row r="1785" spans="1:1" x14ac:dyDescent="0.35">
      <c r="A1785" s="13" t="s">
        <v>39</v>
      </c>
    </row>
    <row r="1786" spans="1:1" x14ac:dyDescent="0.35">
      <c r="A1786" s="6" t="s">
        <v>721</v>
      </c>
    </row>
    <row r="1787" spans="1:1" x14ac:dyDescent="0.35">
      <c r="A1787" s="13" t="s">
        <v>46</v>
      </c>
    </row>
    <row r="1788" spans="1:1" x14ac:dyDescent="0.35">
      <c r="A1788" s="6" t="s">
        <v>722</v>
      </c>
    </row>
    <row r="1789" spans="1:1" x14ac:dyDescent="0.35">
      <c r="A1789" s="13" t="s">
        <v>39</v>
      </c>
    </row>
    <row r="1790" spans="1:1" x14ac:dyDescent="0.35">
      <c r="A1790" s="13" t="s">
        <v>47</v>
      </c>
    </row>
    <row r="1791" spans="1:1" x14ac:dyDescent="0.35">
      <c r="A1791" s="13" t="s">
        <v>43</v>
      </c>
    </row>
    <row r="1792" spans="1:1" x14ac:dyDescent="0.35">
      <c r="A1792" s="13" t="s">
        <v>46</v>
      </c>
    </row>
    <row r="1793" spans="1:1" x14ac:dyDescent="0.35">
      <c r="A1793" s="6" t="s">
        <v>723</v>
      </c>
    </row>
    <row r="1794" spans="1:1" x14ac:dyDescent="0.35">
      <c r="A1794" s="13" t="s">
        <v>43</v>
      </c>
    </row>
    <row r="1795" spans="1:1" x14ac:dyDescent="0.35">
      <c r="A1795" s="6" t="s">
        <v>724</v>
      </c>
    </row>
    <row r="1796" spans="1:1" x14ac:dyDescent="0.35">
      <c r="A1796" s="13" t="s">
        <v>39</v>
      </c>
    </row>
    <row r="1797" spans="1:1" x14ac:dyDescent="0.35">
      <c r="A1797" s="13" t="s">
        <v>47</v>
      </c>
    </row>
    <row r="1798" spans="1:1" x14ac:dyDescent="0.35">
      <c r="A1798" s="13" t="s">
        <v>46</v>
      </c>
    </row>
    <row r="1799" spans="1:1" x14ac:dyDescent="0.35">
      <c r="A1799" s="6" t="s">
        <v>725</v>
      </c>
    </row>
    <row r="1800" spans="1:1" x14ac:dyDescent="0.35">
      <c r="A1800" s="13" t="s">
        <v>39</v>
      </c>
    </row>
    <row r="1801" spans="1:1" x14ac:dyDescent="0.35">
      <c r="A1801" s="13" t="s">
        <v>43</v>
      </c>
    </row>
    <row r="1802" spans="1:1" x14ac:dyDescent="0.35">
      <c r="A1802" s="13" t="s">
        <v>46</v>
      </c>
    </row>
    <row r="1803" spans="1:1" x14ac:dyDescent="0.35">
      <c r="A1803" s="6" t="s">
        <v>696</v>
      </c>
    </row>
    <row r="1804" spans="1:1" x14ac:dyDescent="0.35">
      <c r="A1804" s="13" t="s">
        <v>46</v>
      </c>
    </row>
    <row r="1805" spans="1:1" x14ac:dyDescent="0.35">
      <c r="A1805" s="6" t="s">
        <v>697</v>
      </c>
    </row>
    <row r="1806" spans="1:1" x14ac:dyDescent="0.35">
      <c r="A1806" s="13" t="s">
        <v>46</v>
      </c>
    </row>
    <row r="1807" spans="1:1" x14ac:dyDescent="0.35">
      <c r="A1807" s="6" t="s">
        <v>726</v>
      </c>
    </row>
    <row r="1808" spans="1:1" x14ac:dyDescent="0.35">
      <c r="A1808" s="13" t="s">
        <v>39</v>
      </c>
    </row>
    <row r="1809" spans="1:1" x14ac:dyDescent="0.35">
      <c r="A1809" s="13" t="s">
        <v>47</v>
      </c>
    </row>
    <row r="1810" spans="1:1" x14ac:dyDescent="0.35">
      <c r="A1810" s="6" t="s">
        <v>728</v>
      </c>
    </row>
    <row r="1811" spans="1:1" x14ac:dyDescent="0.35">
      <c r="A1811" s="13" t="s">
        <v>39</v>
      </c>
    </row>
    <row r="1812" spans="1:1" x14ac:dyDescent="0.35">
      <c r="A1812" s="6" t="s">
        <v>729</v>
      </c>
    </row>
    <row r="1813" spans="1:1" x14ac:dyDescent="0.35">
      <c r="A1813" s="13" t="s">
        <v>46</v>
      </c>
    </row>
    <row r="1814" spans="1:1" x14ac:dyDescent="0.35">
      <c r="A1814" s="6" t="s">
        <v>730</v>
      </c>
    </row>
    <row r="1815" spans="1:1" x14ac:dyDescent="0.35">
      <c r="A1815" s="13" t="s">
        <v>39</v>
      </c>
    </row>
    <row r="1816" spans="1:1" x14ac:dyDescent="0.35">
      <c r="A1816" s="13" t="s">
        <v>46</v>
      </c>
    </row>
    <row r="1817" spans="1:1" x14ac:dyDescent="0.35">
      <c r="A1817" s="6" t="s">
        <v>731</v>
      </c>
    </row>
    <row r="1818" spans="1:1" x14ac:dyDescent="0.35">
      <c r="A1818" s="13" t="s">
        <v>39</v>
      </c>
    </row>
    <row r="1819" spans="1:1" x14ac:dyDescent="0.35">
      <c r="A1819" s="13" t="s">
        <v>47</v>
      </c>
    </row>
    <row r="1820" spans="1:1" x14ac:dyDescent="0.35">
      <c r="A1820" s="13" t="s">
        <v>43</v>
      </c>
    </row>
    <row r="1821" spans="1:1" x14ac:dyDescent="0.35">
      <c r="A1821" s="13" t="s">
        <v>46</v>
      </c>
    </row>
    <row r="1822" spans="1:1" x14ac:dyDescent="0.35">
      <c r="A1822" s="6" t="s">
        <v>732</v>
      </c>
    </row>
    <row r="1823" spans="1:1" x14ac:dyDescent="0.35">
      <c r="A1823" s="13" t="s">
        <v>47</v>
      </c>
    </row>
    <row r="1824" spans="1:1" x14ac:dyDescent="0.35">
      <c r="A1824" s="13" t="s">
        <v>43</v>
      </c>
    </row>
    <row r="1825" spans="1:1" x14ac:dyDescent="0.35">
      <c r="A1825" s="13" t="s">
        <v>46</v>
      </c>
    </row>
    <row r="1826" spans="1:1" x14ac:dyDescent="0.35">
      <c r="A1826" s="6" t="s">
        <v>733</v>
      </c>
    </row>
    <row r="1827" spans="1:1" x14ac:dyDescent="0.35">
      <c r="A1827" s="13" t="s">
        <v>46</v>
      </c>
    </row>
    <row r="1828" spans="1:1" x14ac:dyDescent="0.35">
      <c r="A1828" s="6" t="s">
        <v>734</v>
      </c>
    </row>
    <row r="1829" spans="1:1" x14ac:dyDescent="0.35">
      <c r="A1829" s="13" t="s">
        <v>39</v>
      </c>
    </row>
    <row r="1830" spans="1:1" x14ac:dyDescent="0.35">
      <c r="A1830" s="13" t="s">
        <v>47</v>
      </c>
    </row>
    <row r="1831" spans="1:1" x14ac:dyDescent="0.35">
      <c r="A1831" s="6" t="s">
        <v>735</v>
      </c>
    </row>
    <row r="1832" spans="1:1" x14ac:dyDescent="0.35">
      <c r="A1832" s="13" t="s">
        <v>46</v>
      </c>
    </row>
    <row r="1833" spans="1:1" x14ac:dyDescent="0.35">
      <c r="A1833" s="6" t="s">
        <v>736</v>
      </c>
    </row>
    <row r="1834" spans="1:1" x14ac:dyDescent="0.35">
      <c r="A1834" s="13" t="s">
        <v>39</v>
      </c>
    </row>
    <row r="1835" spans="1:1" x14ac:dyDescent="0.35">
      <c r="A1835" s="13" t="s">
        <v>47</v>
      </c>
    </row>
    <row r="1836" spans="1:1" x14ac:dyDescent="0.35">
      <c r="A1836" s="13" t="s">
        <v>43</v>
      </c>
    </row>
    <row r="1837" spans="1:1" x14ac:dyDescent="0.35">
      <c r="A1837" s="6" t="s">
        <v>738</v>
      </c>
    </row>
    <row r="1838" spans="1:1" x14ac:dyDescent="0.35">
      <c r="A1838" s="13" t="s">
        <v>39</v>
      </c>
    </row>
    <row r="1839" spans="1:1" x14ac:dyDescent="0.35">
      <c r="A1839" s="13" t="s">
        <v>47</v>
      </c>
    </row>
    <row r="1840" spans="1:1" x14ac:dyDescent="0.35">
      <c r="A1840" s="13" t="s">
        <v>43</v>
      </c>
    </row>
    <row r="1841" spans="1:1" x14ac:dyDescent="0.35">
      <c r="A1841" s="13" t="s">
        <v>46</v>
      </c>
    </row>
    <row r="1842" spans="1:1" x14ac:dyDescent="0.35">
      <c r="A1842" s="6" t="s">
        <v>739</v>
      </c>
    </row>
    <row r="1843" spans="1:1" x14ac:dyDescent="0.35">
      <c r="A1843" s="13" t="s">
        <v>47</v>
      </c>
    </row>
    <row r="1844" spans="1:1" x14ac:dyDescent="0.35">
      <c r="A1844" s="13" t="s">
        <v>43</v>
      </c>
    </row>
    <row r="1845" spans="1:1" x14ac:dyDescent="0.35">
      <c r="A1845" s="6" t="s">
        <v>741</v>
      </c>
    </row>
    <row r="1846" spans="1:1" x14ac:dyDescent="0.35">
      <c r="A1846" s="13" t="s">
        <v>39</v>
      </c>
    </row>
    <row r="1847" spans="1:1" x14ac:dyDescent="0.35">
      <c r="A1847" s="13" t="s">
        <v>47</v>
      </c>
    </row>
    <row r="1848" spans="1:1" x14ac:dyDescent="0.35">
      <c r="A1848" s="13" t="s">
        <v>43</v>
      </c>
    </row>
    <row r="1849" spans="1:1" x14ac:dyDescent="0.35">
      <c r="A1849" s="13" t="s">
        <v>46</v>
      </c>
    </row>
    <row r="1850" spans="1:1" x14ac:dyDescent="0.35">
      <c r="A1850" s="6" t="s">
        <v>743</v>
      </c>
    </row>
    <row r="1851" spans="1:1" x14ac:dyDescent="0.35">
      <c r="A1851" s="13" t="s">
        <v>39</v>
      </c>
    </row>
    <row r="1852" spans="1:1" x14ac:dyDescent="0.35">
      <c r="A1852" s="13" t="s">
        <v>47</v>
      </c>
    </row>
    <row r="1853" spans="1:1" x14ac:dyDescent="0.35">
      <c r="A1853" s="6" t="s">
        <v>744</v>
      </c>
    </row>
    <row r="1854" spans="1:1" x14ac:dyDescent="0.35">
      <c r="A1854" s="13" t="s">
        <v>47</v>
      </c>
    </row>
    <row r="1855" spans="1:1" x14ac:dyDescent="0.35">
      <c r="A1855" s="13" t="s">
        <v>43</v>
      </c>
    </row>
    <row r="1856" spans="1:1" x14ac:dyDescent="0.35">
      <c r="A1856" s="6" t="s">
        <v>745</v>
      </c>
    </row>
    <row r="1857" spans="1:1" x14ac:dyDescent="0.35">
      <c r="A1857" s="13" t="s">
        <v>43</v>
      </c>
    </row>
    <row r="1858" spans="1:1" x14ac:dyDescent="0.35">
      <c r="A1858" s="6" t="s">
        <v>746</v>
      </c>
    </row>
    <row r="1859" spans="1:1" x14ac:dyDescent="0.35">
      <c r="A1859" s="13" t="s">
        <v>47</v>
      </c>
    </row>
    <row r="1860" spans="1:1" x14ac:dyDescent="0.35">
      <c r="A1860" s="6" t="s">
        <v>747</v>
      </c>
    </row>
    <row r="1861" spans="1:1" x14ac:dyDescent="0.35">
      <c r="A1861" s="13" t="s">
        <v>47</v>
      </c>
    </row>
    <row r="1862" spans="1:1" x14ac:dyDescent="0.35">
      <c r="A1862" s="13" t="s">
        <v>43</v>
      </c>
    </row>
    <row r="1863" spans="1:1" x14ac:dyDescent="0.35">
      <c r="A1863" s="13" t="s">
        <v>46</v>
      </c>
    </row>
    <row r="1864" spans="1:1" x14ac:dyDescent="0.35">
      <c r="A1864" s="6" t="s">
        <v>748</v>
      </c>
    </row>
    <row r="1865" spans="1:1" x14ac:dyDescent="0.35">
      <c r="A1865" s="13" t="s">
        <v>39</v>
      </c>
    </row>
    <row r="1866" spans="1:1" x14ac:dyDescent="0.35">
      <c r="A1866" s="6" t="s">
        <v>749</v>
      </c>
    </row>
    <row r="1867" spans="1:1" x14ac:dyDescent="0.35">
      <c r="A1867" s="13" t="s">
        <v>39</v>
      </c>
    </row>
    <row r="1868" spans="1:1" x14ac:dyDescent="0.35">
      <c r="A1868" s="6" t="s">
        <v>750</v>
      </c>
    </row>
    <row r="1869" spans="1:1" x14ac:dyDescent="0.35">
      <c r="A1869" s="13" t="s">
        <v>47</v>
      </c>
    </row>
    <row r="1870" spans="1:1" x14ac:dyDescent="0.35">
      <c r="A1870" s="13" t="s">
        <v>43</v>
      </c>
    </row>
    <row r="1871" spans="1:1" x14ac:dyDescent="0.35">
      <c r="A1871" s="6" t="s">
        <v>751</v>
      </c>
    </row>
    <row r="1872" spans="1:1" x14ac:dyDescent="0.35">
      <c r="A1872" s="13" t="s">
        <v>39</v>
      </c>
    </row>
    <row r="1873" spans="1:1" x14ac:dyDescent="0.35">
      <c r="A1873" s="13" t="s">
        <v>47</v>
      </c>
    </row>
    <row r="1874" spans="1:1" x14ac:dyDescent="0.35">
      <c r="A1874" s="13" t="s">
        <v>43</v>
      </c>
    </row>
    <row r="1875" spans="1:1" x14ac:dyDescent="0.35">
      <c r="A1875" s="13" t="s">
        <v>46</v>
      </c>
    </row>
    <row r="1876" spans="1:1" x14ac:dyDescent="0.35">
      <c r="A1876" s="6" t="s">
        <v>752</v>
      </c>
    </row>
    <row r="1877" spans="1:1" x14ac:dyDescent="0.35">
      <c r="A1877" s="13" t="s">
        <v>43</v>
      </c>
    </row>
    <row r="1878" spans="1:1" x14ac:dyDescent="0.35">
      <c r="A1878" s="6" t="s">
        <v>753</v>
      </c>
    </row>
    <row r="1879" spans="1:1" x14ac:dyDescent="0.35">
      <c r="A1879" s="13" t="s">
        <v>43</v>
      </c>
    </row>
    <row r="1880" spans="1:1" x14ac:dyDescent="0.35">
      <c r="A1880" s="13" t="s">
        <v>46</v>
      </c>
    </row>
    <row r="1881" spans="1:1" x14ac:dyDescent="0.35">
      <c r="A1881" s="6" t="s">
        <v>754</v>
      </c>
    </row>
    <row r="1882" spans="1:1" x14ac:dyDescent="0.35">
      <c r="A1882" s="13" t="s">
        <v>39</v>
      </c>
    </row>
    <row r="1883" spans="1:1" x14ac:dyDescent="0.35">
      <c r="A1883" s="6" t="s">
        <v>755</v>
      </c>
    </row>
    <row r="1884" spans="1:1" x14ac:dyDescent="0.35">
      <c r="A1884" s="13" t="s">
        <v>43</v>
      </c>
    </row>
    <row r="1885" spans="1:1" x14ac:dyDescent="0.35">
      <c r="A1885" s="13" t="s">
        <v>46</v>
      </c>
    </row>
    <row r="1886" spans="1:1" x14ac:dyDescent="0.35">
      <c r="A1886" s="6" t="s">
        <v>756</v>
      </c>
    </row>
    <row r="1887" spans="1:1" x14ac:dyDescent="0.35">
      <c r="A1887" s="13" t="s">
        <v>39</v>
      </c>
    </row>
    <row r="1888" spans="1:1" x14ac:dyDescent="0.35">
      <c r="A1888" s="13" t="s">
        <v>47</v>
      </c>
    </row>
    <row r="1889" spans="1:1" x14ac:dyDescent="0.35">
      <c r="A1889" s="13" t="s">
        <v>43</v>
      </c>
    </row>
    <row r="1890" spans="1:1" x14ac:dyDescent="0.35">
      <c r="A1890" s="13" t="s">
        <v>46</v>
      </c>
    </row>
    <row r="1891" spans="1:1" x14ac:dyDescent="0.35">
      <c r="A1891" s="6" t="s">
        <v>757</v>
      </c>
    </row>
    <row r="1892" spans="1:1" x14ac:dyDescent="0.35">
      <c r="A1892" s="13" t="s">
        <v>46</v>
      </c>
    </row>
    <row r="1893" spans="1:1" x14ac:dyDescent="0.35">
      <c r="A1893" s="6" t="s">
        <v>758</v>
      </c>
    </row>
    <row r="1894" spans="1:1" x14ac:dyDescent="0.35">
      <c r="A1894" s="13" t="s">
        <v>39</v>
      </c>
    </row>
    <row r="1895" spans="1:1" x14ac:dyDescent="0.35">
      <c r="A1895" s="6" t="s">
        <v>759</v>
      </c>
    </row>
    <row r="1896" spans="1:1" x14ac:dyDescent="0.35">
      <c r="A1896" s="13" t="s">
        <v>39</v>
      </c>
    </row>
    <row r="1897" spans="1:1" x14ac:dyDescent="0.35">
      <c r="A1897" s="13" t="s">
        <v>47</v>
      </c>
    </row>
    <row r="1898" spans="1:1" x14ac:dyDescent="0.35">
      <c r="A1898" s="6" t="s">
        <v>760</v>
      </c>
    </row>
    <row r="1899" spans="1:1" x14ac:dyDescent="0.35">
      <c r="A1899" s="13" t="s">
        <v>39</v>
      </c>
    </row>
    <row r="1900" spans="1:1" x14ac:dyDescent="0.35">
      <c r="A1900" s="13" t="s">
        <v>47</v>
      </c>
    </row>
    <row r="1901" spans="1:1" x14ac:dyDescent="0.35">
      <c r="A1901" s="13" t="s">
        <v>43</v>
      </c>
    </row>
    <row r="1902" spans="1:1" x14ac:dyDescent="0.35">
      <c r="A1902" s="6" t="s">
        <v>761</v>
      </c>
    </row>
    <row r="1903" spans="1:1" x14ac:dyDescent="0.35">
      <c r="A1903" s="13" t="s">
        <v>39</v>
      </c>
    </row>
    <row r="1904" spans="1:1" x14ac:dyDescent="0.35">
      <c r="A1904" s="6" t="s">
        <v>737</v>
      </c>
    </row>
    <row r="1905" spans="1:1" x14ac:dyDescent="0.35">
      <c r="A1905" s="13" t="s">
        <v>39</v>
      </c>
    </row>
    <row r="1906" spans="1:1" x14ac:dyDescent="0.35">
      <c r="A1906" s="6" t="s">
        <v>762</v>
      </c>
    </row>
    <row r="1907" spans="1:1" x14ac:dyDescent="0.35">
      <c r="A1907" s="13" t="s">
        <v>43</v>
      </c>
    </row>
    <row r="1908" spans="1:1" x14ac:dyDescent="0.35">
      <c r="A1908" s="6" t="s">
        <v>763</v>
      </c>
    </row>
    <row r="1909" spans="1:1" x14ac:dyDescent="0.35">
      <c r="A1909" s="13" t="s">
        <v>39</v>
      </c>
    </row>
    <row r="1910" spans="1:1" x14ac:dyDescent="0.35">
      <c r="A1910" s="13" t="s">
        <v>47</v>
      </c>
    </row>
    <row r="1911" spans="1:1" x14ac:dyDescent="0.35">
      <c r="A1911" s="13" t="s">
        <v>43</v>
      </c>
    </row>
    <row r="1912" spans="1:1" x14ac:dyDescent="0.35">
      <c r="A1912" s="13" t="s">
        <v>46</v>
      </c>
    </row>
    <row r="1913" spans="1:1" x14ac:dyDescent="0.35">
      <c r="A1913" s="6" t="s">
        <v>764</v>
      </c>
    </row>
    <row r="1914" spans="1:1" x14ac:dyDescent="0.35">
      <c r="A1914" s="13" t="s">
        <v>43</v>
      </c>
    </row>
    <row r="1915" spans="1:1" x14ac:dyDescent="0.35">
      <c r="A1915" s="13" t="s">
        <v>46</v>
      </c>
    </row>
    <row r="1916" spans="1:1" x14ac:dyDescent="0.35">
      <c r="A1916" s="6" t="s">
        <v>765</v>
      </c>
    </row>
    <row r="1917" spans="1:1" x14ac:dyDescent="0.35">
      <c r="A1917" s="13" t="s">
        <v>39</v>
      </c>
    </row>
    <row r="1918" spans="1:1" x14ac:dyDescent="0.35">
      <c r="A1918" s="13" t="s">
        <v>47</v>
      </c>
    </row>
    <row r="1919" spans="1:1" x14ac:dyDescent="0.35">
      <c r="A1919" s="13" t="s">
        <v>43</v>
      </c>
    </row>
    <row r="1920" spans="1:1" x14ac:dyDescent="0.35">
      <c r="A1920" s="13" t="s">
        <v>46</v>
      </c>
    </row>
    <row r="1921" spans="1:1" x14ac:dyDescent="0.35">
      <c r="A1921" s="6" t="s">
        <v>766</v>
      </c>
    </row>
    <row r="1922" spans="1:1" x14ac:dyDescent="0.35">
      <c r="A1922" s="13" t="s">
        <v>39</v>
      </c>
    </row>
    <row r="1923" spans="1:1" x14ac:dyDescent="0.35">
      <c r="A1923" s="13" t="s">
        <v>47</v>
      </c>
    </row>
    <row r="1924" spans="1:1" x14ac:dyDescent="0.35">
      <c r="A1924" s="13" t="s">
        <v>43</v>
      </c>
    </row>
    <row r="1925" spans="1:1" x14ac:dyDescent="0.35">
      <c r="A1925" s="13" t="s">
        <v>46</v>
      </c>
    </row>
    <row r="1926" spans="1:1" x14ac:dyDescent="0.35">
      <c r="A1926" s="6" t="s">
        <v>767</v>
      </c>
    </row>
    <row r="1927" spans="1:1" x14ac:dyDescent="0.35">
      <c r="A1927" s="13" t="s">
        <v>47</v>
      </c>
    </row>
    <row r="1928" spans="1:1" x14ac:dyDescent="0.35">
      <c r="A1928" s="13" t="s">
        <v>43</v>
      </c>
    </row>
    <row r="1929" spans="1:1" x14ac:dyDescent="0.35">
      <c r="A1929" s="13" t="s">
        <v>46</v>
      </c>
    </row>
    <row r="1930" spans="1:1" x14ac:dyDescent="0.35">
      <c r="A1930" s="6" t="s">
        <v>768</v>
      </c>
    </row>
    <row r="1931" spans="1:1" x14ac:dyDescent="0.35">
      <c r="A1931" s="13" t="s">
        <v>39</v>
      </c>
    </row>
    <row r="1932" spans="1:1" x14ac:dyDescent="0.35">
      <c r="A1932" s="6" t="s">
        <v>769</v>
      </c>
    </row>
    <row r="1933" spans="1:1" x14ac:dyDescent="0.35">
      <c r="A1933" s="13" t="s">
        <v>39</v>
      </c>
    </row>
    <row r="1934" spans="1:1" x14ac:dyDescent="0.35">
      <c r="A1934" s="13" t="s">
        <v>47</v>
      </c>
    </row>
    <row r="1935" spans="1:1" x14ac:dyDescent="0.35">
      <c r="A1935" s="13" t="s">
        <v>43</v>
      </c>
    </row>
    <row r="1936" spans="1:1" x14ac:dyDescent="0.35">
      <c r="A1936" s="13" t="s">
        <v>46</v>
      </c>
    </row>
    <row r="1937" spans="1:1" x14ac:dyDescent="0.35">
      <c r="A1937" s="6" t="s">
        <v>770</v>
      </c>
    </row>
    <row r="1938" spans="1:1" x14ac:dyDescent="0.35">
      <c r="A1938" s="13" t="s">
        <v>47</v>
      </c>
    </row>
    <row r="1939" spans="1:1" x14ac:dyDescent="0.35">
      <c r="A1939" s="13" t="s">
        <v>43</v>
      </c>
    </row>
    <row r="1940" spans="1:1" x14ac:dyDescent="0.35">
      <c r="A1940" s="6" t="s">
        <v>771</v>
      </c>
    </row>
    <row r="1941" spans="1:1" x14ac:dyDescent="0.35">
      <c r="A1941" s="13" t="s">
        <v>47</v>
      </c>
    </row>
    <row r="1942" spans="1:1" x14ac:dyDescent="0.35">
      <c r="A1942" s="6" t="s">
        <v>772</v>
      </c>
    </row>
    <row r="1943" spans="1:1" x14ac:dyDescent="0.35">
      <c r="A1943" s="13" t="s">
        <v>46</v>
      </c>
    </row>
    <row r="1944" spans="1:1" x14ac:dyDescent="0.35">
      <c r="A1944" s="6" t="s">
        <v>773</v>
      </c>
    </row>
    <row r="1945" spans="1:1" x14ac:dyDescent="0.35">
      <c r="A1945" s="13" t="s">
        <v>46</v>
      </c>
    </row>
    <row r="1946" spans="1:1" x14ac:dyDescent="0.35">
      <c r="A1946" s="6" t="s">
        <v>774</v>
      </c>
    </row>
    <row r="1947" spans="1:1" x14ac:dyDescent="0.35">
      <c r="A1947" s="13" t="s">
        <v>43</v>
      </c>
    </row>
    <row r="1948" spans="1:1" x14ac:dyDescent="0.35">
      <c r="A1948" s="13" t="s">
        <v>46</v>
      </c>
    </row>
    <row r="1949" spans="1:1" x14ac:dyDescent="0.35">
      <c r="A1949" s="6" t="s">
        <v>775</v>
      </c>
    </row>
    <row r="1950" spans="1:1" x14ac:dyDescent="0.35">
      <c r="A1950" s="13" t="s">
        <v>39</v>
      </c>
    </row>
    <row r="1951" spans="1:1" x14ac:dyDescent="0.35">
      <c r="A1951" s="13" t="s">
        <v>47</v>
      </c>
    </row>
    <row r="1952" spans="1:1" x14ac:dyDescent="0.35">
      <c r="A1952" s="13" t="s">
        <v>43</v>
      </c>
    </row>
    <row r="1953" spans="1:1" x14ac:dyDescent="0.35">
      <c r="A1953" s="13" t="s">
        <v>46</v>
      </c>
    </row>
    <row r="1954" spans="1:1" x14ac:dyDescent="0.35">
      <c r="A1954" s="6" t="s">
        <v>777</v>
      </c>
    </row>
    <row r="1955" spans="1:1" x14ac:dyDescent="0.35">
      <c r="A1955" s="13" t="s">
        <v>46</v>
      </c>
    </row>
    <row r="1956" spans="1:1" x14ac:dyDescent="0.35">
      <c r="A1956" s="6" t="s">
        <v>778</v>
      </c>
    </row>
    <row r="1957" spans="1:1" x14ac:dyDescent="0.35">
      <c r="A1957" s="13" t="s">
        <v>47</v>
      </c>
    </row>
    <row r="1958" spans="1:1" x14ac:dyDescent="0.35">
      <c r="A1958" s="13" t="s">
        <v>43</v>
      </c>
    </row>
    <row r="1959" spans="1:1" x14ac:dyDescent="0.35">
      <c r="A1959" s="6" t="s">
        <v>779</v>
      </c>
    </row>
    <row r="1960" spans="1:1" x14ac:dyDescent="0.35">
      <c r="A1960" s="13" t="s">
        <v>46</v>
      </c>
    </row>
    <row r="1961" spans="1:1" x14ac:dyDescent="0.35">
      <c r="A1961" s="6" t="s">
        <v>776</v>
      </c>
    </row>
    <row r="1962" spans="1:1" x14ac:dyDescent="0.35">
      <c r="A1962" s="13" t="s">
        <v>39</v>
      </c>
    </row>
    <row r="1963" spans="1:1" x14ac:dyDescent="0.35">
      <c r="A1963" s="6" t="s">
        <v>780</v>
      </c>
    </row>
    <row r="1964" spans="1:1" x14ac:dyDescent="0.35">
      <c r="A1964" s="13" t="s">
        <v>39</v>
      </c>
    </row>
    <row r="1965" spans="1:1" x14ac:dyDescent="0.35">
      <c r="A1965" s="6" t="s">
        <v>781</v>
      </c>
    </row>
    <row r="1966" spans="1:1" x14ac:dyDescent="0.35">
      <c r="A1966" s="13" t="s">
        <v>47</v>
      </c>
    </row>
    <row r="1967" spans="1:1" x14ac:dyDescent="0.35">
      <c r="A1967" s="6" t="s">
        <v>782</v>
      </c>
    </row>
    <row r="1968" spans="1:1" x14ac:dyDescent="0.35">
      <c r="A1968" s="13" t="s">
        <v>47</v>
      </c>
    </row>
    <row r="1969" spans="1:1" x14ac:dyDescent="0.35">
      <c r="A1969" s="13" t="s">
        <v>43</v>
      </c>
    </row>
    <row r="1970" spans="1:1" x14ac:dyDescent="0.35">
      <c r="A1970" s="6" t="s">
        <v>783</v>
      </c>
    </row>
    <row r="1971" spans="1:1" x14ac:dyDescent="0.35">
      <c r="A1971" s="13" t="s">
        <v>39</v>
      </c>
    </row>
    <row r="1972" spans="1:1" x14ac:dyDescent="0.35">
      <c r="A1972" s="13" t="s">
        <v>47</v>
      </c>
    </row>
    <row r="1973" spans="1:1" x14ac:dyDescent="0.35">
      <c r="A1973" s="13" t="s">
        <v>43</v>
      </c>
    </row>
    <row r="1974" spans="1:1" x14ac:dyDescent="0.35">
      <c r="A1974" s="13" t="s">
        <v>46</v>
      </c>
    </row>
    <row r="1975" spans="1:1" x14ac:dyDescent="0.35">
      <c r="A1975" s="6" t="s">
        <v>784</v>
      </c>
    </row>
    <row r="1976" spans="1:1" x14ac:dyDescent="0.35">
      <c r="A1976" s="13" t="s">
        <v>43</v>
      </c>
    </row>
    <row r="1977" spans="1:1" x14ac:dyDescent="0.35">
      <c r="A1977" s="13" t="s">
        <v>46</v>
      </c>
    </row>
    <row r="1978" spans="1:1" x14ac:dyDescent="0.35">
      <c r="A1978" s="6" t="s">
        <v>785</v>
      </c>
    </row>
    <row r="1979" spans="1:1" x14ac:dyDescent="0.35">
      <c r="A1979" s="13" t="s">
        <v>39</v>
      </c>
    </row>
    <row r="1980" spans="1:1" x14ac:dyDescent="0.35">
      <c r="A1980" s="13" t="s">
        <v>47</v>
      </c>
    </row>
    <row r="1981" spans="1:1" x14ac:dyDescent="0.35">
      <c r="A1981" s="13" t="s">
        <v>43</v>
      </c>
    </row>
    <row r="1982" spans="1:1" x14ac:dyDescent="0.35">
      <c r="A1982" s="6" t="s">
        <v>786</v>
      </c>
    </row>
    <row r="1983" spans="1:1" x14ac:dyDescent="0.35">
      <c r="A1983" s="13" t="s">
        <v>47</v>
      </c>
    </row>
    <row r="1984" spans="1:1" x14ac:dyDescent="0.35">
      <c r="A1984" s="13" t="s">
        <v>43</v>
      </c>
    </row>
    <row r="1985" spans="1:1" x14ac:dyDescent="0.35">
      <c r="A1985" s="6" t="s">
        <v>787</v>
      </c>
    </row>
    <row r="1986" spans="1:1" x14ac:dyDescent="0.35">
      <c r="A1986" s="13" t="s">
        <v>39</v>
      </c>
    </row>
    <row r="1987" spans="1:1" x14ac:dyDescent="0.35">
      <c r="A1987" s="6" t="s">
        <v>788</v>
      </c>
    </row>
    <row r="1988" spans="1:1" x14ac:dyDescent="0.35">
      <c r="A1988" s="13" t="s">
        <v>39</v>
      </c>
    </row>
    <row r="1989" spans="1:1" x14ac:dyDescent="0.35">
      <c r="A1989" s="6" t="s">
        <v>789</v>
      </c>
    </row>
    <row r="1990" spans="1:1" x14ac:dyDescent="0.35">
      <c r="A1990" s="13" t="s">
        <v>47</v>
      </c>
    </row>
    <row r="1991" spans="1:1" x14ac:dyDescent="0.35">
      <c r="A1991" s="6" t="s">
        <v>791</v>
      </c>
    </row>
    <row r="1992" spans="1:1" x14ac:dyDescent="0.35">
      <c r="A1992" s="13" t="s">
        <v>39</v>
      </c>
    </row>
    <row r="1993" spans="1:1" x14ac:dyDescent="0.35">
      <c r="A1993" s="6" t="s">
        <v>792</v>
      </c>
    </row>
    <row r="1994" spans="1:1" x14ac:dyDescent="0.35">
      <c r="A1994" s="13" t="s">
        <v>47</v>
      </c>
    </row>
    <row r="1995" spans="1:1" x14ac:dyDescent="0.35">
      <c r="A1995" s="6" t="s">
        <v>793</v>
      </c>
    </row>
    <row r="1996" spans="1:1" x14ac:dyDescent="0.35">
      <c r="A1996" s="13" t="s">
        <v>46</v>
      </c>
    </row>
    <row r="1997" spans="1:1" x14ac:dyDescent="0.35">
      <c r="A1997" s="6" t="s">
        <v>794</v>
      </c>
    </row>
    <row r="1998" spans="1:1" x14ac:dyDescent="0.35">
      <c r="A1998" s="13" t="s">
        <v>39</v>
      </c>
    </row>
    <row r="1999" spans="1:1" x14ac:dyDescent="0.35">
      <c r="A1999" s="6" t="s">
        <v>795</v>
      </c>
    </row>
    <row r="2000" spans="1:1" x14ac:dyDescent="0.35">
      <c r="A2000" s="13" t="s">
        <v>43</v>
      </c>
    </row>
    <row r="2001" spans="1:1" x14ac:dyDescent="0.35">
      <c r="A2001" s="6" t="s">
        <v>796</v>
      </c>
    </row>
    <row r="2002" spans="1:1" x14ac:dyDescent="0.35">
      <c r="A2002" s="13" t="s">
        <v>43</v>
      </c>
    </row>
    <row r="2003" spans="1:1" x14ac:dyDescent="0.35">
      <c r="A2003" s="13" t="s">
        <v>46</v>
      </c>
    </row>
    <row r="2004" spans="1:1" x14ac:dyDescent="0.35">
      <c r="A2004" s="6" t="s">
        <v>797</v>
      </c>
    </row>
    <row r="2005" spans="1:1" x14ac:dyDescent="0.35">
      <c r="A2005" s="13" t="s">
        <v>39</v>
      </c>
    </row>
    <row r="2006" spans="1:1" x14ac:dyDescent="0.35">
      <c r="A2006" s="13" t="s">
        <v>47</v>
      </c>
    </row>
    <row r="2007" spans="1:1" x14ac:dyDescent="0.35">
      <c r="A2007" s="13" t="s">
        <v>43</v>
      </c>
    </row>
    <row r="2008" spans="1:1" x14ac:dyDescent="0.35">
      <c r="A2008" s="13" t="s">
        <v>46</v>
      </c>
    </row>
    <row r="2009" spans="1:1" x14ac:dyDescent="0.35">
      <c r="A2009" s="6" t="s">
        <v>798</v>
      </c>
    </row>
    <row r="2010" spans="1:1" x14ac:dyDescent="0.35">
      <c r="A2010" s="13" t="s">
        <v>43</v>
      </c>
    </row>
    <row r="2011" spans="1:1" x14ac:dyDescent="0.35">
      <c r="A2011" s="6" t="s">
        <v>799</v>
      </c>
    </row>
    <row r="2012" spans="1:1" x14ac:dyDescent="0.35">
      <c r="A2012" s="13" t="s">
        <v>46</v>
      </c>
    </row>
    <row r="2013" spans="1:1" x14ac:dyDescent="0.35">
      <c r="A2013" s="6" t="s">
        <v>800</v>
      </c>
    </row>
    <row r="2014" spans="1:1" x14ac:dyDescent="0.35">
      <c r="A2014" s="13" t="s">
        <v>39</v>
      </c>
    </row>
    <row r="2015" spans="1:1" x14ac:dyDescent="0.35">
      <c r="A2015" s="6" t="s">
        <v>801</v>
      </c>
    </row>
    <row r="2016" spans="1:1" x14ac:dyDescent="0.35">
      <c r="A2016" s="13" t="s">
        <v>43</v>
      </c>
    </row>
    <row r="2017" spans="1:1" x14ac:dyDescent="0.35">
      <c r="A2017" s="13" t="s">
        <v>46</v>
      </c>
    </row>
    <row r="2018" spans="1:1" x14ac:dyDescent="0.35">
      <c r="A2018" s="6" t="s">
        <v>802</v>
      </c>
    </row>
    <row r="2019" spans="1:1" x14ac:dyDescent="0.35">
      <c r="A2019" s="13" t="s">
        <v>39</v>
      </c>
    </row>
    <row r="2020" spans="1:1" x14ac:dyDescent="0.35">
      <c r="A2020" s="13" t="s">
        <v>47</v>
      </c>
    </row>
    <row r="2021" spans="1:1" x14ac:dyDescent="0.35">
      <c r="A2021" s="13" t="s">
        <v>43</v>
      </c>
    </row>
    <row r="2022" spans="1:1" x14ac:dyDescent="0.35">
      <c r="A2022" s="13" t="s">
        <v>46</v>
      </c>
    </row>
    <row r="2023" spans="1:1" x14ac:dyDescent="0.35">
      <c r="A2023" s="6" t="s">
        <v>803</v>
      </c>
    </row>
    <row r="2024" spans="1:1" x14ac:dyDescent="0.35">
      <c r="A2024" s="13" t="s">
        <v>46</v>
      </c>
    </row>
    <row r="2025" spans="1:1" x14ac:dyDescent="0.35">
      <c r="A2025" s="6" t="s">
        <v>804</v>
      </c>
    </row>
    <row r="2026" spans="1:1" x14ac:dyDescent="0.35">
      <c r="A2026" s="13" t="s">
        <v>39</v>
      </c>
    </row>
    <row r="2027" spans="1:1" x14ac:dyDescent="0.35">
      <c r="A2027" s="13" t="s">
        <v>47</v>
      </c>
    </row>
    <row r="2028" spans="1:1" x14ac:dyDescent="0.35">
      <c r="A2028" s="13" t="s">
        <v>43</v>
      </c>
    </row>
    <row r="2029" spans="1:1" x14ac:dyDescent="0.35">
      <c r="A2029" s="6" t="s">
        <v>805</v>
      </c>
    </row>
    <row r="2030" spans="1:1" x14ac:dyDescent="0.35">
      <c r="A2030" s="13" t="s">
        <v>39</v>
      </c>
    </row>
    <row r="2031" spans="1:1" x14ac:dyDescent="0.35">
      <c r="A2031" s="13" t="s">
        <v>47</v>
      </c>
    </row>
    <row r="2032" spans="1:1" x14ac:dyDescent="0.35">
      <c r="A2032" s="13" t="s">
        <v>43</v>
      </c>
    </row>
    <row r="2033" spans="1:1" x14ac:dyDescent="0.35">
      <c r="A2033" s="13" t="s">
        <v>46</v>
      </c>
    </row>
    <row r="2034" spans="1:1" x14ac:dyDescent="0.35">
      <c r="A2034" s="6" t="s">
        <v>806</v>
      </c>
    </row>
    <row r="2035" spans="1:1" x14ac:dyDescent="0.35">
      <c r="A2035" s="13" t="s">
        <v>47</v>
      </c>
    </row>
    <row r="2036" spans="1:1" x14ac:dyDescent="0.35">
      <c r="A2036" s="13" t="s">
        <v>43</v>
      </c>
    </row>
    <row r="2037" spans="1:1" x14ac:dyDescent="0.35">
      <c r="A2037" s="13" t="s">
        <v>46</v>
      </c>
    </row>
    <row r="2038" spans="1:1" x14ac:dyDescent="0.35">
      <c r="A2038" s="6" t="s">
        <v>807</v>
      </c>
    </row>
    <row r="2039" spans="1:1" x14ac:dyDescent="0.35">
      <c r="A2039" s="13" t="s">
        <v>47</v>
      </c>
    </row>
    <row r="2040" spans="1:1" x14ac:dyDescent="0.35">
      <c r="A2040" s="6" t="s">
        <v>808</v>
      </c>
    </row>
    <row r="2041" spans="1:1" x14ac:dyDescent="0.35">
      <c r="A2041" s="13" t="s">
        <v>43</v>
      </c>
    </row>
    <row r="2042" spans="1:1" x14ac:dyDescent="0.35">
      <c r="A2042" s="6" t="s">
        <v>809</v>
      </c>
    </row>
    <row r="2043" spans="1:1" x14ac:dyDescent="0.35">
      <c r="A2043" s="13" t="s">
        <v>43</v>
      </c>
    </row>
    <row r="2044" spans="1:1" x14ac:dyDescent="0.35">
      <c r="A2044" s="6" t="s">
        <v>810</v>
      </c>
    </row>
    <row r="2045" spans="1:1" x14ac:dyDescent="0.35">
      <c r="A2045" s="13" t="s">
        <v>39</v>
      </c>
    </row>
    <row r="2046" spans="1:1" x14ac:dyDescent="0.35">
      <c r="A2046" s="6" t="s">
        <v>811</v>
      </c>
    </row>
    <row r="2047" spans="1:1" x14ac:dyDescent="0.35">
      <c r="A2047" s="13" t="s">
        <v>43</v>
      </c>
    </row>
    <row r="2048" spans="1:1" x14ac:dyDescent="0.35">
      <c r="A2048" s="13" t="s">
        <v>46</v>
      </c>
    </row>
    <row r="2049" spans="1:1" x14ac:dyDescent="0.35">
      <c r="A2049" s="6" t="s">
        <v>812</v>
      </c>
    </row>
    <row r="2050" spans="1:1" x14ac:dyDescent="0.35">
      <c r="A2050" s="13" t="s">
        <v>43</v>
      </c>
    </row>
    <row r="2051" spans="1:1" x14ac:dyDescent="0.35">
      <c r="A2051" s="13" t="s">
        <v>46</v>
      </c>
    </row>
    <row r="2052" spans="1:1" x14ac:dyDescent="0.35">
      <c r="A2052" s="6" t="s">
        <v>813</v>
      </c>
    </row>
    <row r="2053" spans="1:1" x14ac:dyDescent="0.35">
      <c r="A2053" s="13" t="s">
        <v>39</v>
      </c>
    </row>
    <row r="2054" spans="1:1" x14ac:dyDescent="0.35">
      <c r="A2054" s="13" t="s">
        <v>47</v>
      </c>
    </row>
    <row r="2055" spans="1:1" x14ac:dyDescent="0.35">
      <c r="A2055" s="13" t="s">
        <v>43</v>
      </c>
    </row>
    <row r="2056" spans="1:1" x14ac:dyDescent="0.35">
      <c r="A2056" s="13" t="s">
        <v>46</v>
      </c>
    </row>
    <row r="2057" spans="1:1" x14ac:dyDescent="0.35">
      <c r="A2057" s="6" t="s">
        <v>815</v>
      </c>
    </row>
    <row r="2058" spans="1:1" x14ac:dyDescent="0.35">
      <c r="A2058" s="13" t="s">
        <v>39</v>
      </c>
    </row>
    <row r="2059" spans="1:1" x14ac:dyDescent="0.35">
      <c r="A2059" s="6" t="s">
        <v>816</v>
      </c>
    </row>
    <row r="2060" spans="1:1" x14ac:dyDescent="0.35">
      <c r="A2060" s="13" t="s">
        <v>39</v>
      </c>
    </row>
    <row r="2061" spans="1:1" x14ac:dyDescent="0.35">
      <c r="A2061" s="13" t="s">
        <v>47</v>
      </c>
    </row>
    <row r="2062" spans="1:1" x14ac:dyDescent="0.35">
      <c r="A2062" s="6" t="s">
        <v>817</v>
      </c>
    </row>
    <row r="2063" spans="1:1" x14ac:dyDescent="0.35">
      <c r="A2063" s="13" t="s">
        <v>43</v>
      </c>
    </row>
    <row r="2064" spans="1:1" x14ac:dyDescent="0.35">
      <c r="A2064" s="6" t="s">
        <v>818</v>
      </c>
    </row>
    <row r="2065" spans="1:1" x14ac:dyDescent="0.35">
      <c r="A2065" s="13" t="s">
        <v>39</v>
      </c>
    </row>
    <row r="2066" spans="1:1" x14ac:dyDescent="0.35">
      <c r="A2066" s="13" t="s">
        <v>47</v>
      </c>
    </row>
    <row r="2067" spans="1:1" x14ac:dyDescent="0.35">
      <c r="A2067" s="6" t="s">
        <v>814</v>
      </c>
    </row>
    <row r="2068" spans="1:1" x14ac:dyDescent="0.35">
      <c r="A2068" s="13" t="s">
        <v>46</v>
      </c>
    </row>
    <row r="2069" spans="1:1" x14ac:dyDescent="0.35">
      <c r="A2069" s="6" t="s">
        <v>819</v>
      </c>
    </row>
    <row r="2070" spans="1:1" x14ac:dyDescent="0.35">
      <c r="A2070" s="13" t="s">
        <v>43</v>
      </c>
    </row>
    <row r="2071" spans="1:1" x14ac:dyDescent="0.35">
      <c r="A2071" s="13" t="s">
        <v>46</v>
      </c>
    </row>
    <row r="2072" spans="1:1" x14ac:dyDescent="0.35">
      <c r="A2072" s="6" t="s">
        <v>820</v>
      </c>
    </row>
    <row r="2073" spans="1:1" x14ac:dyDescent="0.35">
      <c r="A2073" s="13" t="s">
        <v>39</v>
      </c>
    </row>
    <row r="2074" spans="1:1" x14ac:dyDescent="0.35">
      <c r="A2074" s="13" t="s">
        <v>47</v>
      </c>
    </row>
    <row r="2075" spans="1:1" x14ac:dyDescent="0.35">
      <c r="A2075" s="13" t="s">
        <v>43</v>
      </c>
    </row>
    <row r="2076" spans="1:1" x14ac:dyDescent="0.35">
      <c r="A2076" s="6" t="s">
        <v>821</v>
      </c>
    </row>
    <row r="2077" spans="1:1" x14ac:dyDescent="0.35">
      <c r="A2077" s="13" t="s">
        <v>39</v>
      </c>
    </row>
    <row r="2078" spans="1:1" x14ac:dyDescent="0.35">
      <c r="A2078" s="13" t="s">
        <v>47</v>
      </c>
    </row>
    <row r="2079" spans="1:1" x14ac:dyDescent="0.35">
      <c r="A2079" s="13" t="s">
        <v>43</v>
      </c>
    </row>
    <row r="2080" spans="1:1" x14ac:dyDescent="0.35">
      <c r="A2080" s="13" t="s">
        <v>46</v>
      </c>
    </row>
    <row r="2081" spans="1:1" x14ac:dyDescent="0.35">
      <c r="A2081" s="6" t="s">
        <v>823</v>
      </c>
    </row>
    <row r="2082" spans="1:1" x14ac:dyDescent="0.35">
      <c r="A2082" s="13" t="s">
        <v>47</v>
      </c>
    </row>
    <row r="2083" spans="1:1" x14ac:dyDescent="0.35">
      <c r="A2083" s="6" t="s">
        <v>824</v>
      </c>
    </row>
    <row r="2084" spans="1:1" x14ac:dyDescent="0.35">
      <c r="A2084" s="13" t="s">
        <v>47</v>
      </c>
    </row>
    <row r="2085" spans="1:1" x14ac:dyDescent="0.35">
      <c r="A2085" s="6" t="s">
        <v>825</v>
      </c>
    </row>
    <row r="2086" spans="1:1" x14ac:dyDescent="0.35">
      <c r="A2086" s="13" t="s">
        <v>39</v>
      </c>
    </row>
    <row r="2087" spans="1:1" x14ac:dyDescent="0.35">
      <c r="A2087" s="13" t="s">
        <v>47</v>
      </c>
    </row>
    <row r="2088" spans="1:1" x14ac:dyDescent="0.35">
      <c r="A2088" s="13" t="s">
        <v>43</v>
      </c>
    </row>
    <row r="2089" spans="1:1" x14ac:dyDescent="0.35">
      <c r="A2089" s="13" t="s">
        <v>46</v>
      </c>
    </row>
    <row r="2090" spans="1:1" x14ac:dyDescent="0.35">
      <c r="A2090" s="6" t="s">
        <v>826</v>
      </c>
    </row>
    <row r="2091" spans="1:1" x14ac:dyDescent="0.35">
      <c r="A2091" s="13" t="s">
        <v>39</v>
      </c>
    </row>
    <row r="2092" spans="1:1" x14ac:dyDescent="0.35">
      <c r="A2092" s="13" t="s">
        <v>47</v>
      </c>
    </row>
    <row r="2093" spans="1:1" x14ac:dyDescent="0.35">
      <c r="A2093" s="13" t="s">
        <v>43</v>
      </c>
    </row>
    <row r="2094" spans="1:1" x14ac:dyDescent="0.35">
      <c r="A2094" s="13" t="s">
        <v>46</v>
      </c>
    </row>
    <row r="2095" spans="1:1" x14ac:dyDescent="0.35">
      <c r="A2095" s="6" t="s">
        <v>827</v>
      </c>
    </row>
    <row r="2096" spans="1:1" x14ac:dyDescent="0.35">
      <c r="A2096" s="13" t="s">
        <v>39</v>
      </c>
    </row>
    <row r="2097" spans="1:1" x14ac:dyDescent="0.35">
      <c r="A2097" s="6" t="s">
        <v>828</v>
      </c>
    </row>
    <row r="2098" spans="1:1" x14ac:dyDescent="0.35">
      <c r="A2098" s="13" t="s">
        <v>39</v>
      </c>
    </row>
    <row r="2099" spans="1:1" x14ac:dyDescent="0.35">
      <c r="A2099" s="13" t="s">
        <v>47</v>
      </c>
    </row>
    <row r="2100" spans="1:1" x14ac:dyDescent="0.35">
      <c r="A2100" s="6" t="s">
        <v>830</v>
      </c>
    </row>
    <row r="2101" spans="1:1" x14ac:dyDescent="0.35">
      <c r="A2101" s="13" t="s">
        <v>39</v>
      </c>
    </row>
    <row r="2102" spans="1:1" x14ac:dyDescent="0.35">
      <c r="A2102" s="13" t="s">
        <v>47</v>
      </c>
    </row>
    <row r="2103" spans="1:1" x14ac:dyDescent="0.35">
      <c r="A2103" s="13" t="s">
        <v>43</v>
      </c>
    </row>
    <row r="2104" spans="1:1" x14ac:dyDescent="0.35">
      <c r="A2104" s="6" t="s">
        <v>831</v>
      </c>
    </row>
    <row r="2105" spans="1:1" x14ac:dyDescent="0.35">
      <c r="A2105" s="13" t="s">
        <v>39</v>
      </c>
    </row>
    <row r="2106" spans="1:1" x14ac:dyDescent="0.35">
      <c r="A2106" s="13" t="s">
        <v>47</v>
      </c>
    </row>
    <row r="2107" spans="1:1" x14ac:dyDescent="0.35">
      <c r="A2107" s="13" t="s">
        <v>43</v>
      </c>
    </row>
    <row r="2108" spans="1:1" x14ac:dyDescent="0.35">
      <c r="A2108" s="6" t="s">
        <v>832</v>
      </c>
    </row>
    <row r="2109" spans="1:1" x14ac:dyDescent="0.35">
      <c r="A2109" s="13" t="s">
        <v>39</v>
      </c>
    </row>
    <row r="2110" spans="1:1" x14ac:dyDescent="0.35">
      <c r="A2110" s="6" t="s">
        <v>833</v>
      </c>
    </row>
    <row r="2111" spans="1:1" x14ac:dyDescent="0.35">
      <c r="A2111" s="13" t="s">
        <v>39</v>
      </c>
    </row>
    <row r="2112" spans="1:1" x14ac:dyDescent="0.35">
      <c r="A2112" s="13" t="s">
        <v>47</v>
      </c>
    </row>
    <row r="2113" spans="1:1" x14ac:dyDescent="0.35">
      <c r="A2113" s="13" t="s">
        <v>43</v>
      </c>
    </row>
    <row r="2114" spans="1:1" x14ac:dyDescent="0.35">
      <c r="A2114" s="13" t="s">
        <v>46</v>
      </c>
    </row>
    <row r="2115" spans="1:1" x14ac:dyDescent="0.35">
      <c r="A2115" s="6" t="s">
        <v>834</v>
      </c>
    </row>
    <row r="2116" spans="1:1" x14ac:dyDescent="0.35">
      <c r="A2116" s="13" t="s">
        <v>43</v>
      </c>
    </row>
    <row r="2117" spans="1:1" x14ac:dyDescent="0.35">
      <c r="A2117" s="13" t="s">
        <v>46</v>
      </c>
    </row>
    <row r="2118" spans="1:1" x14ac:dyDescent="0.35">
      <c r="A2118" s="6" t="s">
        <v>835</v>
      </c>
    </row>
    <row r="2119" spans="1:1" x14ac:dyDescent="0.35">
      <c r="A2119" s="13" t="s">
        <v>47</v>
      </c>
    </row>
    <row r="2120" spans="1:1" x14ac:dyDescent="0.35">
      <c r="A2120" s="13" t="s">
        <v>43</v>
      </c>
    </row>
    <row r="2121" spans="1:1" x14ac:dyDescent="0.35">
      <c r="A2121" s="13" t="s">
        <v>46</v>
      </c>
    </row>
    <row r="2122" spans="1:1" x14ac:dyDescent="0.35">
      <c r="A2122" s="6" t="s">
        <v>836</v>
      </c>
    </row>
    <row r="2123" spans="1:1" x14ac:dyDescent="0.35">
      <c r="A2123" s="13" t="s">
        <v>39</v>
      </c>
    </row>
    <row r="2124" spans="1:1" x14ac:dyDescent="0.35">
      <c r="A2124" s="13" t="s">
        <v>47</v>
      </c>
    </row>
    <row r="2125" spans="1:1" x14ac:dyDescent="0.35">
      <c r="A2125" s="13" t="s">
        <v>43</v>
      </c>
    </row>
    <row r="2126" spans="1:1" x14ac:dyDescent="0.35">
      <c r="A2126" s="6" t="s">
        <v>837</v>
      </c>
    </row>
    <row r="2127" spans="1:1" x14ac:dyDescent="0.35">
      <c r="A2127" s="13" t="s">
        <v>39</v>
      </c>
    </row>
    <row r="2128" spans="1:1" x14ac:dyDescent="0.35">
      <c r="A2128" s="13" t="s">
        <v>47</v>
      </c>
    </row>
    <row r="2129" spans="1:1" x14ac:dyDescent="0.35">
      <c r="A2129" s="13" t="s">
        <v>43</v>
      </c>
    </row>
    <row r="2130" spans="1:1" x14ac:dyDescent="0.35">
      <c r="A2130" s="13" t="s">
        <v>46</v>
      </c>
    </row>
    <row r="2131" spans="1:1" x14ac:dyDescent="0.35">
      <c r="A2131" s="6" t="s">
        <v>838</v>
      </c>
    </row>
    <row r="2132" spans="1:1" x14ac:dyDescent="0.35">
      <c r="A2132" s="13" t="s">
        <v>43</v>
      </c>
    </row>
    <row r="2133" spans="1:1" x14ac:dyDescent="0.35">
      <c r="A2133" s="13" t="s">
        <v>46</v>
      </c>
    </row>
    <row r="2134" spans="1:1" x14ac:dyDescent="0.35">
      <c r="A2134" s="6" t="s">
        <v>839</v>
      </c>
    </row>
    <row r="2135" spans="1:1" x14ac:dyDescent="0.35">
      <c r="A2135" s="13" t="s">
        <v>39</v>
      </c>
    </row>
    <row r="2136" spans="1:1" x14ac:dyDescent="0.35">
      <c r="A2136" s="13" t="s">
        <v>47</v>
      </c>
    </row>
    <row r="2137" spans="1:1" x14ac:dyDescent="0.35">
      <c r="A2137" s="13" t="s">
        <v>43</v>
      </c>
    </row>
    <row r="2138" spans="1:1" x14ac:dyDescent="0.35">
      <c r="A2138" s="13" t="s">
        <v>46</v>
      </c>
    </row>
    <row r="2139" spans="1:1" x14ac:dyDescent="0.35">
      <c r="A2139" s="6" t="s">
        <v>840</v>
      </c>
    </row>
    <row r="2140" spans="1:1" x14ac:dyDescent="0.35">
      <c r="A2140" s="13" t="s">
        <v>46</v>
      </c>
    </row>
    <row r="2141" spans="1:1" x14ac:dyDescent="0.35">
      <c r="A2141" s="6" t="s">
        <v>841</v>
      </c>
    </row>
    <row r="2142" spans="1:1" x14ac:dyDescent="0.35">
      <c r="A2142" s="13" t="s">
        <v>39</v>
      </c>
    </row>
    <row r="2143" spans="1:1" x14ac:dyDescent="0.35">
      <c r="A2143" s="13" t="s">
        <v>47</v>
      </c>
    </row>
    <row r="2144" spans="1:1" x14ac:dyDescent="0.35">
      <c r="A2144" s="13" t="s">
        <v>43</v>
      </c>
    </row>
    <row r="2145" spans="1:1" x14ac:dyDescent="0.35">
      <c r="A2145" s="6" t="s">
        <v>842</v>
      </c>
    </row>
    <row r="2146" spans="1:1" x14ac:dyDescent="0.35">
      <c r="A2146" s="13" t="s">
        <v>39</v>
      </c>
    </row>
    <row r="2147" spans="1:1" x14ac:dyDescent="0.35">
      <c r="A2147" s="13" t="s">
        <v>47</v>
      </c>
    </row>
    <row r="2148" spans="1:1" x14ac:dyDescent="0.35">
      <c r="A2148" s="13" t="s">
        <v>43</v>
      </c>
    </row>
    <row r="2149" spans="1:1" x14ac:dyDescent="0.35">
      <c r="A2149" s="13" t="s">
        <v>46</v>
      </c>
    </row>
    <row r="2150" spans="1:1" x14ac:dyDescent="0.35">
      <c r="A2150" s="6" t="s">
        <v>843</v>
      </c>
    </row>
    <row r="2151" spans="1:1" x14ac:dyDescent="0.35">
      <c r="A2151" s="13" t="s">
        <v>46</v>
      </c>
    </row>
    <row r="2152" spans="1:1" x14ac:dyDescent="0.35">
      <c r="A2152" s="6" t="s">
        <v>844</v>
      </c>
    </row>
    <row r="2153" spans="1:1" x14ac:dyDescent="0.35">
      <c r="A2153" s="13" t="s">
        <v>39</v>
      </c>
    </row>
    <row r="2154" spans="1:1" x14ac:dyDescent="0.35">
      <c r="A2154" s="6" t="s">
        <v>845</v>
      </c>
    </row>
    <row r="2155" spans="1:1" x14ac:dyDescent="0.35">
      <c r="A2155" s="13" t="s">
        <v>39</v>
      </c>
    </row>
    <row r="2156" spans="1:1" x14ac:dyDescent="0.35">
      <c r="A2156" s="13" t="s">
        <v>47</v>
      </c>
    </row>
    <row r="2157" spans="1:1" x14ac:dyDescent="0.35">
      <c r="A2157" s="13" t="s">
        <v>43</v>
      </c>
    </row>
    <row r="2158" spans="1:1" x14ac:dyDescent="0.35">
      <c r="A2158" s="6" t="s">
        <v>846</v>
      </c>
    </row>
    <row r="2159" spans="1:1" x14ac:dyDescent="0.35">
      <c r="A2159" s="13" t="s">
        <v>39</v>
      </c>
    </row>
    <row r="2160" spans="1:1" x14ac:dyDescent="0.35">
      <c r="A2160" s="13" t="s">
        <v>47</v>
      </c>
    </row>
    <row r="2161" spans="1:1" x14ac:dyDescent="0.35">
      <c r="A2161" s="13" t="s">
        <v>43</v>
      </c>
    </row>
    <row r="2162" spans="1:1" x14ac:dyDescent="0.35">
      <c r="A2162" s="6" t="s">
        <v>847</v>
      </c>
    </row>
    <row r="2163" spans="1:1" x14ac:dyDescent="0.35">
      <c r="A2163" s="13" t="s">
        <v>46</v>
      </c>
    </row>
    <row r="2164" spans="1:1" x14ac:dyDescent="0.35">
      <c r="A2164" s="6" t="s">
        <v>848</v>
      </c>
    </row>
    <row r="2165" spans="1:1" x14ac:dyDescent="0.35">
      <c r="A2165" s="13" t="s">
        <v>47</v>
      </c>
    </row>
    <row r="2166" spans="1:1" x14ac:dyDescent="0.35">
      <c r="A2166" s="6" t="s">
        <v>849</v>
      </c>
    </row>
    <row r="2167" spans="1:1" x14ac:dyDescent="0.35">
      <c r="A2167" s="13" t="s">
        <v>39</v>
      </c>
    </row>
    <row r="2168" spans="1:1" x14ac:dyDescent="0.35">
      <c r="A2168" s="13" t="s">
        <v>47</v>
      </c>
    </row>
    <row r="2169" spans="1:1" x14ac:dyDescent="0.35">
      <c r="A2169" s="13" t="s">
        <v>43</v>
      </c>
    </row>
    <row r="2170" spans="1:1" x14ac:dyDescent="0.35">
      <c r="A2170" s="6" t="s">
        <v>850</v>
      </c>
    </row>
    <row r="2171" spans="1:1" x14ac:dyDescent="0.35">
      <c r="A2171" s="13" t="s">
        <v>46</v>
      </c>
    </row>
    <row r="2172" spans="1:1" x14ac:dyDescent="0.35">
      <c r="A2172" s="6" t="s">
        <v>851</v>
      </c>
    </row>
    <row r="2173" spans="1:1" x14ac:dyDescent="0.35">
      <c r="A2173" s="13" t="s">
        <v>39</v>
      </c>
    </row>
    <row r="2174" spans="1:1" x14ac:dyDescent="0.35">
      <c r="A2174" s="13" t="s">
        <v>47</v>
      </c>
    </row>
    <row r="2175" spans="1:1" x14ac:dyDescent="0.35">
      <c r="A2175" s="6" t="s">
        <v>852</v>
      </c>
    </row>
    <row r="2176" spans="1:1" x14ac:dyDescent="0.35">
      <c r="A2176" s="13" t="s">
        <v>46</v>
      </c>
    </row>
    <row r="2177" spans="1:1" x14ac:dyDescent="0.35">
      <c r="A2177" s="6" t="s">
        <v>853</v>
      </c>
    </row>
    <row r="2178" spans="1:1" x14ac:dyDescent="0.35">
      <c r="A2178" s="13" t="s">
        <v>46</v>
      </c>
    </row>
    <row r="2179" spans="1:1" x14ac:dyDescent="0.35">
      <c r="A2179" s="6" t="s">
        <v>854</v>
      </c>
    </row>
    <row r="2180" spans="1:1" x14ac:dyDescent="0.35">
      <c r="A2180" s="13" t="s">
        <v>43</v>
      </c>
    </row>
    <row r="2181" spans="1:1" x14ac:dyDescent="0.35">
      <c r="A2181" s="13" t="s">
        <v>46</v>
      </c>
    </row>
    <row r="2182" spans="1:1" x14ac:dyDescent="0.35">
      <c r="A2182" s="6" t="s">
        <v>855</v>
      </c>
    </row>
    <row r="2183" spans="1:1" x14ac:dyDescent="0.35">
      <c r="A2183" s="13" t="s">
        <v>47</v>
      </c>
    </row>
    <row r="2184" spans="1:1" x14ac:dyDescent="0.35">
      <c r="A2184" s="6" t="s">
        <v>2357</v>
      </c>
    </row>
    <row r="2185" spans="1:1" x14ac:dyDescent="0.35">
      <c r="A2185" s="13" t="s">
        <v>2357</v>
      </c>
    </row>
    <row r="2186" spans="1:1" x14ac:dyDescent="0.35">
      <c r="A2186" s="6" t="s">
        <v>2336</v>
      </c>
    </row>
  </sheetData>
  <mergeCells count="4">
    <mergeCell ref="D2:E3"/>
    <mergeCell ref="G2:I3"/>
    <mergeCell ref="G17:I19"/>
    <mergeCell ref="D17:E19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BC2B8D-602A-414A-ADBB-E654C1AE47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Final Premier League Data</vt:lpstr>
      <vt:lpstr>DT worksheet</vt:lpstr>
      <vt:lpstr>Top 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Salvador Serfaty</dc:creator>
  <cp:lastModifiedBy>Salvador Serfaty</cp:lastModifiedBy>
  <dcterms:created xsi:type="dcterms:W3CDTF">2023-12-20T20:11:24Z</dcterms:created>
  <dcterms:modified xsi:type="dcterms:W3CDTF">2024-05-14T01:00:28Z</dcterms:modified>
</cp:coreProperties>
</file>